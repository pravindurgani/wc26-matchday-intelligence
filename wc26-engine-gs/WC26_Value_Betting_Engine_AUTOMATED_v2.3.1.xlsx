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Dashboard" sheetId="2" r:id="rId6"/>
    <sheet state="visible" name="Live" sheetId="3" r:id="rId7"/>
    <sheet state="visible" name="Bets" sheetId="4" r:id="rId8"/>
    <sheet state="visible" name="Matchday" sheetId="5" r:id="rId9"/>
    <sheet state="visible" name="Method" sheetId="6" r:id="rId10"/>
    <sheet state="visible" name="Model vs Market" sheetId="7" r:id="rId11"/>
    <sheet state="visible" name="Model Refresh" sheetId="8" r:id="rId12"/>
    <sheet state="visible" name="Outrights" sheetId="9" r:id="rId13"/>
    <sheet state="visible" name="In-Play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Source: your model — fifa-wc-26-prediction.vercel.app/predictions.json
Snapshot 2026-06-10 14:10 UTC. Re-paste I:K after live re-sims.</t>
      </text>
    </comment>
    <comment authorId="0" ref="L1">
      <text>
        <t xml:space="preserve">AUTO-FILLED from the Matchday tab. Type odds THERE, never here.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YOU TYPE — home win price, DECIMAL (21/50 = 1.42). Betting app: settings → odds format → Decimal.</t>
      </text>
    </comment>
    <comment authorId="0" ref="F3">
      <text>
        <t xml:space="preserve">YOU TYPE — draw price, decimal (7/2 = 4.50).</t>
      </text>
    </comment>
    <comment authorId="0" ref="G3">
      <text>
        <t xml:space="preserve">YOU TYPE — away win price, decimal (15/2 = 8.50).</t>
      </text>
    </comment>
    <comment authorId="0" ref="H3">
      <text>
        <t xml:space="preserve">AUTOMATIC — what the engine would back.</t>
      </text>
    </comment>
    <comment authorId="0" ref="I3">
      <text>
        <t xml:space="preserve">AUTOMATIC — BET or PASS.</t>
      </text>
    </comment>
    <comment authorId="0" ref="J3">
      <text>
        <t xml:space="preserve">AUTOMATIC — how much to bet. "–" = PASS = the engine answered NO BET. That is it working, not a glitch.</t>
      </text>
    </comment>
    <comment authorId="0" ref="K3">
      <text>
        <t xml:space="preserve">AUTOMATIC — the reason in plain English.</t>
      </text>
    </comment>
    <comment authorId="0" ref="L3">
      <text>
        <t xml:space="preserve">YOU TYPE — only when DECISION = BET. Y = team news fine AND both teams have something to play for. N = concern (star out, B-team, storm, dead rubber). Amber match numbers = final group round — dead rubbers likely.</t>
      </text>
    </comment>
    <comment authorId="0" ref="M3">
      <text>
        <t xml:space="preserve">AUTOMATIC — your single instruction: 🟢 PLACE / 🟡 WAIT / 🔴 SKIP / ❌ NO BET.</t>
      </text>
    </comment>
    <comment authorId="0" ref="N4">
      <text>
        <t xml:space="preserve">Your £20 on Mexico @ 21/50 (Bet365, 11 Jun). Engine said PASS, so STATUS labels it a FUN BET. Enter Result after full time.</t>
      </text>
    </comment>
    <comment authorId="0" ref="N3">
      <text>
        <t xml:space="preserve">YOU TYPE — Y after you actually place a bet (engine or fun).</t>
      </text>
    </comment>
    <comment authorId="0" ref="O3">
      <text>
        <t xml:space="preserve">YOU TYPE — which outcome YOU backed: H, D or A. For engine bets this is the PICK; fun bets can back anything. P&amp;L grades against THIS, so your record can never be rewritten.</t>
      </text>
    </comment>
    <comment authorId="0" ref="P3">
      <text>
        <t xml:space="preserve">YOU TYPE — the decimal price on your slip when you confirmed the bet.</t>
      </text>
    </comment>
    <comment authorId="0" ref="Q3">
      <text>
        <t xml:space="preserve">YOU TYPE — the £ you actually staked.</t>
      </text>
    </comment>
    <comment authorId="0" ref="R3">
      <text>
        <t xml:space="preserve">YOU TYPE — after full time: H, D, A, or Void.</t>
      </text>
    </comment>
    <comment authorId="0" ref="S3">
      <text>
        <t xml:space="preserve">AUTOMATIC — honesty label: ✓ engine bet / ⚠ fun bet / warnings.</t>
      </text>
    </comment>
    <comment authorId="0" ref="T3">
      <text>
        <t xml:space="preserve">OPTIONAL, YOU TYPE — price just before kickoff (for CLV homework).</t>
      </text>
    </comment>
    <comment authorId="0" ref="U3">
      <text>
        <t xml:space="preserve">AUTOMATIC — closing-line value: + means you beat the closing price.</t>
      </text>
    </comment>
  </commentList>
</comments>
</file>

<file path=xl/sharedStrings.xml><?xml version="1.0" encoding="utf-8"?>
<sst xmlns="http://schemas.openxmlformats.org/spreadsheetml/2006/main" count="1071" uniqueCount="488">
  <si>
    <t>READ ME — 1 MINUTE</t>
  </si>
  <si>
    <t>The ONLY tab you use is MATCHDAY. (Bets = engine audit · Dashboard = scoreboard · Method = settings &amp; rules · Model vs Market = context.)</t>
  </si>
  <si>
    <t>YELLOW CELLS = YOU TYPE. There are only 5 things, all on the Matchday tab:</t>
  </si>
  <si>
    <t xml:space="preserve">  1.  Odds 1 / X / 2 — the three DECIMAL prices from your betting app (1 = home, X = draw, 2 = away).  21/50 → 1.42 · 7/2 → 4.50 · 15/2 → 8.50.  Bet365: Settings → Odds format → Decimal.</t>
  </si>
  <si>
    <t xml:space="preserve">  2.  Team news OK? — Y or N. Only needed when DECISION says BET.</t>
  </si>
  <si>
    <t xml:space="preserve">  3.  Placed? + Backed (H/D/A) + Odds you got + Stake you placed — your log AFTER you bet. "Backed" = the outcome on your slip; P&amp;L grades against it, so model updates can never rewrite your record.</t>
  </si>
  <si>
    <t xml:space="preserve">  4.  Result — H, D, A or Void, after full time.</t>
  </si>
  <si>
    <t xml:space="preserve">  5.  Closing odds (optional) — the price just before kickoff, for the CLV homework.</t>
  </si>
  <si>
    <t>EVERYTHING ELSE IS AUTOMATIC: PICK, DECISION, ENGINE STAKE, WHY, FINAL ACTION, STATUS, CLV, the whole Dashboard and your bankroll.</t>
  </si>
  <si>
    <t>HOW TO READ THE ANSWER</t>
  </si>
  <si>
    <t xml:space="preserve">  · ENGINE STAKE "–"  +  FINAL ACTION "❌ NO BET"  →  the engine DID respond: do not bet this match. Example: South Korea v Czechia at 2.70 / 3.10 / 2.80 → EV +1.6%, below the 2.5% bar → NO BET. Nothing is broken.</t>
  </si>
  <si>
    <t xml:space="preserve">  · FINAL ACTION "🟢 PLACE £x on [pick]"  →  bet exactly that amount on exactly that pick, after the team-news check.</t>
  </si>
  <si>
    <t xml:space="preserve">  · Most matches will be ❌. The rare 🟢 rows are where the profit lives.</t>
  </si>
  <si>
    <t>FINAL GROUP ROUND (amber match numbers, 24–27 Jun): check both teams still have something to play for before typing Y — dead rubbers mean B-teams, and the model cannot see the group table.</t>
  </si>
  <si>
    <t>MODEL UPDATED AFTER RESULTS? Use the Model Refresh tab — it refreshes future matches and freezes everything you already placed.</t>
  </si>
  <si>
    <t>GOLDEN RULE: "likely to win" is NOT "worth betting" — the only question is whether the price beats the probability.</t>
  </si>
  <si>
    <t>18+ · fun money only · not financial advice · BeGambleAware.org</t>
  </si>
  <si>
    <t>v2 (AUTOMATED) — what changed</t>
  </si>
  <si>
    <t>1. Live model: Apps Script refreshes Bets!I:K from predictions_live.json every 5 min (skips any row already Placed=Y so history is never rewritten).</t>
  </si>
  <si>
    <t>2. CLV-actuated w: Method!B4 floats with rolling CLV (B46–B49). Knobs in yellow.</t>
  </si>
  <si>
    <t>3. Better de-vig: Method!B56 picks proportional / shin / power. Shin/power lift the favourite ~1pp on 3-way markets (fixes the bias the audit called out).</t>
  </si>
  <si>
    <t>4. Drawdown circuit-breaker: Method!B50–B55. If you’re ≥15% below peak, every row flips to 🛑 PAUSED until you recover or override Method!B54=Y.</t>
  </si>
  <si>
    <t>5. Sheet protection: Apps Script applyProtections() locks all formula cells, leaves yellow input cells editable. Run it from the WC26 Engine menu after install.</t>
  </si>
  <si>
    <t>INSTALL: see WC26_Engine_INSTALL.md. One-time: paste the .gs, run installEngine(), approve the URL fetch + trigger scopes.</t>
  </si>
  <si>
    <t>v2.1 PATCH — three fixes: (1) drawdown pause now blocks new stakes only, it can no longer relabel settled engine bets as fun bets; (2) SHIN/POWER de-vig return shape fixed so shin/power actually reach the sheet (was silently falling back to proportional); (3) w override clamped to 0.15–0.55. New: the script snapshots decision/stake/pick at the moment you log Placed=Y, so later model refreshes, w drift or de-vig switches can never reclassify a placed bet.</t>
  </si>
  <si>
    <t>v2.2 — last-mile hardening: pause can no longer distort the STATUS text for un-snapshotted bets; First-time setup now retro-snapshots any bet placed before the script existed; snapshot cells stay writable for shared editors (share view-only with friends regardless — they scale stakes via "£ / £100 bank").</t>
  </si>
  <si>
    <t>WC26 GROUP STAGE — VALUE BETTING DASHBOARD</t>
  </si>
  <si>
    <t>Model snapshot 2026-06-10 14:10 UTC · type odds on the MATCHDAY tab on game day · stakes auto-size from current bankroll</t>
  </si>
  <si>
    <t>Current bankroll</t>
  </si>
  <si>
    <t>Matches today</t>
  </si>
  <si>
    <t>Engine bets placed</t>
  </si>
  <si>
    <t>Staked (placed)</t>
  </si>
  <si>
    <t>Next match day</t>
  </si>
  <si>
    <t>Fun bets placed</t>
  </si>
  <si>
    <t>Settled P&amp;L</t>
  </si>
  <si>
    <t>BET signals live</t>
  </si>
  <si>
    <t>Avg CLV (logged)</t>
  </si>
  <si>
    <t>ROI (settled)</t>
  </si>
  <si>
    <t>PASS</t>
  </si>
  <si>
    <t>Engine P&amp;L</t>
  </si>
  <si>
    <t>Record W–L</t>
  </si>
  <si>
    <t>Awaiting odds</t>
  </si>
  <si>
    <t>Fun-bet P&amp;L</t>
  </si>
  <si>
    <t>Open bets</t>
  </si>
  <si>
    <t>Sum of BET stakes</t>
  </si>
  <si>
    <t>LIVE VALUE BOARD — top BET signals right now (fills as you enter odds)</t>
  </si>
  <si>
    <t>#</t>
  </si>
  <si>
    <t>Date</t>
  </si>
  <si>
    <t>Group</t>
  </si>
  <si>
    <t>Match</t>
  </si>
  <si>
    <t>Pick</t>
  </si>
  <si>
    <t>Odds</t>
  </si>
  <si>
    <t>EV</t>
  </si>
  <si>
    <t>Edge</t>
  </si>
  <si>
    <t>Stake £</t>
  </si>
  <si>
    <t>MATCHDAY LEDGER — stakes &amp; P&amp;L by day</t>
  </si>
  <si>
    <t>HOUSE RULES</t>
  </si>
  <si>
    <t>Games</t>
  </si>
  <si>
    <t>Staked £</t>
  </si>
  <si>
    <t>P&amp;L £</t>
  </si>
  <si>
    <t>· Only stake when FINAL ACTION shows 🟢 PLACE.</t>
  </si>
  <si>
    <t>· "—" or PASS on most matches = the filter working, not a fault.</t>
  </si>
  <si>
    <t>· Fun bets are allowed — small (≤ £5), and STATUS labels them honestly.</t>
  </si>
  <si>
    <t>· Never exceed the stake shown. Never chase a loss.</t>
  </si>
  <si>
    <t>· Friends: stake = "£ per £100" × (their bankroll ÷ 100).</t>
  </si>
  <si>
    <t>· 18+ · not financial advice · BeGambleAware.org</t>
  </si>
  <si>
    <t>LIVE STATE — auto-polled from /live_state.json</t>
  </si>
  <si>
    <t>Source URL</t>
  </si>
  <si>
    <t>https://wc26-matchday-intelligence.vercel.app/live_state.json</t>
  </si>
  <si>
    <t>Predictions URL</t>
  </si>
  <si>
    <t>https://wc26-matchday-intelligence.vercel.app/predictions_live.json</t>
  </si>
  <si>
    <t>Intel URL</t>
  </si>
  <si>
    <t>https://wc26-matchday-intelligence.vercel.app/matchday_intelligence.json</t>
  </si>
  <si>
    <t>Field</t>
  </si>
  <si>
    <t>Value</t>
  </si>
  <si>
    <t>Mirrors to Method</t>
  </si>
  <si>
    <t>Last poll (UTC)</t>
  </si>
  <si>
    <t>B58</t>
  </si>
  <si>
    <t>Mode</t>
  </si>
  <si>
    <t>live</t>
  </si>
  <si>
    <t>B59</t>
  </si>
  <si>
    <t>Completed matches</t>
  </si>
  <si>
    <t>B60</t>
  </si>
  <si>
    <t>Provider mode</t>
  </si>
  <si>
    <t>active</t>
  </si>
  <si>
    <t>B61</t>
  </si>
  <si>
    <t>Warnings (joined)</t>
  </si>
  <si>
    <t>B62</t>
  </si>
  <si>
    <t>Source</t>
  </si>
  <si>
    <t>api_football</t>
  </si>
  <si>
    <t>Last model refresh (UTC)</t>
  </si>
  <si>
    <t>B57</t>
  </si>
  <si>
    <t>Simulation rerun this tick</t>
  </si>
  <si>
    <t>live_state last_updated_utc</t>
  </si>
  <si>
    <t>2026-06-16T13:37:22.742806+00:00</t>
  </si>
  <si>
    <t>STATUS</t>
  </si>
  <si>
    <t>— MATCHDAY INTELLIGENCE (auto) —</t>
  </si>
  <si>
    <t>Intel generated at (UTC)</t>
  </si>
  <si>
    <t>2026-06-16T11:13:56.346678+00:00</t>
  </si>
  <si>
    <t>mirrors to Method!B67</t>
  </si>
  <si>
    <t>Intel total components</t>
  </si>
  <si>
    <t>B68</t>
  </si>
  <si>
    <t>Intel teams affected</t>
  </si>
  <si>
    <t>B69</t>
  </si>
  <si>
    <t>Intel matches affected</t>
  </si>
  <si>
    <t>B70</t>
  </si>
  <si>
    <t>Intel aggregate caps hit</t>
  </si>
  <si>
    <t>B71</t>
  </si>
  <si>
    <t>Intel warnings</t>
  </si>
  <si>
    <t>[object Object]</t>
  </si>
  <si>
    <t>Matches in play right now</t>
  </si>
  <si>
    <t>see In-Play sheet</t>
  </si>
  <si>
    <t>Stale-feed warning</t>
  </si>
  <si>
    <t>⚠ STALE feed (25 min old) — model paused</t>
  </si>
  <si>
    <t>&gt;15 min trips PAUSE</t>
  </si>
  <si>
    <t>Endpoints — clear B3/B4/B5 to revert to v2.3 defaults.</t>
  </si>
  <si>
    <t>This sheet is read-only output from the Apps Script poller. If the values stay blank, open Extensions ▸ Apps Script and run installEngine() once. The script then refreshes model probabilities into Bets!I:K (skipping any row already flagged as Placed=Y) and writes a snapshot of /live_state.json here every 5 minutes.</t>
  </si>
  <si>
    <t>Grp</t>
  </si>
  <si>
    <t>Home</t>
  </si>
  <si>
    <t>Away</t>
  </si>
  <si>
    <t>Venue</t>
  </si>
  <si>
    <t>KO local</t>
  </si>
  <si>
    <t>KO UK</t>
  </si>
  <si>
    <t>Model pH</t>
  </si>
  <si>
    <t>Model pD</t>
  </si>
  <si>
    <t>Model pA</t>
  </si>
  <si>
    <t>Odds H</t>
  </si>
  <si>
    <t>Odds D</t>
  </si>
  <si>
    <t>Odds A</t>
  </si>
  <si>
    <t>imp H</t>
  </si>
  <si>
    <t>imp D</t>
  </si>
  <si>
    <t>imp A</t>
  </si>
  <si>
    <t>Overround</t>
  </si>
  <si>
    <t>mkt H</t>
  </si>
  <si>
    <t>mkt D</t>
  </si>
  <si>
    <t>mkt A</t>
  </si>
  <si>
    <t>blend H</t>
  </si>
  <si>
    <t>blend D</t>
  </si>
  <si>
    <t>blend A</t>
  </si>
  <si>
    <t>EV H</t>
  </si>
  <si>
    <t>EV D</t>
  </si>
  <si>
    <t>EV A</t>
  </si>
  <si>
    <t>pick#</t>
  </si>
  <si>
    <t>code</t>
  </si>
  <si>
    <t>PICK</t>
  </si>
  <si>
    <t>EV %</t>
  </si>
  <si>
    <t>Edge pp</t>
  </si>
  <si>
    <t>DECISION</t>
  </si>
  <si>
    <t>£ / £100 bank</t>
  </si>
  <si>
    <t>ENGINE STAKE £</t>
  </si>
  <si>
    <t>p(blend)</t>
  </si>
  <si>
    <t>Kelly f</t>
  </si>
  <si>
    <t>rankkey</t>
  </si>
  <si>
    <t>Placed?</t>
  </si>
  <si>
    <t>Odds taken</t>
  </si>
  <si>
    <t>Result</t>
  </si>
  <si>
    <t>Cum P&amp;L</t>
  </si>
  <si>
    <t>WHY (plain English)</t>
  </si>
  <si>
    <t>Backed</t>
  </si>
  <si>
    <t>dec@bet</t>
  </si>
  <si>
    <t>eng£@bet</t>
  </si>
  <si>
    <t>pick@bet</t>
  </si>
  <si>
    <t>class</t>
  </si>
  <si>
    <t>eng£ eff</t>
  </si>
  <si>
    <t>intel Δ</t>
  </si>
  <si>
    <t>pH (cal)</t>
  </si>
  <si>
    <t>pD (cal)</t>
  </si>
  <si>
    <t>pA (cal)</t>
  </si>
  <si>
    <t>intel breakdown</t>
  </si>
  <si>
    <t>altitude m</t>
  </si>
  <si>
    <t>climate</t>
  </si>
  <si>
    <t>home travel km</t>
  </si>
  <si>
    <t>A</t>
  </si>
  <si>
    <t>Mexico</t>
  </si>
  <si>
    <t>South Africa</t>
  </si>
  <si>
    <t>Mexico City</t>
  </si>
  <si>
    <t>13:00</t>
  </si>
  <si>
    <t>20:00</t>
  </si>
  <si>
    <t>H</t>
  </si>
  <si>
    <t>high_altitude_mild</t>
  </si>
  <si>
    <t>South Korea</t>
  </si>
  <si>
    <t>Czechia</t>
  </si>
  <si>
    <t>Zapopan</t>
  </si>
  <si>
    <t>03:00 +1d</t>
  </si>
  <si>
    <t>BET</t>
  </si>
  <si>
    <t>Czechia weather: -4 · South Korea weather: -1</t>
  </si>
  <si>
    <t>warm_humid</t>
  </si>
  <si>
    <t>B</t>
  </si>
  <si>
    <t>Canada</t>
  </si>
  <si>
    <t>Bosnia and Herzegovina</t>
  </si>
  <si>
    <t>Toronto</t>
  </si>
  <si>
    <t>15:00</t>
  </si>
  <si>
    <t>mild</t>
  </si>
  <si>
    <t>D</t>
  </si>
  <si>
    <t>United States</t>
  </si>
  <si>
    <t>Paraguay</t>
  </si>
  <si>
    <t>Inglewood</t>
  </si>
  <si>
    <t>18:00</t>
  </si>
  <si>
    <t>02:00 +1d</t>
  </si>
  <si>
    <t>warm_dry_indoor</t>
  </si>
  <si>
    <t>Qatar</t>
  </si>
  <si>
    <t>Switzerland</t>
  </si>
  <si>
    <t>Santa Clara</t>
  </si>
  <si>
    <t>12:00</t>
  </si>
  <si>
    <t>mild_dry</t>
  </si>
  <si>
    <t>C</t>
  </si>
  <si>
    <t>Brazil</t>
  </si>
  <si>
    <t>Morocco</t>
  </si>
  <si>
    <t>East Rutherford</t>
  </si>
  <si>
    <t>23:00</t>
  </si>
  <si>
    <t>Haiti</t>
  </si>
  <si>
    <t>Scotland</t>
  </si>
  <si>
    <t>Foxborough</t>
  </si>
  <si>
    <t>21:00</t>
  </si>
  <si>
    <t>warm</t>
  </si>
  <si>
    <t>Australia</t>
  </si>
  <si>
    <t>Turkey</t>
  </si>
  <si>
    <t>Vancouver</t>
  </si>
  <si>
    <t>05:00 +1d</t>
  </si>
  <si>
    <t>mild_indoor</t>
  </si>
  <si>
    <t>E</t>
  </si>
  <si>
    <t>Germany</t>
  </si>
  <si>
    <t>Curacao</t>
  </si>
  <si>
    <t>Houston</t>
  </si>
  <si>
    <t>very_hot_humid_indoor</t>
  </si>
  <si>
    <t>F</t>
  </si>
  <si>
    <t>Netherlands</t>
  </si>
  <si>
    <t>Japan</t>
  </si>
  <si>
    <t>Arlington</t>
  </si>
  <si>
    <t>very_hot_indoor</t>
  </si>
  <si>
    <t>Ivory Coast</t>
  </si>
  <si>
    <t>Ecuador</t>
  </si>
  <si>
    <t>Philadelphia</t>
  </si>
  <si>
    <t>19:00</t>
  </si>
  <si>
    <t>00:00 +1d</t>
  </si>
  <si>
    <t>Sweden</t>
  </si>
  <si>
    <t>Tunisia</t>
  </si>
  <si>
    <t>Guadalupe</t>
  </si>
  <si>
    <t>Sweden weather: -4</t>
  </si>
  <si>
    <t>very_hot</t>
  </si>
  <si>
    <t>Spain</t>
  </si>
  <si>
    <t>Cape Verde</t>
  </si>
  <si>
    <t>Atlanta</t>
  </si>
  <si>
    <t>17:00</t>
  </si>
  <si>
    <t>hot_humid_indoor</t>
  </si>
  <si>
    <t>G</t>
  </si>
  <si>
    <t>Belgium</t>
  </si>
  <si>
    <t>Egypt</t>
  </si>
  <si>
    <t>Seattle</t>
  </si>
  <si>
    <t>Saudi Arabia</t>
  </si>
  <si>
    <t>Uruguay</t>
  </si>
  <si>
    <t>Miami Gardens</t>
  </si>
  <si>
    <t>very_hot_humid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</si>
  <si>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</si>
  <si>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</si>
  <si>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</si>
  <si>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</si>
  <si>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</si>
  <si>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</si>
  <si>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</si>
  <si>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</si>
  <si>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</si>
  <si>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</si>
  <si>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Kansas City</t>
  </si>
  <si>
    <t>hot</t>
  </si>
  <si>
    <t>Austria</t>
  </si>
  <si>
    <t>Jordan</t>
  </si>
  <si>
    <t>K</t>
  </si>
  <si>
    <t>Portugal</t>
  </si>
  <si>
    <t>DR Congo</t>
  </si>
  <si>
    <t>Portugal weather: -8</t>
  </si>
  <si>
    <t>L</t>
  </si>
  <si>
    <t>England</t>
  </si>
  <si>
    <t>Croatia</t>
  </si>
  <si>
    <t>Croatia weather: -4 · England weather: -4</t>
  </si>
  <si>
    <t>Ghana</t>
  </si>
  <si>
    <t>Panama</t>
  </si>
  <si>
    <t>Uzbekistan</t>
  </si>
  <si>
    <t>Colombia</t>
  </si>
  <si>
    <t>06:00 +1d</t>
  </si>
  <si>
    <t>Netherlands weather: -4 · Sweden weather: -4</t>
  </si>
  <si>
    <t>16:00</t>
  </si>
  <si>
    <t>01:00 +1d</t>
  </si>
  <si>
    <t>22:00</t>
  </si>
  <si>
    <t>Saudi Arabia weather: -1 · Spain weather: -4</t>
  </si>
  <si>
    <t>Austria weather: -4</t>
  </si>
  <si>
    <t>07:00 +1d</t>
  </si>
  <si>
    <t>Portugal weather: -4 · Uzbekistan weather: -1</t>
  </si>
  <si>
    <t>Scotland weather: -4</t>
  </si>
  <si>
    <t>04:00 +1d</t>
  </si>
  <si>
    <t>Japan weather: -1 · Sweden weather: -4</t>
  </si>
  <si>
    <t>England weather: -4</t>
  </si>
  <si>
    <t>Croatia weather: -4</t>
  </si>
  <si>
    <t>19:30</t>
  </si>
  <si>
    <t>00:30 +1d</t>
  </si>
  <si>
    <t>Uzbekistan weather: -1</t>
  </si>
  <si>
    <t>Jordan weather: -1</t>
  </si>
  <si>
    <t>MATCHDAY CONSOLE (FINAL) — the only tab you touch.   YELLOW = YOU TYPE  ·  GREY = AUTOMATIC  ·  decimal odds only (21/50 → 1.42)</t>
  </si>
  <si>
    <t>THE MATCH</t>
  </si>
  <si>
    <t>① TYPE 3 ODDS (decimal)</t>
  </si>
  <si>
    <t>② READ THE ANSWER</t>
  </si>
  <si>
    <t>③ TEAM NEWS + MOTIVATION</t>
  </si>
  <si>
    <t>④ LOG BET → RESULT</t>
  </si>
  <si>
    <t>HONESTY LABEL</t>
  </si>
  <si>
    <t>⑤ OPTIONAL: CLOSING ODDS</t>
  </si>
  <si>
    <t>Manual Calculation (ignore)</t>
  </si>
  <si>
    <t>UK KO</t>
  </si>
  <si>
    <t>Odds 1</t>
  </si>
  <si>
    <t>Odds X</t>
  </si>
  <si>
    <t>Odds 2</t>
  </si>
  <si>
    <t>WHY</t>
  </si>
  <si>
    <t>Team news &amp; motivation OK? (Y/N)</t>
  </si>
  <si>
    <t>FINAL ACTION</t>
  </si>
  <si>
    <t>Placed? (Y/N)</t>
  </si>
  <si>
    <t>Backed (H/D/A)</t>
  </si>
  <si>
    <t>Odds you got</t>
  </si>
  <si>
    <t>Stake you placed £</t>
  </si>
  <si>
    <t>Result (H/D/A/Void)</t>
  </si>
  <si>
    <t>Closing odds</t>
  </si>
  <si>
    <t>CLV</t>
  </si>
  <si>
    <t>actual bets</t>
  </si>
  <si>
    <t>actual returns</t>
  </si>
  <si>
    <t>Y</t>
  </si>
  <si>
    <t>N</t>
  </si>
  <si>
    <t>SETTINGS &amp; METHODOLOGY</t>
  </si>
  <si>
    <t>Model snapshot: 2026-06-10 14:10 UTC  ·  wc26-matchday-intelligence.vercel.app  ·  engine v2.3.1</t>
  </si>
  <si>
    <t>Starting bankroll (£)</t>
  </si>
  <si>
    <t>Your pot. £500–£1,000. Everything scales off this.</t>
  </si>
  <si>
    <t>Model weight  w</t>
  </si>
  <si>
    <t>Auto-actuated by CLV (see B46-B49). Stays near 0.35 until you have ≥5 graded closes; then drifts up if your closes beat the market, down if they lag. Hard-pin via B49.</t>
  </si>
  <si>
    <t>Kelly multiplier</t>
  </si>
  <si>
    <t>Quarter-Kelly. Full Kelly assumes your probabilities are exactly right — they are not.</t>
  </si>
  <si>
    <t>Max stake (% of bankroll)</t>
  </si>
  <si>
    <t>Hard cap per bet. Big "edges" are usually data errors.</t>
  </si>
  <si>
    <t>Min EV to bet</t>
  </si>
  <si>
    <t>Expected value per £1 must clear this or the margin eats you.</t>
  </si>
  <si>
    <t>Min edge (blend − market, pp)</t>
  </si>
  <si>
    <t>Blend must beat the de-vigged market by this. With w=35% this needs your raw model ≈7pp+ above market — deliberate. Most matches should be PASS.</t>
  </si>
  <si>
    <t>Min stake (£)</t>
  </si>
  <si>
    <t>Below this the bet is not worth the click.</t>
  </si>
  <si>
    <t>CURRENT BANKROLL (auto)</t>
  </si>
  <si>
    <t>Starting bankroll + settled P&amp;L. Stakes shrink after losses, grow after wins — automatically.</t>
  </si>
  <si>
    <t>FRACTIONAL → DECIMAL CONVERTER</t>
  </si>
  <si>
    <t>Numerator (a in a/b)</t>
  </si>
  <si>
    <t>Denominator (b)</t>
  </si>
  <si>
    <t>Decimal odds</t>
  </si>
  <si>
    <t>Implied probability</t>
  </si>
  <si>
    <t>MATCH DAY — 5 BABY STEPS (Matchday tab only)</t>
  </si>
  <si>
    <t>STEP 1 — TYPE THE ODDS.  Find today's match (Date column). In your betting app, set odds display to Decimal (Bet365: Settings → Odds format → Decimal). Type the three prices into the three yellow boxes: Odds 1 = home team, Odds X = draw, Odds 2 = away team. Example: 1.42, 4.50, 8.50.</t>
  </si>
  <si>
    <t>STEP 2 — READ THE ANSWER.  The sheet fills in PICK, DECISION, ENGINE STAKE £ and WHY. PASS → ENGINE STAKE shows "–" and FINAL ACTION shows "❌ NO BET": that IS the engine updating — it answered no, the price is not good enough. Close the app, you are done. Most matches end here; that is the engine saving your money, not failing.</t>
  </si>
  <si>
    <t>STEP 3 — TEAM NEWS + MOTIVATION.  Only when DECISION says BET: open wc26-matchday-intelligence and check injuries, lineups, weather — AND, in the final group round (amber match numbers, 24–27 Jun), whether both teams still have something to play for. All clear → Y. Star out, B-team, storm, or a dead rubber → N. FINAL ACTION then says exactly what to do: 🟢 PLACE, 🟡 WAIT, or 🔴 SKIP. The model cannot see group-table context, so this human check is load-bearing on Matchday 3.</t>
  </si>
  <si>
    <t>STEP 4 — LOG IT.  Bet ONLY the green instruction — exact amount, exact pick, never more. Then type: Placed = Y, Backed = the outcome you bet on (H/D/A), the odds you actually got, and your stake. If STATUS says "odds moved", the price changed too much — delete and retype the odds in Step 1 and check the answer again before betting.</t>
  </si>
  <si>
    <t>STEP 5 — AFTER FULL TIME.  Type the result: H = home won, D = draw, A = away won, Void = abandoned. Bankroll, P&amp;L and all future stake sizes update by themselves. Done.</t>
  </si>
  <si>
    <t>GOLDEN RULES</t>
  </si>
  <si>
    <t>"Likely to win" is NOT "worth betting". Mexico at 1.42 were very likely to win — the engine still said PASS because the price was too short. The only question that matters: is the bookmaker paying more than the chance is worth?</t>
  </si>
  <si>
    <t>Want to bet on a PASS anyway? Allowed — it is your fun money. But log it, and STATUS will honestly label it "⚠ FUN BET — engine said pass". Keep fun bets to a fiver. Your £20 Mexico bet is logged as exactly this.</t>
  </si>
  <si>
    <t>Never raise a stake because you "feel good", never chase a loss, never bet a 🟡 or 🔴.</t>
  </si>
  <si>
    <t>Optional homework: just before kickoff, note the closing odds in the last yellow column. CLV positive on most bets after 15–20 = the engine is genuinely beating the market (raise model weight). Mostly negative = your edge is fake (lower it).</t>
  </si>
  <si>
    <t>HOW THE ENGINE DECIDES (the maths, unchanged)</t>
  </si>
  <si>
    <t>Implied probability = 1 / decimal odds. The three sum to ~104–106%; the excess is the bookmaker margin, removed by normalising ("mkt" columns on the Bets tab). That de-vigged market is the strongest free predictor in football — it must be beaten, not matched. Betting probability = 35% your model + 65% market. EV per £1 = p × odds − 1. BET needs EV ≥ 2.5% AND edge ≥ 2.5pp. Stake = quarter-Kelly on current bankroll, capped at 3%.</t>
  </si>
  <si>
    <t>Why so strict: betting all 72 matches blind at £10 would cost ~£30–45 in pure margin. Maximum profit = bet the few mispricings, pass everything else.</t>
  </si>
  <si>
    <t>SHARING WITH FRIENDS</t>
  </si>
  <si>
    <t>The "£ / £100 bank" column on the Bets tab is bankroll-independent: a friend with £200 stakes 2× that number, £1,000 stakes 10×. Same rules: only 🟢 instructions, cap any bet at ~3% of their own pot.</t>
  </si>
  <si>
    <t>WHEN YOUR MODEL UPDATES (live re-sims after results)</t>
  </si>
  <si>
    <t>Yes — refresh before betting on later matchdays, using the Model Refresh tab: paste the new p_home_win / p_draw / p_away_win (match order) into its yellow block, then copy its output block and paste AS VALUES over Bets!I2:K73. The output automatically keeps the ORIGINAL probabilities for any match where Placed = Y, so already-placed bets are never reclassified and your record is never rewritten. P&amp;L itself is doubly safe: it grades against your logged Backed/odds/stake, which no refresh can touch.</t>
  </si>
  <si>
    <t>Audit rhythm: after ~10 graded bets, specifically check signals where your model had the favourite above 65% — that is where it runs hot (Spain/Argentina pattern). After 15–20, review avg CLV: consistently positive → raise model weight; negative → lower it.</t>
  </si>
  <si>
    <t>THE SMALL PRINT</t>
  </si>
  <si>
    <t>Entertainment with a method, not financial advice; no outcome is guaranteed — the most likely result of any £500 betting experiment is a small net loss. Bet only what you are happy to lose, set deposit limits, 18+, BeGambleAware.org. Friends bet at their own risk.</t>
  </si>
  <si>
    <t>AUTOMATION CONTROLS (v2 — live engine)</t>
  </si>
  <si>
    <t>CLV base weight w₀</t>
  </si>
  <si>
    <t>Anchor for the model weight. Stays at 0.35 unless CLV says otherwise.</t>
  </si>
  <si>
    <t>CLV trailing avg (auto)</t>
  </si>
  <si>
    <t>Mean closing-line value across all logged closes. Needs ≥5 grades.</t>
  </si>
  <si>
    <t>CLV sensitivity</t>
  </si>
  <si>
    <t>Knob: how aggressively w follows CLV. 0 = static. 0.5 = each +1pp CLV nudges w +0.5pp.</t>
  </si>
  <si>
    <t>Manual w override (blank = auto)</t>
  </si>
  <si>
    <t>Type 0.15–0.55 to pin w (values outside are clamped). Leave blank for CLV-actuated.</t>
  </si>
  <si>
    <t>Peak bankroll (auto)</t>
  </si>
  <si>
    <t>Highest bankroll reached. Drives the drawdown circuit-breaker.</t>
  </si>
  <si>
    <t>Current drawdown (auto)</t>
  </si>
  <si>
    <t>How far below peak you sit, as a fraction.</t>
  </si>
  <si>
    <t>Max drawdown allowed</t>
  </si>
  <si>
    <t>Circuit-breaker threshold. 0.15 = pause if ≥15% below peak.</t>
  </si>
  <si>
    <t>Circuit breaker tripped? (auto)</t>
  </si>
  <si>
    <t>TRUE when current DD ≥ threshold.</t>
  </si>
  <si>
    <t>Override (Y to keep betting)</t>
  </si>
  <si>
    <t>Type Y to keep betting through a tripped breaker. Use deliberately.</t>
  </si>
  <si>
    <t>PAUSE engine? (auto)</t>
  </si>
  <si>
    <t>When TRUE, every Bets row flips to 🛑 PAUSED.</t>
  </si>
  <si>
    <t>De-vig method</t>
  </si>
  <si>
    <t>shin</t>
  </si>
  <si>
    <t>proportional / shin / power. Shin &amp; power lift favourites ~1pp vs proportional.</t>
  </si>
  <si>
    <t>Last model refresh (UTC, auto)</t>
  </si>
  <si>
    <t>Written by Apps Script when refreshModel() runs.</t>
  </si>
  <si>
    <t>Last live poll (UTC, auto)</t>
  </si>
  <si>
    <t>Written by Apps Script when refreshLive() runs.</t>
  </si>
  <si>
    <t>Live state mode (auto)</t>
  </si>
  <si>
    <t>From live_state.json: pre_tournament / in_progress / complete.</t>
  </si>
  <si>
    <t>Completed matches (auto)</t>
  </si>
  <si>
    <t>From live_state.json.completed_matches_count.</t>
  </si>
  <si>
    <t>Provider mode (auto)</t>
  </si>
  <si>
    <t>active / fallback — from live_state.json.provider_mode.</t>
  </si>
  <si>
    <t>Provider warnings (auto)</t>
  </si>
  <si>
    <t>Joined warnings array from live_state.json.warnings.</t>
  </si>
  <si>
    <t>Auto-refresh status</t>
  </si>
  <si>
    <t>PAUSED · stale feed (25 min)</t>
  </si>
  <si>
    <t>ON when Apps Script time trigger is installed.</t>
  </si>
  <si>
    <t>Bets!AH, Bets!S/T/U and Matchday!M auto-react to changes in B49-B56. The Apps Script (Extensions ▸ Apps Script) populates B57-B63 every cycle.</t>
  </si>
  <si>
    <t>v2.3.1: Bets!AW:AY are snapshot cells written by the script when you set Placed=Y (decision, engine stake, pick at that moment). STATUS and the Dashboard engine/fun split key off the snapshot, falling back to live values if the script is off.</t>
  </si>
  <si>
    <t>—— INTELLIGENCE &amp; DIAGNOSTICS (auto · v2.3) ——</t>
  </si>
  <si>
    <t>Intel generated at (UTC, auto)</t>
  </si>
  <si>
    <t>From matchday_intelligence.generated_at</t>
  </si>
  <si>
    <t>Intel total components (auto)</t>
  </si>
  <si>
    <t>Active injury/weather/lineup/stats adjustments now in play</t>
  </si>
  <si>
    <t>Intel teams affected (auto)</t>
  </si>
  <si>
    <t>Unique teams with at least one active adjustment</t>
  </si>
  <si>
    <t>Intel matches affected (auto)</t>
  </si>
  <si>
    <t>Unique matches with at least one active adjustment</t>
  </si>
  <si>
    <t>Intel aggregate caps hit (auto)</t>
  </si>
  <si>
    <t>Teams where the per-team Elo cap (±35) was binding</t>
  </si>
  <si>
    <t>Walk-forward mean log-loss (auto)</t>
  </si>
  <si>
    <t>Out-of-sample, averaged across WC2010/14/18/22 (lower = better)</t>
  </si>
  <si>
    <t>Walk-forward 2022 lift vs Elo (auto)</t>
  </si>
  <si>
    <t>Most recent cycle. &lt;0 means model trailed naive Elo baseline.</t>
  </si>
  <si>
    <t>Holdout log-loss (auto)</t>
  </si>
  <si>
    <t>From /calibration.json holdout (mixed-source; check scope below)</t>
  </si>
  <si>
    <t>Holdout lift vs Elo (auto)</t>
  </si>
  <si>
    <t>Holdout log-loss improvement vs Elo baseline</t>
  </si>
  <si>
    <t>Calibration validation scope (auto)</t>
  </si>
  <si>
    <t>in_sample_check — WC 2010-2018 likely in training set; use walk_forward.json for true out-of-sample.</t>
  </si>
  <si>
    <t>in_sample_check = WC matches may be in train set. Trust walk-forward instead.</t>
  </si>
  <si>
    <t>Calibration n_test (auto)</t>
  </si>
  <si>
    <t>Sample size backing the reliability bins</t>
  </si>
  <si>
    <t>Last diagnostics refresh (auto)</t>
  </si>
  <si>
    <t>When refreshDiagnostics() last ran</t>
  </si>
  <si>
    <t>Last intel refresh (auto)</t>
  </si>
  <si>
    <t>When refreshIntel() last ran</t>
  </si>
  <si>
    <t>STALE feed kill (auto)</t>
  </si>
  <si>
    <t>TRUE when /live_state.json.last_updated_utc &gt; 15 min old. Method!B55 ORs this in — Bets!AJ stake formulas stop emitting.</t>
  </si>
  <si>
    <t>CHAMPION PROBABILITIES — your model vs Opta vs market (context only; you are betting matches, not outrights)</t>
  </si>
  <si>
    <t>Team</t>
  </si>
  <si>
    <t>Your model</t>
  </si>
  <si>
    <t>Fair odds</t>
  </si>
  <si>
    <t>Opta 25k sims</t>
  </si>
  <si>
    <t>Model − Opta (pp)</t>
  </si>
  <si>
    <t>Bookie odds (enter)</t>
  </si>
  <si>
    <t>Implied</t>
  </si>
  <si>
    <t>n/a</t>
  </si>
  <si>
    <t>Read: your model is ~8pp hotter than Opta on Spain and Argentina and cooler on France/England. The market sits nearer Opta. Treat your model's strong-favourite probabilities as overconfident — that is exactly why match betting uses the 35% blend weight.</t>
  </si>
  <si>
    <t>Sources: your predictions.json (10 Jun 2026 snapshot) · Opta Analyst supercomputer, 25,000 pre-tournament sims, early Jun 2026.</t>
  </si>
  <si>
    <t>MODEL REFRESH — safe update after your pipeline re-simulates</t>
  </si>
  <si>
    <t>1. Open wc26-matchday-intelligence.vercel.app/predictions.json after a re-sim.</t>
  </si>
  <si>
    <t>2. Paste the new p_home_win / p_draw / p_away_win for matches 1–72 (in match order) into the yellow block B8:D79.</t>
  </si>
  <si>
    <t>3. Copy the OUTPUT block F8:H79 → on the Bets tab select I2 → paste AS VALUES (Google Sheets: Ctrl+Shift+V · Excel: Paste Special → Values).</t>
  </si>
  <si>
    <t>4. Done. Rows already placed (flagged PLACED) keep their original probabilities automatically — history is never rewritten.</t>
  </si>
  <si>
    <t>new pH</t>
  </si>
  <si>
    <t>new pD</t>
  </si>
  <si>
    <t>new pA</t>
  </si>
  <si>
    <t>flag</t>
  </si>
  <si>
    <t>OUT pH</t>
  </si>
  <si>
    <t>OUT pD</t>
  </si>
  <si>
    <t>OUT pA</t>
  </si>
  <si>
    <t>champion / advance / per-stage / group-winner / to-qualify</t>
  </si>
  <si>
    <t>Source: /predictions_live.json · team_predictions[] · pre-seeded at v2.3.1 build · Apps Script refreshes deltas every 10 min · type bookie odds in col L</t>
  </si>
  <si>
    <t>p_champion</t>
  </si>
  <si>
    <t>p_champ_p05</t>
  </si>
  <si>
    <t>p_champ_p95</t>
  </si>
  <si>
    <t>Spread (p95-p05)</t>
  </si>
  <si>
    <t>p_advance</t>
  </si>
  <si>
    <t>p_R16</t>
  </si>
  <si>
    <t>p_QF</t>
  </si>
  <si>
    <t>p_SF</t>
  </si>
  <si>
    <t>p_Final</t>
  </si>
  <si>
    <t>Bookie odds</t>
  </si>
  <si>
    <t>BET?</t>
  </si>
  <si>
    <t>p_winner_grp</t>
  </si>
  <si>
    <t>p_2nd_grp</t>
  </si>
  <si>
    <t>p_3rd_place</t>
  </si>
  <si>
    <t>IN-PLAY — live match score + elapsed (from /live_state.json:in_play[])</t>
  </si>
  <si>
    <t>Last refresh (UTC)</t>
  </si>
  <si>
    <t>#m</t>
  </si>
  <si>
    <t>Home score</t>
  </si>
  <si>
    <t>Away score</t>
  </si>
  <si>
    <t>Elapsed</t>
  </si>
  <si>
    <t>Status</t>
  </si>
  <si>
    <t>Status (long)</t>
  </si>
  <si>
    <t>Pulled at</t>
  </si>
  <si>
    <t>(no matches in play right now)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</si>
</sst>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\£#,##0"/>
    <numFmt numFmtId="165" formatCode="dd\ mmm"/>
    <numFmt numFmtId="166" formatCode="\£#,##0;&quot;(£&quot;#,##0\);\£0"/>
    <numFmt numFmtId="167" formatCode="\+0.0%;\-0.0%"/>
    <numFmt numFmtId="168" formatCode="0.0%"/>
    <numFmt numFmtId="169" formatCode="\+0.0%"/>
    <numFmt numFmtId="170" formatCode="ddd\ dd\ mmm"/>
    <numFmt numFmtId="171" formatCode="\£#,##0;&quot;(£&quot;#,##0\);\–"/>
    <numFmt numFmtId="172" formatCode="D/M/YYYY"/>
    <numFmt numFmtId="173" formatCode="\+0.0%;\-0.0%;0.0%"/>
    <numFmt numFmtId="174" formatCode="\£0.0"/>
    <numFmt numFmtId="175" formatCode="[$£-809]#,##0.00"/>
    <numFmt numFmtId="176" formatCode="0.000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b/>
      <sz val="11.0"/>
      <color rgb="FF000000"/>
      <name val="Arial"/>
    </font>
    <font>
      <sz val="8.0"/>
      <color rgb="FF000000"/>
      <name val="Arial"/>
    </font>
    <font>
      <b/>
      <sz val="11.0"/>
      <color theme="1"/>
      <name val="Calibri"/>
    </font>
    <font>
      <sz val="9.0"/>
      <color theme="1"/>
      <name val="Arial"/>
    </font>
    <font>
      <b/>
      <sz val="15.0"/>
      <color rgb="FF000000"/>
      <name val="Arial"/>
    </font>
    <font>
      <i/>
      <sz val="9.0"/>
      <color rgb="FF6B7280"/>
      <name val="Arial"/>
    </font>
    <font>
      <sz val="9.0"/>
      <color rgb="FF6B7280"/>
      <name val="Arial"/>
    </font>
    <font>
      <b/>
      <sz val="12.0"/>
      <color rgb="FF008000"/>
      <name val="Arial"/>
    </font>
    <font>
      <sz val="9.0"/>
      <color rgb="FFB45309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374151"/>
      <name val="Arial"/>
    </font>
    <font>
      <b/>
      <sz val="11.0"/>
      <color rgb="FFFFFFFF"/>
      <name val="Calibri"/>
    </font>
    <font/>
    <font>
      <u/>
      <sz val="11.0"/>
      <color rgb="FF0000FF"/>
      <name val="Calibri"/>
    </font>
    <font>
      <i/>
      <sz val="9.0"/>
      <color rgb="FF595959"/>
      <name val="Calibri"/>
    </font>
    <font>
      <b/>
      <sz val="11.0"/>
      <color theme="1"/>
      <name val="Calibri"/>
      <scheme val="minor"/>
    </font>
    <font>
      <color theme="1"/>
      <name val="Calibri"/>
      <scheme val="minor"/>
    </font>
    <font>
      <i/>
      <color rgb="FF808080"/>
      <name val="Calibri"/>
      <scheme val="minor"/>
    </font>
    <font>
      <b/>
      <color theme="1"/>
      <name val="Calibri"/>
      <scheme val="minor"/>
    </font>
    <font>
      <sz val="9.0"/>
      <color rgb="FF008000"/>
      <name val="Arial"/>
    </font>
    <font>
      <b/>
      <sz val="13.0"/>
      <color rgb="FF000000"/>
      <name val="Arial"/>
    </font>
    <font>
      <color theme="1"/>
      <name val="Calibri"/>
    </font>
    <font>
      <b/>
      <sz val="8.0"/>
      <color rgb="FFFFFFFF"/>
      <name val="Arial"/>
    </font>
    <font>
      <sz val="10.0"/>
      <color rgb="FF0000FF"/>
      <name val="Arial"/>
    </font>
    <font>
      <b/>
      <sz val="11.0"/>
      <color rgb="FF008000"/>
      <name val="Arial"/>
    </font>
    <font>
      <sz val="10.0"/>
      <color rgb="FF000000"/>
      <name val="Arial"/>
    </font>
    <font>
      <i/>
      <sz val="9.0"/>
      <color rgb="FF595959"/>
      <name val="Arial"/>
    </font>
    <font>
      <sz val="9.0"/>
      <color rgb="FF0000FF"/>
      <name val="Arial"/>
    </font>
    <font>
      <i/>
      <sz val="8.0"/>
      <color rgb="FF6B7280"/>
      <name val="Arial"/>
    </font>
    <font>
      <sz val="8.0"/>
      <color rgb="FFB45309"/>
      <name val="Arial"/>
    </font>
    <font>
      <b/>
      <sz val="14.0"/>
      <color theme="1"/>
      <name val="Calibri"/>
      <scheme val="minor"/>
    </font>
    <font>
      <i/>
      <color rgb="FFAAAAAA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305496"/>
        <bgColor rgb="FF305496"/>
      </patternFill>
    </fill>
    <fill>
      <patternFill patternType="solid">
        <fgColor rgb="FFE7E6E6"/>
        <bgColor rgb="FFE7E6E6"/>
      </patternFill>
    </fill>
    <fill>
      <patternFill patternType="solid">
        <fgColor rgb="FF6B7280"/>
        <bgColor rgb="FF6B7280"/>
      </patternFill>
    </fill>
    <fill>
      <patternFill patternType="solid">
        <fgColor rgb="FF2563EB"/>
        <bgColor rgb="FF2563EB"/>
      </patternFill>
    </fill>
    <fill>
      <patternFill patternType="solid">
        <fgColor rgb="FF7C3AED"/>
        <bgColor rgb="FF7C3AED"/>
      </patternFill>
    </fill>
    <fill>
      <patternFill patternType="solid">
        <fgColor rgb="FFD97706"/>
        <bgColor rgb="FFD97706"/>
      </patternFill>
    </fill>
    <fill>
      <patternFill patternType="solid">
        <fgColor rgb="FF059669"/>
        <bgColor rgb="FF059669"/>
      </patternFill>
    </fill>
    <fill>
      <patternFill patternType="solid">
        <fgColor rgb="FF374151"/>
        <bgColor rgb="FF374151"/>
      </patternFill>
    </fill>
    <fill>
      <patternFill patternType="solid">
        <fgColor rgb="FFF4CCCC"/>
        <bgColor rgb="FFF4CCCC"/>
      </patternFill>
    </fill>
    <fill>
      <patternFill patternType="solid">
        <fgColor rgb="FFFFF7CC"/>
        <bgColor rgb="FFFFF7CC"/>
      </patternFill>
    </fill>
    <fill>
      <patternFill patternType="solid">
        <fgColor rgb="FFFEF3C7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FFF8DC"/>
        <bgColor rgb="FFFFF8DC"/>
      </patternFill>
    </fill>
  </fills>
  <borders count="7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2" fontId="12" numFmtId="164" xfId="0" applyAlignment="1" applyBorder="1" applyFill="1" applyFont="1" applyNumberFormat="1">
      <alignment horizontal="center" vertical="center"/>
    </xf>
    <xf borderId="1" fillId="2" fontId="12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shrinkToFit="0" vertical="top" wrapText="1"/>
    </xf>
    <xf borderId="1" fillId="2" fontId="12" numFmtId="165" xfId="0" applyAlignment="1" applyBorder="1" applyFont="1" applyNumberFormat="1">
      <alignment horizontal="center" vertical="center"/>
    </xf>
    <xf borderId="1" fillId="2" fontId="12" numFmtId="166" xfId="0" applyAlignment="1" applyBorder="1" applyFont="1" applyNumberFormat="1">
      <alignment horizontal="center" vertical="center"/>
    </xf>
    <xf borderId="1" fillId="2" fontId="12" numFmtId="167" xfId="0" applyAlignment="1" applyBorder="1" applyFont="1" applyNumberFormat="1">
      <alignment horizontal="center" vertical="center"/>
    </xf>
    <xf borderId="1" fillId="2" fontId="12" numFmtId="168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1" fillId="3" fontId="14" numFmtId="0" xfId="0" applyAlignment="1" applyBorder="1" applyFill="1" applyFon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169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0" fillId="0" fontId="16" numFmtId="0" xfId="0" applyAlignment="1" applyFont="1">
      <alignment vertical="bottom"/>
    </xf>
    <xf borderId="1" fillId="0" fontId="4" numFmtId="170" xfId="0" applyAlignment="1" applyBorder="1" applyFont="1" applyNumberFormat="1">
      <alignment horizontal="left" vertical="center"/>
    </xf>
    <xf borderId="1" fillId="0" fontId="4" numFmtId="171" xfId="0" applyAlignment="1" applyBorder="1" applyFont="1" applyNumberFormat="1">
      <alignment horizontal="center" vertical="center"/>
    </xf>
    <xf borderId="2" fillId="4" fontId="17" numFmtId="0" xfId="0" applyAlignment="1" applyBorder="1" applyFill="1" applyFont="1">
      <alignment vertical="bottom"/>
    </xf>
    <xf borderId="3" fillId="0" fontId="18" numFmtId="0" xfId="0" applyBorder="1" applyFont="1"/>
    <xf borderId="4" fillId="0" fontId="18" numFmtId="0" xfId="0" applyBorder="1" applyFont="1"/>
    <xf borderId="0" fillId="0" fontId="19" numFmtId="0" xfId="0" applyAlignment="1" applyFont="1">
      <alignment vertical="bottom"/>
    </xf>
    <xf borderId="0" fillId="0" fontId="1" numFmtId="0" xfId="0" applyAlignment="1" applyFont="1">
      <alignment vertical="center"/>
    </xf>
    <xf borderId="5" fillId="5" fontId="1" numFmtId="172" xfId="0" applyAlignment="1" applyBorder="1" applyFill="1" applyFont="1" applyNumberFormat="1">
      <alignment readingOrder="0" vertical="center"/>
    </xf>
    <xf borderId="0" fillId="0" fontId="20" numFmtId="0" xfId="0" applyAlignment="1" applyFont="1">
      <alignment vertical="bottom"/>
    </xf>
    <xf borderId="5" fillId="5" fontId="1" numFmtId="0" xfId="0" applyAlignment="1" applyBorder="1" applyFont="1">
      <alignment readingOrder="0" vertical="center"/>
    </xf>
    <xf borderId="5" fillId="5" fontId="1" numFmtId="0" xfId="0" applyAlignment="1" applyBorder="1" applyFont="1">
      <alignment readingOrder="0" vertical="center"/>
    </xf>
    <xf borderId="5" fillId="5" fontId="1" numFmtId="0" xfId="0" applyAlignment="1" applyBorder="1" applyFont="1">
      <alignment vertical="center"/>
    </xf>
    <xf borderId="0" fillId="0" fontId="1" numFmtId="0" xfId="0" applyAlignment="1" applyFont="1">
      <alignment shrinkToFit="0" vertical="bottom" wrapText="1"/>
    </xf>
    <xf borderId="0" fillId="0" fontId="21" numFmtId="0" xfId="0" applyAlignment="1" applyFont="1">
      <alignment vertical="bottom"/>
    </xf>
    <xf borderId="0" fillId="0" fontId="20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2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1" fillId="3" fontId="14" numFmtId="0" xfId="0" applyAlignment="1" applyBorder="1" applyFont="1">
      <alignment horizontal="center" vertical="bottom"/>
    </xf>
    <xf borderId="0" fillId="0" fontId="24" numFmtId="0" xfId="0" applyFont="1"/>
    <xf borderId="1" fillId="0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25" numFmtId="2" xfId="0" applyAlignment="1" applyBorder="1" applyFont="1" applyNumberFormat="1">
      <alignment vertical="bottom"/>
    </xf>
    <xf borderId="1" fillId="0" fontId="4" numFmtId="168" xfId="0" applyAlignment="1" applyBorder="1" applyFont="1" applyNumberFormat="1">
      <alignment vertical="bottom"/>
    </xf>
    <xf borderId="1" fillId="0" fontId="4" numFmtId="173" xfId="0" applyAlignment="1" applyBorder="1" applyFont="1" applyNumberFormat="1">
      <alignment vertical="bottom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center" vertical="center"/>
    </xf>
    <xf borderId="1" fillId="0" fontId="4" numFmtId="174" xfId="0" applyAlignment="1" applyBorder="1" applyFont="1" applyNumberFormat="1">
      <alignment vertical="bottom"/>
    </xf>
    <xf borderId="1" fillId="0" fontId="3" numFmtId="171" xfId="0" applyAlignment="1" applyBorder="1" applyFont="1" applyNumberFormat="1">
      <alignment vertical="bottom"/>
    </xf>
    <xf borderId="1" fillId="0" fontId="25" numFmtId="0" xfId="0" applyAlignment="1" applyBorder="1" applyFont="1">
      <alignment horizontal="center" vertical="center"/>
    </xf>
    <xf borderId="1" fillId="0" fontId="25" numFmtId="171" xfId="0" applyAlignment="1" applyBorder="1" applyFont="1" applyNumberFormat="1">
      <alignment vertical="bottom"/>
    </xf>
    <xf borderId="1" fillId="0" fontId="4" numFmtId="171" xfId="0" applyAlignment="1" applyBorder="1" applyFont="1" applyNumberFormat="1">
      <alignment vertical="bottom"/>
    </xf>
    <xf borderId="1" fillId="2" fontId="8" numFmtId="0" xfId="0" applyAlignment="1" applyBorder="1" applyFont="1">
      <alignment horizontal="center" vertical="bottom"/>
    </xf>
    <xf borderId="1" fillId="2" fontId="8" numFmtId="164" xfId="0" applyAlignment="1" applyBorder="1" applyFont="1" applyNumberFormat="1">
      <alignment horizontal="center" vertical="bottom"/>
    </xf>
    <xf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readingOrder="0" vertical="bottom"/>
    </xf>
    <xf borderId="0" fillId="0" fontId="26" numFmtId="0" xfId="0" applyAlignment="1" applyFont="1">
      <alignment vertical="bottom"/>
    </xf>
    <xf borderId="0" fillId="0" fontId="27" numFmtId="175" xfId="0" applyAlignment="1" applyFont="1" applyNumberFormat="1">
      <alignment horizontal="center"/>
    </xf>
    <xf borderId="2" fillId="6" fontId="14" numFmtId="0" xfId="0" applyAlignment="1" applyBorder="1" applyFill="1" applyFont="1">
      <alignment horizontal="center" vertical="center"/>
    </xf>
    <xf borderId="2" fillId="7" fontId="14" numFmtId="0" xfId="0" applyAlignment="1" applyBorder="1" applyFill="1" applyFont="1">
      <alignment horizontal="center" vertical="center"/>
    </xf>
    <xf borderId="2" fillId="8" fontId="14" numFmtId="0" xfId="0" applyAlignment="1" applyBorder="1" applyFill="1" applyFont="1">
      <alignment horizontal="center" vertical="center"/>
    </xf>
    <xf borderId="2" fillId="9" fontId="14" numFmtId="0" xfId="0" applyAlignment="1" applyBorder="1" applyFill="1" applyFont="1">
      <alignment horizontal="center" vertical="center"/>
    </xf>
    <xf borderId="2" fillId="10" fontId="14" numFmtId="0" xfId="0" applyAlignment="1" applyBorder="1" applyFill="1" applyFont="1">
      <alignment horizontal="center" vertical="center"/>
    </xf>
    <xf borderId="5" fillId="11" fontId="14" numFmtId="0" xfId="0" applyAlignment="1" applyBorder="1" applyFill="1" applyFont="1">
      <alignment horizontal="center" vertical="center"/>
    </xf>
    <xf borderId="1" fillId="3" fontId="28" numFmtId="0" xfId="0" applyAlignment="1" applyBorder="1" applyFont="1">
      <alignment horizontal="center" shrinkToFit="0" vertical="center" wrapText="1"/>
    </xf>
    <xf borderId="1" fillId="12" fontId="16" numFmtId="0" xfId="0" applyAlignment="1" applyBorder="1" applyFill="1" applyFont="1">
      <alignment horizontal="center" vertical="center"/>
    </xf>
    <xf borderId="1" fillId="12" fontId="16" numFmtId="170" xfId="0" applyAlignment="1" applyBorder="1" applyFont="1" applyNumberFormat="1">
      <alignment horizontal="left" vertical="center"/>
    </xf>
    <xf borderId="1" fillId="12" fontId="16" numFmtId="0" xfId="0" applyAlignment="1" applyBorder="1" applyFont="1">
      <alignment horizontal="left" vertical="center"/>
    </xf>
    <xf borderId="1" fillId="13" fontId="29" numFmtId="2" xfId="0" applyAlignment="1" applyBorder="1" applyFill="1" applyFont="1" applyNumberFormat="1">
      <alignment horizontal="center" vertical="center"/>
    </xf>
    <xf borderId="1" fillId="2" fontId="15" numFmtId="0" xfId="0" applyAlignment="1" applyBorder="1" applyFont="1">
      <alignment horizontal="left" vertical="center"/>
    </xf>
    <xf borderId="1" fillId="2" fontId="15" numFmtId="0" xfId="0" applyAlignment="1" applyBorder="1" applyFont="1">
      <alignment horizontal="center" vertical="center"/>
    </xf>
    <xf borderId="1" fillId="2" fontId="16" numFmtId="171" xfId="0" applyAlignment="1" applyBorder="1" applyFont="1" applyNumberFormat="1">
      <alignment horizontal="center" vertical="center"/>
    </xf>
    <xf borderId="1" fillId="2" fontId="16" numFmtId="0" xfId="0" applyAlignment="1" applyBorder="1" applyFont="1">
      <alignment horizontal="left" vertical="center"/>
    </xf>
    <xf borderId="1" fillId="13" fontId="29" numFmtId="0" xfId="0" applyAlignment="1" applyBorder="1" applyFont="1">
      <alignment horizontal="center" vertical="center"/>
    </xf>
    <xf borderId="1" fillId="13" fontId="29" numFmtId="164" xfId="0" applyAlignment="1" applyBorder="1" applyFont="1" applyNumberFormat="1">
      <alignment horizontal="center" vertical="center"/>
    </xf>
    <xf borderId="1" fillId="2" fontId="16" numFmtId="167" xfId="0" applyAlignment="1" applyBorder="1" applyFont="1" applyNumberFormat="1">
      <alignment horizontal="center" vertical="center"/>
    </xf>
    <xf borderId="1" fillId="13" fontId="29" numFmtId="4" xfId="0" applyAlignment="1" applyBorder="1" applyFont="1" applyNumberFormat="1">
      <alignment horizontal="center" vertical="center"/>
    </xf>
    <xf borderId="0" fillId="0" fontId="27" numFmtId="175" xfId="0" applyAlignment="1" applyFont="1" applyNumberFormat="1">
      <alignment horizontal="center" readingOrder="0"/>
    </xf>
    <xf borderId="1" fillId="13" fontId="29" numFmtId="0" xfId="0" applyAlignment="1" applyBorder="1" applyFont="1">
      <alignment horizontal="center" readingOrder="0" vertical="center"/>
    </xf>
    <xf borderId="1" fillId="13" fontId="29" numFmtId="2" xfId="0" applyAlignment="1" applyBorder="1" applyFont="1" applyNumberFormat="1">
      <alignment horizontal="center" readingOrder="0" vertical="center"/>
    </xf>
    <xf borderId="1" fillId="13" fontId="29" numFmtId="164" xfId="0" applyAlignment="1" applyBorder="1" applyFont="1" applyNumberFormat="1">
      <alignment horizontal="center" readingOrder="0" vertical="center"/>
    </xf>
    <xf borderId="1" fillId="13" fontId="29" numFmtId="4" xfId="0" applyAlignment="1" applyBorder="1" applyFont="1" applyNumberFormat="1">
      <alignment horizontal="center" readingOrder="0" vertical="center"/>
    </xf>
    <xf borderId="1" fillId="2" fontId="16" numFmtId="0" xfId="0" applyAlignment="1" applyBorder="1" applyFont="1">
      <alignment horizontal="center" vertical="center"/>
    </xf>
    <xf borderId="1" fillId="2" fontId="16" numFmtId="170" xfId="0" applyAlignment="1" applyBorder="1" applyFont="1" applyNumberFormat="1">
      <alignment horizontal="left" vertical="center"/>
    </xf>
    <xf borderId="1" fillId="14" fontId="16" numFmtId="0" xfId="0" applyAlignment="1" applyBorder="1" applyFill="1" applyFont="1">
      <alignment horizontal="center" vertical="center"/>
    </xf>
    <xf borderId="1" fillId="14" fontId="16" numFmtId="170" xfId="0" applyAlignment="1" applyBorder="1" applyFont="1" applyNumberFormat="1">
      <alignment horizontal="left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15" fontId="29" numFmtId="164" xfId="0" applyAlignment="1" applyBorder="1" applyFill="1" applyFont="1" applyNumberFormat="1">
      <alignment horizontal="center" vertical="center"/>
    </xf>
    <xf borderId="0" fillId="0" fontId="16" numFmtId="0" xfId="0" applyAlignment="1" applyFont="1">
      <alignment horizontal="left" shrinkToFit="0" vertical="top" wrapText="1"/>
    </xf>
    <xf borderId="1" fillId="15" fontId="29" numFmtId="2" xfId="0" applyAlignment="1" applyBorder="1" applyFont="1" applyNumberFormat="1">
      <alignment horizontal="center" vertical="center"/>
    </xf>
    <xf borderId="0" fillId="0" fontId="16" numFmtId="0" xfId="0" applyAlignment="1" applyFont="1">
      <alignment shrinkToFit="0" vertical="center" wrapText="1"/>
    </xf>
    <xf borderId="1" fillId="15" fontId="29" numFmtId="9" xfId="0" applyAlignment="1" applyBorder="1" applyFont="1" applyNumberFormat="1">
      <alignment horizontal="center" vertical="center"/>
    </xf>
    <xf borderId="1" fillId="15" fontId="29" numFmtId="168" xfId="0" applyAlignment="1" applyBorder="1" applyFont="1" applyNumberFormat="1">
      <alignment horizontal="center" vertical="center"/>
    </xf>
    <xf borderId="1" fillId="0" fontId="30" numFmtId="164" xfId="0" applyAlignment="1" applyBorder="1" applyFont="1" applyNumberFormat="1">
      <alignment horizontal="center" vertical="center"/>
    </xf>
    <xf borderId="0" fillId="0" fontId="31" numFmtId="0" xfId="0" applyAlignment="1" applyFont="1">
      <alignment vertical="bottom"/>
    </xf>
    <xf borderId="1" fillId="15" fontId="29" numFmtId="0" xfId="0" applyAlignment="1" applyBorder="1" applyFont="1">
      <alignment horizontal="center" vertical="center"/>
    </xf>
    <xf borderId="1" fillId="0" fontId="31" numFmtId="2" xfId="0" applyAlignment="1" applyBorder="1" applyFont="1" applyNumberFormat="1">
      <alignment horizontal="center" vertical="center"/>
    </xf>
    <xf borderId="1" fillId="0" fontId="31" numFmtId="168" xfId="0" applyAlignment="1" applyBorder="1" applyFont="1" applyNumberFormat="1">
      <alignment horizontal="center" vertical="center"/>
    </xf>
    <xf borderId="5" fillId="4" fontId="17" numFmtId="0" xfId="0" applyAlignment="1" applyBorder="1" applyFont="1">
      <alignment vertical="bottom"/>
    </xf>
    <xf borderId="6" fillId="16" fontId="1" numFmtId="2" xfId="0" applyAlignment="1" applyBorder="1" applyFill="1" applyFont="1" applyNumberFormat="1">
      <alignment horizontal="center" vertical="center"/>
    </xf>
    <xf borderId="0" fillId="0" fontId="20" numFmtId="0" xfId="0" applyAlignment="1" applyFont="1">
      <alignment shrinkToFit="0" vertical="center" wrapText="1"/>
    </xf>
    <xf borderId="6" fillId="5" fontId="1" numFmtId="10" xfId="0" applyAlignment="1" applyBorder="1" applyFont="1" applyNumberFormat="1">
      <alignment horizontal="center" vertical="center"/>
    </xf>
    <xf borderId="6" fillId="5" fontId="1" numFmtId="164" xfId="0" applyAlignment="1" applyBorder="1" applyFont="1" applyNumberFormat="1">
      <alignment horizontal="center" vertical="center"/>
    </xf>
    <xf borderId="6" fillId="16" fontId="1" numFmtId="10" xfId="0" applyAlignment="1" applyBorder="1" applyFont="1" applyNumberFormat="1">
      <alignment horizontal="center" vertical="center"/>
    </xf>
    <xf borderId="6" fillId="5" fontId="1" numFmtId="0" xfId="0" applyAlignment="1" applyBorder="1" applyFont="1">
      <alignment horizontal="center" vertical="center"/>
    </xf>
    <xf borderId="6" fillId="16" fontId="1" numFmtId="0" xfId="0" applyAlignment="1" applyBorder="1" applyFont="1">
      <alignment horizontal="center" vertical="center"/>
    </xf>
    <xf borderId="6" fillId="5" fontId="1" numFmtId="172" xfId="0" applyAlignment="1" applyBorder="1" applyFont="1" applyNumberFormat="1">
      <alignment horizontal="center" readingOrder="0" vertical="center"/>
    </xf>
    <xf borderId="6" fillId="5" fontId="1" numFmtId="0" xfId="0" applyAlignment="1" applyBorder="1" applyFont="1">
      <alignment horizontal="center" readingOrder="0" vertical="center"/>
    </xf>
    <xf borderId="6" fillId="5" fontId="1" numFmtId="0" xfId="0" applyAlignment="1" applyBorder="1" applyFont="1">
      <alignment horizontal="center" readingOrder="0" vertical="center"/>
    </xf>
    <xf borderId="0" fillId="0" fontId="32" numFmtId="0" xfId="0" applyAlignment="1" applyFont="1">
      <alignment shrinkToFit="0" vertical="bottom" wrapText="1"/>
    </xf>
    <xf borderId="0" fillId="0" fontId="1" numFmtId="14" xfId="0" applyAlignment="1" applyFont="1" applyNumberFormat="1">
      <alignment readingOrder="0" vertical="bottom"/>
    </xf>
    <xf borderId="1" fillId="0" fontId="4" numFmtId="168" xfId="0" applyAlignment="1" applyBorder="1" applyFont="1" applyNumberFormat="1">
      <alignment horizontal="center" vertical="center"/>
    </xf>
    <xf borderId="1" fillId="13" fontId="33" numFmtId="2" xfId="0" applyAlignment="1" applyBorder="1" applyFont="1" applyNumberFormat="1">
      <alignment horizontal="center" vertical="center"/>
    </xf>
    <xf borderId="0" fillId="0" fontId="34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1" fillId="13" fontId="33" numFmtId="176" xfId="0" applyAlignment="1" applyBorder="1" applyFont="1" applyNumberFormat="1">
      <alignment horizontal="center" vertical="center"/>
    </xf>
    <xf borderId="1" fillId="0" fontId="35" numFmtId="0" xfId="0" applyAlignment="1" applyBorder="1" applyFont="1">
      <alignment horizontal="center" vertical="center"/>
    </xf>
    <xf borderId="1" fillId="0" fontId="4" numFmtId="176" xfId="0" applyAlignment="1" applyBorder="1" applyFont="1" applyNumberFormat="1">
      <alignment horizontal="center" vertical="center"/>
    </xf>
    <xf borderId="0" fillId="0" fontId="36" numFmtId="0" xfId="0" applyFont="1"/>
    <xf borderId="0" fillId="0" fontId="23" numFmtId="0" xfId="0" applyFont="1"/>
    <xf borderId="0" fillId="17" fontId="24" numFmtId="0" xfId="0" applyFill="1" applyFont="1"/>
    <xf borderId="0" fillId="0" fontId="37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6">
    <dxf>
      <font>
        <color rgb="FFB91C1C"/>
        <name val="Arial"/>
      </font>
      <fill>
        <patternFill patternType="none"/>
      </fill>
      <border/>
    </dxf>
    <dxf>
      <font>
        <color rgb="FF15803D"/>
        <name val="Arial"/>
      </font>
      <fill>
        <patternFill patternType="none"/>
      </fill>
      <border/>
    </dxf>
    <dxf>
      <font>
        <b/>
        <color rgb="FF14532D"/>
        <name val="Arial"/>
      </font>
      <fill>
        <patternFill patternType="solid">
          <fgColor rgb="FF86EFAC"/>
          <bgColor rgb="FF86EFAC"/>
        </patternFill>
      </fill>
      <border/>
    </dxf>
    <dxf>
      <font>
        <color rgb="FF9CA3AF"/>
        <name val="Arial"/>
      </font>
      <fill>
        <patternFill patternType="none"/>
      </fill>
      <border/>
    </dxf>
    <dxf>
      <font/>
      <fill>
        <patternFill patternType="solid">
          <fgColor rgb="FFFDE68A"/>
          <bgColor rgb="FFFDE68A"/>
        </patternFill>
      </fill>
      <border/>
    </dxf>
    <dxf>
      <font/>
      <fill>
        <patternFill patternType="solid">
          <fgColor rgb="FFFCA5A5"/>
          <bgColor rgb="FFFC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c26-matchday-intelligence.vercel.app/live_state.json" TargetMode="External"/><Relationship Id="rId2" Type="http://schemas.openxmlformats.org/officeDocument/2006/relationships/hyperlink" Target="https://wc26-matchday-intelligence.vercel.app/predictions_live.json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 t="s"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15.0"/>
    <col customWidth="1" min="4" max="4" width="26.0"/>
    <col customWidth="1" min="5" max="5" width="24.0"/>
    <col customWidth="1" min="6" max="6" width="10.0"/>
    <col customWidth="1" min="7" max="8" width="9.0"/>
    <col customWidth="1" min="9" max="9" width="11.0"/>
    <col customWidth="1" min="10" max="10" width="30.0"/>
  </cols>
  <sheetData>
    <row r="1" ht="18.0" customHeight="1">
      <c r="A1" s="10" t="s">
        <v>26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1" t="s">
        <v>27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2" t="s">
        <v>28</v>
      </c>
      <c r="B4" s="13">
        <f>Method!B10</f>
        <v>1058.3</v>
      </c>
      <c r="C4" s="12" t="s">
        <v>29</v>
      </c>
      <c r="D4" s="14">
        <f>COUNTIF(Bets!B2:B73,TODAY())</f>
        <v>4</v>
      </c>
      <c r="E4" s="12" t="s">
        <v>30</v>
      </c>
      <c r="F4" s="14">
        <f>SUMPRODUCT(--(Bets!AN2:AN73="Y"),--(Bets!AZ2:AZ73="BET"))</f>
        <v>5</v>
      </c>
      <c r="G4" s="15" t="str">
        <f>IF(F5=0,"","⚠ "&amp;F5&amp;" fun bet(s) logged — excluded from engine quality. Judge the engine on Engine P&amp;L and ✓ rows only.")</f>
        <v>⚠ 4 fun bet(s) logged — excluded from engine quality. Judge the engine on Engine P&amp;L and ✓ rows only.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2" t="s">
        <v>31</v>
      </c>
      <c r="B5" s="13">
        <f>SUMIF(Bets!AN2:AN73,"Y",Bets!AP2:AP73)</f>
        <v>140</v>
      </c>
      <c r="C5" s="12" t="s">
        <v>32</v>
      </c>
      <c r="D5" s="16">
        <f>IFERROR(SMALL(Bets!B2:B73,COUNTIF(Bets!B2:B73,"&lt;"&amp;TODAY())+1),"finished")</f>
        <v>46189</v>
      </c>
      <c r="E5" s="12" t="s">
        <v>33</v>
      </c>
      <c r="F5" s="14">
        <f>SUMPRODUCT(--(Bets!AN2:AN73="Y"),--(Bets!AZ2:AZ73&lt;&gt;"BET"))</f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2" t="s">
        <v>34</v>
      </c>
      <c r="B6" s="17">
        <f>SUM(Bets!AR2:AR73)</f>
        <v>58.3</v>
      </c>
      <c r="C6" s="12" t="s">
        <v>35</v>
      </c>
      <c r="D6" s="14">
        <f>COUNTIF(Bets!AH2:AH73,"BET")</f>
        <v>8</v>
      </c>
      <c r="E6" s="12" t="s">
        <v>36</v>
      </c>
      <c r="F6" s="18">
        <f>IFERROR(AVERAGE(Matchday!U4:U75),"–")</f>
        <v>0.8650546736</v>
      </c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2" t="s">
        <v>37</v>
      </c>
      <c r="B7" s="19">
        <f>IF(SUMPRODUCT(--(Bets!AN2:AN73="Y"),--(Bets!AQ2:AQ73&lt;&gt;""),Bets!AP2:AP73)=0,"–",B6/SUMPRODUCT(--(Bets!AN2:AN73="Y"),--(Bets!AQ2:AQ73&lt;&gt;""),Bets!AP2:AP73))</f>
        <v>0.4164285714</v>
      </c>
      <c r="C7" s="12" t="s">
        <v>38</v>
      </c>
      <c r="D7" s="14">
        <f>COUNTIF(Bets!AH2:AH73,"PASS")</f>
        <v>14</v>
      </c>
      <c r="E7" s="12" t="s">
        <v>39</v>
      </c>
      <c r="F7" s="17">
        <f>SUMIF(Bets!AZ2:AZ73,"BET",Bets!AR2:AR73)</f>
        <v>48.9</v>
      </c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2" t="s">
        <v>40</v>
      </c>
      <c r="B8" s="20" t="str">
        <f>COUNTIF(Bets!AR2:AR73,"&gt;0")&amp;" – "&amp;COUNTIF(Bets!AR2:AR73,"&lt;0")</f>
        <v>5 – 3</v>
      </c>
      <c r="C8" s="12" t="s">
        <v>41</v>
      </c>
      <c r="D8" s="14">
        <f>COUNTIF(Bets!AH2:AH73,"· enter odds")</f>
        <v>50</v>
      </c>
      <c r="E8" s="12" t="s">
        <v>42</v>
      </c>
      <c r="F8" s="17">
        <f>SUMIFS(Bets!AR2:AR73,Bets!AN2:AN73,"Y",Bets!AZ2:AZ73,"&lt;&gt;BET")</f>
        <v>9.4</v>
      </c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2" t="s">
        <v>43</v>
      </c>
      <c r="B9" s="14">
        <f>SUMPRODUCT(--(Bets!AN2:AN73="Y"),--(Bets!AQ2:AQ73=""))</f>
        <v>1</v>
      </c>
      <c r="C9" s="12" t="s">
        <v>44</v>
      </c>
      <c r="D9" s="13">
        <f>SUM(Bets!AJ2:AJ73)</f>
        <v>0</v>
      </c>
      <c r="E9" s="1"/>
      <c r="F9" s="1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1" t="s">
        <v>45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2" t="s">
        <v>46</v>
      </c>
      <c r="B12" s="22" t="s">
        <v>47</v>
      </c>
      <c r="C12" s="22" t="s">
        <v>48</v>
      </c>
      <c r="D12" s="22" t="s">
        <v>49</v>
      </c>
      <c r="E12" s="22" t="s">
        <v>50</v>
      </c>
      <c r="F12" s="22" t="s">
        <v>51</v>
      </c>
      <c r="G12" s="22" t="s">
        <v>52</v>
      </c>
      <c r="H12" s="22" t="s">
        <v>53</v>
      </c>
      <c r="I12" s="22" t="s">
        <v>54</v>
      </c>
      <c r="J12" s="2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3">
        <f t="array" ref="A13">IFERROR(INDEX(Bets!$A$2:$A$73,MATCH(LARGE(Bets!$AM$2:$AM$73,1),Bets!$AM$2:$AM$73,0)),"")</f>
        <v>9</v>
      </c>
      <c r="B13" s="24">
        <f t="array" ref="B13">IFERROR(INDEX(Bets!$B$2:$B$73,MATCH(LARGE(Bets!$AM$2:$AM$73,1),Bets!$AM$2:$AM$73,0)),"")</f>
        <v>46187</v>
      </c>
      <c r="C13" s="25" t="str">
        <f t="array" ref="C13">IFERROR(INDEX(Bets!$C$2:$C$73,MATCH(LARGE(Bets!$AM$2:$AM$73,1),Bets!$AM$2:$AM$73,0)),"")</f>
        <v>E</v>
      </c>
      <c r="D13" s="26" t="str">
        <f t="array" ref="D13">IFERROR(INDEX(Bets!$D$2:$D$73,MATCH(LARGE(Bets!$AM$2:$AM$73,1),Bets!$AM$2:$AM$73,0))&amp;"  v  "&amp;INDEX(Bets!$E$2:$E$73,MATCH(LARGE(Bets!$AM$2:$AM$73,1),Bets!$AM$2:$AM$73,0)),"")</f>
        <v>Germany  v  Curacao</v>
      </c>
      <c r="E13" s="27" t="str">
        <f t="array" ref="E13">IFERROR(INDEX(Bets!$AD$2:$AD$73,MATCH(LARGE(Bets!$AM$2:$AM$73,1),Bets!$AM$2:$AM$73,0)),"")</f>
        <v>X  Draw</v>
      </c>
      <c r="F13" s="28">
        <f t="array" ref="F13">IFERROR(INDEX(Bets!$AE$2:$AE$73,MATCH(LARGE(Bets!$AM$2:$AM$73,1),Bets!$AM$2:$AM$73,0)),"")</f>
        <v>19</v>
      </c>
      <c r="G13" s="29">
        <f t="array" ref="G13">IFERROR(INDEX(Bets!$AF$2:$AF$73,MATCH(LARGE(Bets!$AM$2:$AM$73,1),Bets!$AM$2:$AM$73,0)),"")</f>
        <v>0.6630772728</v>
      </c>
      <c r="H13" s="29">
        <f t="array" ref="H13">IFERROR(INDEX(Bets!$AG$2:$AG$73,MATCH(LARGE(Bets!$AM$2:$AM$73,1),Bets!$AM$2:$AM$73,0)),"")</f>
        <v>0.04959714732</v>
      </c>
      <c r="I13" s="30">
        <f t="array" ref="I13">IFERROR(INDEX(Bets!$AJ$2:$AJ$73,MATCH(LARGE(Bets!$AM$2:$AM$73,1),Bets!$AM$2:$AM$73,0)),"")</f>
        <v>0</v>
      </c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3">
        <f t="array" ref="A14">IFERROR(INDEX(Bets!$A$2:$A$73,MATCH(LARGE(Bets!$AM$2:$AM$73,2),Bets!$AM$2:$AM$73,0)),"")</f>
        <v>13</v>
      </c>
      <c r="B14" s="24">
        <f t="array" ref="B14">IFERROR(INDEX(Bets!$B$2:$B$73,MATCH(LARGE(Bets!$AM$2:$AM$73,2),Bets!$AM$2:$AM$73,0)),"")</f>
        <v>46188</v>
      </c>
      <c r="C14" s="25" t="str">
        <f t="array" ref="C14">IFERROR(INDEX(Bets!$C$2:$C$73,MATCH(LARGE(Bets!$AM$2:$AM$73,2),Bets!$AM$2:$AM$73,0)),"")</f>
        <v>H</v>
      </c>
      <c r="D14" s="26" t="str">
        <f t="array" ref="D14">IFERROR(INDEX(Bets!$D$2:$D$73,MATCH(LARGE(Bets!$AM$2:$AM$73,2),Bets!$AM$2:$AM$73,0))&amp;"  v  "&amp;INDEX(Bets!$E$2:$E$73,MATCH(LARGE(Bets!$AM$2:$AM$73,2),Bets!$AM$2:$AM$73,0)),"")</f>
        <v>Spain  v  Cape Verde</v>
      </c>
      <c r="E14" s="27" t="str">
        <f t="array" ref="E14">IFERROR(INDEX(Bets!$AD$2:$AD$73,MATCH(LARGE(Bets!$AM$2:$AM$73,2),Bets!$AM$2:$AM$73,0)),"")</f>
        <v>X  Draw</v>
      </c>
      <c r="F14" s="28">
        <f t="array" ref="F14">IFERROR(INDEX(Bets!$AE$2:$AE$73,MATCH(LARGE(Bets!$AM$2:$AM$73,2),Bets!$AM$2:$AM$73,0)),"")</f>
        <v>14</v>
      </c>
      <c r="G14" s="29">
        <f t="array" ref="G14">IFERROR(INDEX(Bets!$AF$2:$AF$73,MATCH(LARGE(Bets!$AM$2:$AM$73,2),Bets!$AM$2:$AM$73,0)),"")</f>
        <v>0.4017100017</v>
      </c>
      <c r="H14" s="29">
        <f t="array" ref="H14">IFERROR(INDEX(Bets!$AG$2:$AG$73,MATCH(LARGE(Bets!$AM$2:$AM$73,2),Bets!$AM$2:$AM$73,0)),"")</f>
        <v>0.0351806481</v>
      </c>
      <c r="I14" s="30">
        <f t="array" ref="I14">IFERROR(INDEX(Bets!$AJ$2:$AJ$73,MATCH(LARGE(Bets!$AM$2:$AM$73,2),Bets!$AM$2:$AM$73,0)),"")</f>
        <v>0</v>
      </c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3">
        <f t="array" ref="A15">IFERROR(INDEX(Bets!$A$2:$A$73,MATCH(LARGE(Bets!$AM$2:$AM$73,3),Bets!$AM$2:$AM$73,0)),"")</f>
        <v>8</v>
      </c>
      <c r="B15" s="24">
        <f t="array" ref="B15">IFERROR(INDEX(Bets!$B$2:$B$73,MATCH(LARGE(Bets!$AM$2:$AM$73,3),Bets!$AM$2:$AM$73,0)),"")</f>
        <v>46186</v>
      </c>
      <c r="C15" s="25" t="str">
        <f t="array" ref="C15">IFERROR(INDEX(Bets!$C$2:$C$73,MATCH(LARGE(Bets!$AM$2:$AM$73,3),Bets!$AM$2:$AM$73,0)),"")</f>
        <v>D</v>
      </c>
      <c r="D15" s="26" t="str">
        <f t="array" ref="D15">IFERROR(INDEX(Bets!$D$2:$D$73,MATCH(LARGE(Bets!$AM$2:$AM$73,3),Bets!$AM$2:$AM$73,0))&amp;"  v  "&amp;INDEX(Bets!$E$2:$E$73,MATCH(LARGE(Bets!$AM$2:$AM$73,3),Bets!$AM$2:$AM$73,0)),"")</f>
        <v>Australia  v  Turkey</v>
      </c>
      <c r="E15" s="27" t="str">
        <f t="array" ref="E15">IFERROR(INDEX(Bets!$AD$2:$AD$73,MATCH(LARGE(Bets!$AM$2:$AM$73,3),Bets!$AM$2:$AM$73,0)),"")</f>
        <v>1  Australia</v>
      </c>
      <c r="F15" s="28">
        <f t="array" ref="F15">IFERROR(INDEX(Bets!$AE$2:$AE$73,MATCH(LARGE(Bets!$AM$2:$AM$73,3),Bets!$AM$2:$AM$73,0)),"")</f>
        <v>5.25</v>
      </c>
      <c r="G15" s="29">
        <f t="array" ref="G15">IFERROR(INDEX(Bets!$AF$2:$AF$73,MATCH(LARGE(Bets!$AM$2:$AM$73,3),Bets!$AM$2:$AM$73,0)),"")</f>
        <v>0.258005722</v>
      </c>
      <c r="H15" s="29">
        <f t="array" ref="H15">IFERROR(INDEX(Bets!$AG$2:$AG$73,MATCH(LARGE(Bets!$AM$2:$AM$73,3),Bets!$AM$2:$AM$73,0)),"")</f>
        <v>0.06557016377</v>
      </c>
      <c r="I15" s="30">
        <f t="array" ref="I15">IFERROR(INDEX(Bets!$AJ$2:$AJ$73,MATCH(LARGE(Bets!$AM$2:$AM$73,3),Bets!$AM$2:$AM$73,0)),"")</f>
        <v>0</v>
      </c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3">
        <f t="array" ref="A16">IFERROR(INDEX(Bets!$A$2:$A$73,MATCH(LARGE(Bets!$AM$2:$AM$73,4),Bets!$AM$2:$AM$73,0)),"")</f>
        <v>5</v>
      </c>
      <c r="B16" s="24">
        <f t="array" ref="B16">IFERROR(INDEX(Bets!$B$2:$B$73,MATCH(LARGE(Bets!$AM$2:$AM$73,4),Bets!$AM$2:$AM$73,0)),"")</f>
        <v>46186</v>
      </c>
      <c r="C16" s="25" t="str">
        <f t="array" ref="C16">IFERROR(INDEX(Bets!$C$2:$C$73,MATCH(LARGE(Bets!$AM$2:$AM$73,4),Bets!$AM$2:$AM$73,0)),"")</f>
        <v>B</v>
      </c>
      <c r="D16" s="26" t="str">
        <f t="array" ref="D16">IFERROR(INDEX(Bets!$D$2:$D$73,MATCH(LARGE(Bets!$AM$2:$AM$73,4),Bets!$AM$2:$AM$73,0))&amp;"  v  "&amp;INDEX(Bets!$E$2:$E$73,MATCH(LARGE(Bets!$AM$2:$AM$73,4),Bets!$AM$2:$AM$73,0)),"")</f>
        <v>Qatar  v  Switzerland</v>
      </c>
      <c r="E16" s="27" t="str">
        <f t="array" ref="E16">IFERROR(INDEX(Bets!$AD$2:$AD$73,MATCH(LARGE(Bets!$AM$2:$AM$73,4),Bets!$AM$2:$AM$73,0)),"")</f>
        <v>X  Draw</v>
      </c>
      <c r="F16" s="28">
        <f t="array" ref="F16">IFERROR(INDEX(Bets!$AE$2:$AE$73,MATCH(LARGE(Bets!$AM$2:$AM$73,4),Bets!$AM$2:$AM$73,0)),"")</f>
        <v>7.5</v>
      </c>
      <c r="G16" s="29">
        <f t="array" ref="G16">IFERROR(INDEX(Bets!$AF$2:$AF$73,MATCH(LARGE(Bets!$AM$2:$AM$73,4),Bets!$AM$2:$AM$73,0)),"")</f>
        <v>0.1165474477</v>
      </c>
      <c r="H16" s="29">
        <f t="array" ref="H16">IFERROR(INDEX(Bets!$AG$2:$AG$73,MATCH(LARGE(Bets!$AM$2:$AM$73,4),Bets!$AM$2:$AM$73,0)),"")</f>
        <v>0.02639615847</v>
      </c>
      <c r="I16" s="30">
        <f t="array" ref="I16">IFERROR(INDEX(Bets!$AJ$2:$AJ$73,MATCH(LARGE(Bets!$AM$2:$AM$73,4),Bets!$AM$2:$AM$73,0)),"")</f>
        <v>0</v>
      </c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3">
        <f t="array" ref="A17">IFERROR(INDEX(Bets!$A$2:$A$73,MATCH(LARGE(Bets!$AM$2:$AM$73,5),Bets!$AM$2:$AM$73,0)),"")</f>
        <v>6</v>
      </c>
      <c r="B17" s="24">
        <f t="array" ref="B17">IFERROR(INDEX(Bets!$B$2:$B$73,MATCH(LARGE(Bets!$AM$2:$AM$73,5),Bets!$AM$2:$AM$73,0)),"")</f>
        <v>46186</v>
      </c>
      <c r="C17" s="25" t="str">
        <f t="array" ref="C17">IFERROR(INDEX(Bets!$C$2:$C$73,MATCH(LARGE(Bets!$AM$2:$AM$73,5),Bets!$AM$2:$AM$73,0)),"")</f>
        <v>C</v>
      </c>
      <c r="D17" s="26" t="str">
        <f t="array" ref="D17">IFERROR(INDEX(Bets!$D$2:$D$73,MATCH(LARGE(Bets!$AM$2:$AM$73,5),Bets!$AM$2:$AM$73,0))&amp;"  v  "&amp;INDEX(Bets!$E$2:$E$73,MATCH(LARGE(Bets!$AM$2:$AM$73,5),Bets!$AM$2:$AM$73,0)),"")</f>
        <v>Brazil  v  Morocco</v>
      </c>
      <c r="E17" s="27" t="str">
        <f t="array" ref="E17">IFERROR(INDEX(Bets!$AD$2:$AD$73,MATCH(LARGE(Bets!$AM$2:$AM$73,5),Bets!$AM$2:$AM$73,0)),"")</f>
        <v>2  Morocco</v>
      </c>
      <c r="F17" s="28">
        <f t="array" ref="F17">IFERROR(INDEX(Bets!$AE$2:$AE$73,MATCH(LARGE(Bets!$AM$2:$AM$73,5),Bets!$AM$2:$AM$73,0)),"")</f>
        <v>5.5</v>
      </c>
      <c r="G17" s="29">
        <f t="array" ref="G17">IFERROR(INDEX(Bets!$AF$2:$AF$73,MATCH(LARGE(Bets!$AM$2:$AM$73,5),Bets!$AM$2:$AM$73,0)),"")</f>
        <v>0.1070908379</v>
      </c>
      <c r="H17" s="29">
        <f t="array" ref="H17">IFERROR(INDEX(Bets!$AG$2:$AG$73,MATCH(LARGE(Bets!$AM$2:$AM$73,5),Bets!$AM$2:$AM$73,0)),"")</f>
        <v>0.03020795514</v>
      </c>
      <c r="I17" s="30">
        <f t="array" ref="I17">IFERROR(INDEX(Bets!$AJ$2:$AJ$73,MATCH(LARGE(Bets!$AM$2:$AM$73,5),Bets!$AM$2:$AM$73,0)),"")</f>
        <v>0</v>
      </c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3">
        <f t="array" ref="A18">IFERROR(INDEX(Bets!$A$2:$A$73,MATCH(LARGE(Bets!$AM$2:$AM$73,6),Bets!$AM$2:$AM$73,0)),"")</f>
        <v>3</v>
      </c>
      <c r="B18" s="24">
        <f t="array" ref="B18">IFERROR(INDEX(Bets!$B$2:$B$73,MATCH(LARGE(Bets!$AM$2:$AM$73,6),Bets!$AM$2:$AM$73,0)),"")</f>
        <v>46185</v>
      </c>
      <c r="C18" s="25" t="str">
        <f t="array" ref="C18">IFERROR(INDEX(Bets!$C$2:$C$73,MATCH(LARGE(Bets!$AM$2:$AM$73,6),Bets!$AM$2:$AM$73,0)),"")</f>
        <v>B</v>
      </c>
      <c r="D18" s="26" t="str">
        <f t="array" ref="D18">IFERROR(INDEX(Bets!$D$2:$D$73,MATCH(LARGE(Bets!$AM$2:$AM$73,6),Bets!$AM$2:$AM$73,0))&amp;"  v  "&amp;INDEX(Bets!$E$2:$E$73,MATCH(LARGE(Bets!$AM$2:$AM$73,6),Bets!$AM$2:$AM$73,0)),"")</f>
        <v>Canada  v  Bosnia and Herzegovina</v>
      </c>
      <c r="E18" s="27" t="str">
        <f t="array" ref="E18">IFERROR(INDEX(Bets!$AD$2:$AD$73,MATCH(LARGE(Bets!$AM$2:$AM$73,6),Bets!$AM$2:$AM$73,0)),"")</f>
        <v>1  Canada</v>
      </c>
      <c r="F18" s="28">
        <f t="array" ref="F18">IFERROR(INDEX(Bets!$AE$2:$AE$73,MATCH(LARGE(Bets!$AM$2:$AM$73,6),Bets!$AM$2:$AM$73,0)),"")</f>
        <v>1.85</v>
      </c>
      <c r="G18" s="29">
        <f t="array" ref="G18">IFERROR(INDEX(Bets!$AF$2:$AF$73,MATCH(LARGE(Bets!$AM$2:$AM$73,6),Bets!$AM$2:$AM$73,0)),"")</f>
        <v>0.07947628062</v>
      </c>
      <c r="H18" s="29">
        <f t="array" ref="H18">IFERROR(INDEX(Bets!$AG$2:$AG$73,MATCH(LARGE(Bets!$AM$2:$AM$73,6),Bets!$AM$2:$AM$73,0)),"")</f>
        <v>0.06138780528</v>
      </c>
      <c r="I18" s="30">
        <f t="array" ref="I18">IFERROR(INDEX(Bets!$AJ$2:$AJ$73,MATCH(LARGE(Bets!$AM$2:$AM$73,6),Bets!$AM$2:$AM$73,0)),"")</f>
        <v>0</v>
      </c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3">
        <f t="array" ref="A19">IFERROR(INDEX(Bets!$A$2:$A$73,MATCH(LARGE(Bets!$AM$2:$AM$73,7),Bets!$AM$2:$AM$73,0)),"")</f>
        <v>12</v>
      </c>
      <c r="B19" s="24">
        <f t="array" ref="B19">IFERROR(INDEX(Bets!$B$2:$B$73,MATCH(LARGE(Bets!$AM$2:$AM$73,7),Bets!$AM$2:$AM$73,0)),"")</f>
        <v>46187</v>
      </c>
      <c r="C19" s="25" t="str">
        <f t="array" ref="C19">IFERROR(INDEX(Bets!$C$2:$C$73,MATCH(LARGE(Bets!$AM$2:$AM$73,7),Bets!$AM$2:$AM$73,0)),"")</f>
        <v>F</v>
      </c>
      <c r="D19" s="26" t="str">
        <f t="array" ref="D19">IFERROR(INDEX(Bets!$D$2:$D$73,MATCH(LARGE(Bets!$AM$2:$AM$73,7),Bets!$AM$2:$AM$73,0))&amp;"  v  "&amp;INDEX(Bets!$E$2:$E$73,MATCH(LARGE(Bets!$AM$2:$AM$73,7),Bets!$AM$2:$AM$73,0)),"")</f>
        <v>Sweden  v  Tunisia</v>
      </c>
      <c r="E19" s="27" t="str">
        <f t="array" ref="E19">IFERROR(INDEX(Bets!$AD$2:$AD$73,MATCH(LARGE(Bets!$AM$2:$AM$73,7),Bets!$AM$2:$AM$73,0)),"")</f>
        <v>2  Tunisia</v>
      </c>
      <c r="F19" s="28">
        <f t="array" ref="F19">IFERROR(INDEX(Bets!$AE$2:$AE$73,MATCH(LARGE(Bets!$AM$2:$AM$73,7),Bets!$AM$2:$AM$73,0)),"")</f>
        <v>4.33</v>
      </c>
      <c r="G19" s="29">
        <f t="array" ref="G19">IFERROR(INDEX(Bets!$AF$2:$AF$73,MATCH(LARGE(Bets!$AM$2:$AM$73,7),Bets!$AM$2:$AM$73,0)),"")</f>
        <v>0.05457999367</v>
      </c>
      <c r="H19" s="29">
        <f t="array" ref="H19">IFERROR(INDEX(Bets!$AG$2:$AG$73,MATCH(LARGE(Bets!$AM$2:$AM$73,7),Bets!$AM$2:$AM$73,0)),"")</f>
        <v>0.02820835567</v>
      </c>
      <c r="I19" s="30">
        <f t="array" ref="I19">IFERROR(INDEX(Bets!$AJ$2:$AJ$73,MATCH(LARGE(Bets!$AM$2:$AM$73,7),Bets!$AM$2:$AM$73,0)),"")</f>
        <v>0</v>
      </c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3">
        <f t="array" ref="A20">IFERROR(INDEX(Bets!$A$2:$A$73,MATCH(LARGE(Bets!$AM$2:$AM$73,8),Bets!$AM$2:$AM$73,0)),"")</f>
        <v>2</v>
      </c>
      <c r="B20" s="24">
        <f t="array" ref="B20">IFERROR(INDEX(Bets!$B$2:$B$73,MATCH(LARGE(Bets!$AM$2:$AM$73,8),Bets!$AM$2:$AM$73,0)),"")</f>
        <v>46184</v>
      </c>
      <c r="C20" s="25" t="str">
        <f t="array" ref="C20">IFERROR(INDEX(Bets!$C$2:$C$73,MATCH(LARGE(Bets!$AM$2:$AM$73,8),Bets!$AM$2:$AM$73,0)),"")</f>
        <v>A</v>
      </c>
      <c r="D20" s="26" t="str">
        <f t="array" ref="D20">IFERROR(INDEX(Bets!$D$2:$D$73,MATCH(LARGE(Bets!$AM$2:$AM$73,8),Bets!$AM$2:$AM$73,0))&amp;"  v  "&amp;INDEX(Bets!$E$2:$E$73,MATCH(LARGE(Bets!$AM$2:$AM$73,8),Bets!$AM$2:$AM$73,0)),"")</f>
        <v>South Korea  v  Czechia</v>
      </c>
      <c r="E20" s="27" t="str">
        <f t="array" ref="E20">IFERROR(INDEX(Bets!$AD$2:$AD$73,MATCH(LARGE(Bets!$AM$2:$AM$73,8),Bets!$AM$2:$AM$73,0)),"")</f>
        <v>1  South Korea</v>
      </c>
      <c r="F20" s="28">
        <f t="array" ref="F20">IFERROR(INDEX(Bets!$AE$2:$AE$73,MATCH(LARGE(Bets!$AM$2:$AM$73,8),Bets!$AM$2:$AM$73,0)),"")</f>
        <v>2.7</v>
      </c>
      <c r="G20" s="29">
        <f t="array" ref="G20">IFERROR(INDEX(Bets!$AF$2:$AF$73,MATCH(LARGE(Bets!$AM$2:$AM$73,8),Bets!$AM$2:$AM$73,0)),"")</f>
        <v>0.03955870945</v>
      </c>
      <c r="H20" s="29">
        <f t="array" ref="H20">IFERROR(INDEX(Bets!$AG$2:$AG$73,MATCH(LARGE(Bets!$AM$2:$AM$73,8),Bets!$AM$2:$AM$73,0)),"")</f>
        <v>0.03160092919</v>
      </c>
      <c r="I20" s="30">
        <f t="array" ref="I20">IFERROR(INDEX(Bets!$AJ$2:$AJ$73,MATCH(LARGE(Bets!$AM$2:$AM$73,8),Bets!$AM$2:$AM$73,0)),"")</f>
        <v>0</v>
      </c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1" t="s">
        <v>55</v>
      </c>
      <c r="F22" s="1"/>
      <c r="G22" s="21" t="s">
        <v>56</v>
      </c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2" t="s">
        <v>47</v>
      </c>
      <c r="B23" s="22" t="s">
        <v>57</v>
      </c>
      <c r="C23" s="22" t="s">
        <v>58</v>
      </c>
      <c r="D23" s="22" t="s">
        <v>59</v>
      </c>
      <c r="E23" s="22"/>
      <c r="F23" s="1"/>
      <c r="G23" s="31" t="s">
        <v>60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32">
        <v>46184.0</v>
      </c>
      <c r="B24" s="25">
        <f>COUNTIF(Bets!$B$2:$B$73,$A24)</f>
        <v>2</v>
      </c>
      <c r="C24" s="33">
        <f>SUMIFS(Bets!$AP$2:$AP$73,Bets!$B$2:$B$73,$A24,Bets!$AN$2:$AN$73,"Y")</f>
        <v>30</v>
      </c>
      <c r="D24" s="33">
        <f>SUMIFS(Bets!$AR$2:$AR$73,Bets!$B$2:$B$73,$A24)</f>
        <v>24.4</v>
      </c>
      <c r="E24" s="26" t="str">
        <f t="shared" ref="E24:E40" si="1">IF(D24&gt;0,REPT("█",MIN(25,ROUND(D24/4,0))),REPT("░",MIN(25,ROUND(-D24/4,0))))</f>
        <v>██████</v>
      </c>
      <c r="F24" s="1"/>
      <c r="G24" s="31" t="s">
        <v>61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32">
        <v>46185.0</v>
      </c>
      <c r="B25" s="25">
        <f>COUNTIF(Bets!$B$2:$B$73,$A25)</f>
        <v>2</v>
      </c>
      <c r="C25" s="33">
        <f>SUMIFS(Bets!$AP$2:$AP$73,Bets!$B$2:$B$73,$A25,Bets!$AN$2:$AN$73,"Y")</f>
        <v>44</v>
      </c>
      <c r="D25" s="33">
        <f>SUMIFS(Bets!$AR$2:$AR$73,Bets!$B$2:$B$73,$A25)</f>
        <v>-3</v>
      </c>
      <c r="E25" s="26" t="str">
        <f t="shared" si="1"/>
        <v>░</v>
      </c>
      <c r="F25" s="1"/>
      <c r="G25" s="31" t="s">
        <v>62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32">
        <v>46186.0</v>
      </c>
      <c r="B26" s="25">
        <f>COUNTIF(Bets!$B$2:$B$73,$A26)</f>
        <v>4</v>
      </c>
      <c r="C26" s="33">
        <f>SUMIFS(Bets!$AP$2:$AP$73,Bets!$B$2:$B$73,$A26,Bets!$AN$2:$AN$73,"Y")</f>
        <v>60</v>
      </c>
      <c r="D26" s="33">
        <f>SUMIFS(Bets!$AR$2:$AR$73,Bets!$B$2:$B$73,$A26)</f>
        <v>42.9</v>
      </c>
      <c r="E26" s="26" t="str">
        <f t="shared" si="1"/>
        <v>███████████</v>
      </c>
      <c r="F26" s="1"/>
      <c r="G26" s="31" t="s">
        <v>63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32">
        <v>46187.0</v>
      </c>
      <c r="B27" s="25">
        <f>COUNTIF(Bets!$B$2:$B$73,$A27)</f>
        <v>4</v>
      </c>
      <c r="C27" s="33">
        <f>SUMIFS(Bets!$AP$2:$AP$73,Bets!$B$2:$B$73,$A27,Bets!$AN$2:$AN$73,"Y")</f>
        <v>6</v>
      </c>
      <c r="D27" s="33">
        <f>SUMIFS(Bets!$AR$2:$AR$73,Bets!$B$2:$B$73,$A27)</f>
        <v>-6</v>
      </c>
      <c r="E27" s="26" t="str">
        <f t="shared" si="1"/>
        <v>░░</v>
      </c>
      <c r="F27" s="1"/>
      <c r="G27" s="31" t="s">
        <v>64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32">
        <v>46188.0</v>
      </c>
      <c r="B28" s="25">
        <f>COUNTIF(Bets!$B$2:$B$73,$A28)</f>
        <v>4</v>
      </c>
      <c r="C28" s="33">
        <f>SUMIFS(Bets!$AP$2:$AP$73,Bets!$B$2:$B$73,$A28,Bets!$AN$2:$AN$73,"Y")</f>
        <v>0</v>
      </c>
      <c r="D28" s="33">
        <f>SUMIFS(Bets!$AR$2:$AR$73,Bets!$B$2:$B$73,$A28)</f>
        <v>0</v>
      </c>
      <c r="E28" s="26" t="str">
        <f t="shared" si="1"/>
        <v/>
      </c>
      <c r="F28" s="1"/>
      <c r="G28" s="31" t="s">
        <v>65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32">
        <v>46189.0</v>
      </c>
      <c r="B29" s="25">
        <f>COUNTIF(Bets!$B$2:$B$73,$A29)</f>
        <v>4</v>
      </c>
      <c r="C29" s="33">
        <f>SUMIFS(Bets!$AP$2:$AP$73,Bets!$B$2:$B$73,$A29,Bets!$AN$2:$AN$73,"Y")</f>
        <v>0</v>
      </c>
      <c r="D29" s="33">
        <f>SUMIFS(Bets!$AR$2:$AR$73,Bets!$B$2:$B$73,$A29)</f>
        <v>0</v>
      </c>
      <c r="E29" s="26" t="str">
        <f t="shared" si="1"/>
        <v/>
      </c>
      <c r="F29" s="1"/>
      <c r="G29" s="1"/>
      <c r="H29" s="1"/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32">
        <v>46190.0</v>
      </c>
      <c r="B30" s="25">
        <f>COUNTIF(Bets!$B$2:$B$73,$A30)</f>
        <v>4</v>
      </c>
      <c r="C30" s="33">
        <f>SUMIFS(Bets!$AP$2:$AP$73,Bets!$B$2:$B$73,$A30,Bets!$AN$2:$AN$73,"Y")</f>
        <v>0</v>
      </c>
      <c r="D30" s="33">
        <f>SUMIFS(Bets!$AR$2:$AR$73,Bets!$B$2:$B$73,$A30)</f>
        <v>0</v>
      </c>
      <c r="E30" s="26" t="str">
        <f t="shared" si="1"/>
        <v/>
      </c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32">
        <v>46191.0</v>
      </c>
      <c r="B31" s="25">
        <f>COUNTIF(Bets!$B$2:$B$73,$A31)</f>
        <v>4</v>
      </c>
      <c r="C31" s="33">
        <f>SUMIFS(Bets!$AP$2:$AP$73,Bets!$B$2:$B$73,$A31,Bets!$AN$2:$AN$73,"Y")</f>
        <v>0</v>
      </c>
      <c r="D31" s="33">
        <f>SUMIFS(Bets!$AR$2:$AR$73,Bets!$B$2:$B$73,$A31)</f>
        <v>0</v>
      </c>
      <c r="E31" s="26" t="str">
        <f t="shared" si="1"/>
        <v/>
      </c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2">
        <v>46192.0</v>
      </c>
      <c r="B32" s="25">
        <f>COUNTIF(Bets!$B$2:$B$73,$A32)</f>
        <v>4</v>
      </c>
      <c r="C32" s="33">
        <f>SUMIFS(Bets!$AP$2:$AP$73,Bets!$B$2:$B$73,$A32,Bets!$AN$2:$AN$73,"Y")</f>
        <v>0</v>
      </c>
      <c r="D32" s="33">
        <f>SUMIFS(Bets!$AR$2:$AR$73,Bets!$B$2:$B$73,$A32)</f>
        <v>0</v>
      </c>
      <c r="E32" s="26" t="str">
        <f t="shared" si="1"/>
        <v/>
      </c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32">
        <v>46193.0</v>
      </c>
      <c r="B33" s="25">
        <f>COUNTIF(Bets!$B$2:$B$73,$A33)</f>
        <v>4</v>
      </c>
      <c r="C33" s="33">
        <f>SUMIFS(Bets!$AP$2:$AP$73,Bets!$B$2:$B$73,$A33,Bets!$AN$2:$AN$73,"Y")</f>
        <v>0</v>
      </c>
      <c r="D33" s="33">
        <f>SUMIFS(Bets!$AR$2:$AR$73,Bets!$B$2:$B$73,$A33)</f>
        <v>0</v>
      </c>
      <c r="E33" s="26" t="str">
        <f t="shared" si="1"/>
        <v/>
      </c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32">
        <v>46194.0</v>
      </c>
      <c r="B34" s="25">
        <f>COUNTIF(Bets!$B$2:$B$73,$A34)</f>
        <v>4</v>
      </c>
      <c r="C34" s="33">
        <f>SUMIFS(Bets!$AP$2:$AP$73,Bets!$B$2:$B$73,$A34,Bets!$AN$2:$AN$73,"Y")</f>
        <v>0</v>
      </c>
      <c r="D34" s="33">
        <f>SUMIFS(Bets!$AR$2:$AR$73,Bets!$B$2:$B$73,$A34)</f>
        <v>0</v>
      </c>
      <c r="E34" s="26" t="str">
        <f t="shared" si="1"/>
        <v/>
      </c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32">
        <v>46195.0</v>
      </c>
      <c r="B35" s="25">
        <f>COUNTIF(Bets!$B$2:$B$73,$A35)</f>
        <v>4</v>
      </c>
      <c r="C35" s="33">
        <f>SUMIFS(Bets!$AP$2:$AP$73,Bets!$B$2:$B$73,$A35,Bets!$AN$2:$AN$73,"Y")</f>
        <v>0</v>
      </c>
      <c r="D35" s="33">
        <f>SUMIFS(Bets!$AR$2:$AR$73,Bets!$B$2:$B$73,$A35)</f>
        <v>0</v>
      </c>
      <c r="E35" s="26" t="str">
        <f t="shared" si="1"/>
        <v/>
      </c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32">
        <v>46196.0</v>
      </c>
      <c r="B36" s="25">
        <f>COUNTIF(Bets!$B$2:$B$73,$A36)</f>
        <v>4</v>
      </c>
      <c r="C36" s="33">
        <f>SUMIFS(Bets!$AP$2:$AP$73,Bets!$B$2:$B$73,$A36,Bets!$AN$2:$AN$73,"Y")</f>
        <v>0</v>
      </c>
      <c r="D36" s="33">
        <f>SUMIFS(Bets!$AR$2:$AR$73,Bets!$B$2:$B$73,$A36)</f>
        <v>0</v>
      </c>
      <c r="E36" s="26" t="str">
        <f t="shared" si="1"/>
        <v/>
      </c>
      <c r="F36" s="1"/>
      <c r="G36" s="1"/>
      <c r="H36" s="1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32">
        <v>46197.0</v>
      </c>
      <c r="B37" s="25">
        <f>COUNTIF(Bets!$B$2:$B$73,$A37)</f>
        <v>6</v>
      </c>
      <c r="C37" s="33">
        <f>SUMIFS(Bets!$AP$2:$AP$73,Bets!$B$2:$B$73,$A37,Bets!$AN$2:$AN$73,"Y")</f>
        <v>0</v>
      </c>
      <c r="D37" s="33">
        <f>SUMIFS(Bets!$AR$2:$AR$73,Bets!$B$2:$B$73,$A37)</f>
        <v>0</v>
      </c>
      <c r="E37" s="26" t="str">
        <f t="shared" si="1"/>
        <v/>
      </c>
      <c r="F37" s="1"/>
      <c r="G37" s="1"/>
      <c r="H37" s="1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32">
        <v>46198.0</v>
      </c>
      <c r="B38" s="25">
        <f>COUNTIF(Bets!$B$2:$B$73,$A38)</f>
        <v>6</v>
      </c>
      <c r="C38" s="33">
        <f>SUMIFS(Bets!$AP$2:$AP$73,Bets!$B$2:$B$73,$A38,Bets!$AN$2:$AN$73,"Y")</f>
        <v>0</v>
      </c>
      <c r="D38" s="33">
        <f>SUMIFS(Bets!$AR$2:$AR$73,Bets!$B$2:$B$73,$A38)</f>
        <v>0</v>
      </c>
      <c r="E38" s="26" t="str">
        <f t="shared" si="1"/>
        <v/>
      </c>
      <c r="F38" s="1"/>
      <c r="G38" s="1"/>
      <c r="H38" s="1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32">
        <v>46199.0</v>
      </c>
      <c r="B39" s="25">
        <f>COUNTIF(Bets!$B$2:$B$73,$A39)</f>
        <v>6</v>
      </c>
      <c r="C39" s="33">
        <f>SUMIFS(Bets!$AP$2:$AP$73,Bets!$B$2:$B$73,$A39,Bets!$AN$2:$AN$73,"Y")</f>
        <v>0</v>
      </c>
      <c r="D39" s="33">
        <f>SUMIFS(Bets!$AR$2:$AR$73,Bets!$B$2:$B$73,$A39)</f>
        <v>0</v>
      </c>
      <c r="E39" s="26" t="str">
        <f t="shared" si="1"/>
        <v/>
      </c>
      <c r="F39" s="1"/>
      <c r="G39" s="1"/>
      <c r="H39" s="1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32">
        <v>46200.0</v>
      </c>
      <c r="B40" s="25">
        <f>COUNTIF(Bets!$B$2:$B$73,$A40)</f>
        <v>6</v>
      </c>
      <c r="C40" s="33">
        <f>SUMIFS(Bets!$AP$2:$AP$73,Bets!$B$2:$B$73,$A40,Bets!$AN$2:$AN$73,"Y")</f>
        <v>0</v>
      </c>
      <c r="D40" s="33">
        <f>SUMIFS(Bets!$AR$2:$AR$73,Bets!$B$2:$B$73,$A40)</f>
        <v>0</v>
      </c>
      <c r="E40" s="26" t="str">
        <f t="shared" si="1"/>
        <v/>
      </c>
      <c r="F40" s="1"/>
      <c r="G40" s="1"/>
      <c r="H40" s="1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G25:J25"/>
    <mergeCell ref="G26:J26"/>
    <mergeCell ref="G27:J27"/>
    <mergeCell ref="G28:J28"/>
    <mergeCell ref="A1:J1"/>
    <mergeCell ref="A2:J2"/>
    <mergeCell ref="G4:J5"/>
    <mergeCell ref="A11:J11"/>
    <mergeCell ref="A22:E22"/>
    <mergeCell ref="G23:J23"/>
    <mergeCell ref="G24:J24"/>
  </mergeCells>
  <conditionalFormatting sqref="D24:D40">
    <cfRule type="cellIs" dxfId="0" priority="1" operator="lessThan">
      <formula>0</formula>
    </cfRule>
  </conditionalFormatting>
  <conditionalFormatting sqref="D24:D40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58.0"/>
    <col customWidth="1" min="3" max="3" width="22.0"/>
    <col customWidth="1" min="4" max="4" width="12.0"/>
    <col customWidth="1" min="5" max="6" width="8.71"/>
  </cols>
  <sheetData>
    <row r="1" ht="15.0" customHeight="1">
      <c r="A1" s="34" t="s">
        <v>66</v>
      </c>
      <c r="B1" s="35"/>
      <c r="C1" s="35"/>
      <c r="D1" s="3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 t="s">
        <v>67</v>
      </c>
      <c r="B3" s="37" t="s">
        <v>68</v>
      </c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 t="s">
        <v>69</v>
      </c>
      <c r="B4" s="37" t="s">
        <v>70</v>
      </c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71</v>
      </c>
      <c r="B5" s="1" t="s">
        <v>72</v>
      </c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8" t="s">
        <v>73</v>
      </c>
      <c r="B6" s="8" t="s">
        <v>74</v>
      </c>
      <c r="C6" s="8" t="s">
        <v>75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8" t="s">
        <v>76</v>
      </c>
      <c r="B7" s="39">
        <v>46189.58492981481</v>
      </c>
      <c r="C7" s="40" t="s">
        <v>77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38" t="s">
        <v>78</v>
      </c>
      <c r="B8" s="41" t="s">
        <v>79</v>
      </c>
      <c r="C8" s="40" t="s">
        <v>80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38" t="s">
        <v>81</v>
      </c>
      <c r="B9" s="42">
        <v>16.0</v>
      </c>
      <c r="C9" s="40" t="s">
        <v>82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8" t="s">
        <v>83</v>
      </c>
      <c r="B10" s="41" t="s">
        <v>84</v>
      </c>
      <c r="C10" s="40" t="s">
        <v>85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38" t="s">
        <v>86</v>
      </c>
      <c r="B11" s="43"/>
      <c r="C11" s="40" t="s">
        <v>87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38" t="s">
        <v>88</v>
      </c>
      <c r="B12" s="41" t="s">
        <v>89</v>
      </c>
      <c r="C12" s="40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38" t="s">
        <v>90</v>
      </c>
      <c r="B13" s="43"/>
      <c r="C13" s="40" t="s">
        <v>91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8" t="s">
        <v>92</v>
      </c>
      <c r="B14" s="41" t="b">
        <v>1</v>
      </c>
      <c r="C14" s="40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8" t="s">
        <v>93</v>
      </c>
      <c r="B15" s="41" t="s">
        <v>94</v>
      </c>
      <c r="C15" s="40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8" t="s">
        <v>95</v>
      </c>
      <c r="B17" s="44" t="str">
        <f>IF(B7="","⚠ Apps Script not run yet — open Extensions ▸ Apps Script ▸ run installEngine()","✓ live polling active · last poll "&amp;TEXT(B7,"yyyy-mm-dd hh:mm"))</f>
        <v>✓ live polling active · last poll 2026-06-16 14:02</v>
      </c>
      <c r="C17" s="1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5" t="s">
        <v>96</v>
      </c>
      <c r="B18" s="1"/>
      <c r="C18" s="1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46" t="s">
        <v>97</v>
      </c>
      <c r="B19" s="47" t="s">
        <v>98</v>
      </c>
      <c r="C19" s="48" t="s">
        <v>99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48" t="s">
        <v>100</v>
      </c>
      <c r="B20" s="49">
        <v>52.0</v>
      </c>
      <c r="C20" s="48" t="s">
        <v>101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48" t="s">
        <v>102</v>
      </c>
      <c r="B21" s="49">
        <v>38.0</v>
      </c>
      <c r="C21" s="48" t="s">
        <v>103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48" t="s">
        <v>104</v>
      </c>
      <c r="B22" s="49">
        <v>14.0</v>
      </c>
      <c r="C22" s="48" t="s">
        <v>105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106</v>
      </c>
      <c r="B23" s="50">
        <v>0.0</v>
      </c>
      <c r="C23" s="1" t="s">
        <v>107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108</v>
      </c>
      <c r="B24" s="51" t="s">
        <v>109</v>
      </c>
      <c r="C24" s="1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110</v>
      </c>
      <c r="B25" s="50">
        <v>0.0</v>
      </c>
      <c r="C25" s="1" t="s">
        <v>111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112</v>
      </c>
      <c r="B26" s="51" t="s">
        <v>113</v>
      </c>
      <c r="C26" s="1" t="s">
        <v>114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2" t="s">
        <v>115</v>
      </c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116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D1"/>
    <mergeCell ref="A30:D31"/>
  </mergeCells>
  <hyperlinks>
    <hyperlink r:id="rId1" ref="B3"/>
    <hyperlink r:id="rId2" ref="B4"/>
  </hyperlinks>
  <printOptions/>
  <pageMargins bottom="1.0" footer="0.0" header="0.0" left="0.75" right="0.75" top="1.0"/>
  <pageSetup paperSize="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 outlineLevelCol="1"/>
  <cols>
    <col customWidth="1" min="1" max="1" width="5.0"/>
    <col customWidth="1" min="2" max="2" width="9.0"/>
    <col customWidth="1" min="3" max="3" width="5.0"/>
    <col customWidth="1" min="4" max="5" width="22.0"/>
    <col customWidth="1" min="6" max="6" width="15.0"/>
    <col customWidth="1" min="7" max="11" width="9.0"/>
    <col customWidth="1" min="12" max="14" width="8.0"/>
    <col customWidth="1" hidden="1" min="15" max="29" width="8.0" outlineLevel="1"/>
    <col customWidth="1" min="30" max="30" width="24.0"/>
    <col customWidth="1" min="31" max="31" width="7.0"/>
    <col customWidth="1" min="32" max="33" width="8.0"/>
    <col customWidth="1" min="34" max="34" width="13.0"/>
    <col customWidth="1" min="35" max="36" width="12.0"/>
    <col customWidth="1" hidden="1" min="37" max="39" width="8.0" outlineLevel="1"/>
    <col customWidth="1" min="40" max="40" width="8.0"/>
    <col customWidth="1" min="41" max="41" width="10.0"/>
    <col customWidth="1" min="42" max="43" width="8.0"/>
    <col customWidth="1" min="44" max="45" width="9.0"/>
    <col customWidth="1" min="46" max="46" width="36.0"/>
    <col customWidth="1" min="47" max="47" width="30.0"/>
    <col customWidth="1" min="48" max="48" width="8.0"/>
    <col customWidth="1" min="49" max="53" width="9.0"/>
  </cols>
  <sheetData>
    <row r="1" ht="15.0" customHeight="1">
      <c r="A1" s="22" t="s">
        <v>46</v>
      </c>
      <c r="B1" s="22" t="s">
        <v>47</v>
      </c>
      <c r="C1" s="22" t="s">
        <v>117</v>
      </c>
      <c r="D1" s="22" t="s">
        <v>118</v>
      </c>
      <c r="E1" s="22" t="s">
        <v>119</v>
      </c>
      <c r="F1" s="22" t="s">
        <v>120</v>
      </c>
      <c r="G1" s="22" t="s">
        <v>121</v>
      </c>
      <c r="H1" s="22" t="s">
        <v>122</v>
      </c>
      <c r="I1" s="22" t="s">
        <v>123</v>
      </c>
      <c r="J1" s="22" t="s">
        <v>124</v>
      </c>
      <c r="K1" s="22" t="s">
        <v>125</v>
      </c>
      <c r="L1" s="22" t="s">
        <v>126</v>
      </c>
      <c r="M1" s="22" t="s">
        <v>127</v>
      </c>
      <c r="N1" s="22" t="s">
        <v>128</v>
      </c>
      <c r="O1" s="22" t="s">
        <v>129</v>
      </c>
      <c r="P1" s="22" t="s">
        <v>130</v>
      </c>
      <c r="Q1" s="22" t="s">
        <v>131</v>
      </c>
      <c r="R1" s="22" t="s">
        <v>132</v>
      </c>
      <c r="S1" s="22" t="s">
        <v>133</v>
      </c>
      <c r="T1" s="22" t="s">
        <v>134</v>
      </c>
      <c r="U1" s="22" t="s">
        <v>135</v>
      </c>
      <c r="V1" s="22" t="s">
        <v>136</v>
      </c>
      <c r="W1" s="22" t="s">
        <v>137</v>
      </c>
      <c r="X1" s="22" t="s">
        <v>138</v>
      </c>
      <c r="Y1" s="22" t="s">
        <v>139</v>
      </c>
      <c r="Z1" s="22" t="s">
        <v>140</v>
      </c>
      <c r="AA1" s="22" t="s">
        <v>141</v>
      </c>
      <c r="AB1" s="22" t="s">
        <v>142</v>
      </c>
      <c r="AC1" s="22" t="s">
        <v>143</v>
      </c>
      <c r="AD1" s="22" t="s">
        <v>144</v>
      </c>
      <c r="AE1" s="22" t="s">
        <v>51</v>
      </c>
      <c r="AF1" s="22" t="s">
        <v>145</v>
      </c>
      <c r="AG1" s="22" t="s">
        <v>146</v>
      </c>
      <c r="AH1" s="22" t="s">
        <v>147</v>
      </c>
      <c r="AI1" s="22" t="s">
        <v>148</v>
      </c>
      <c r="AJ1" s="22" t="s">
        <v>149</v>
      </c>
      <c r="AK1" s="22" t="s">
        <v>150</v>
      </c>
      <c r="AL1" s="22" t="s">
        <v>151</v>
      </c>
      <c r="AM1" s="22" t="s">
        <v>152</v>
      </c>
      <c r="AN1" s="22" t="s">
        <v>153</v>
      </c>
      <c r="AO1" s="22" t="s">
        <v>154</v>
      </c>
      <c r="AP1" s="22" t="s">
        <v>54</v>
      </c>
      <c r="AQ1" s="22" t="s">
        <v>155</v>
      </c>
      <c r="AR1" s="22" t="s">
        <v>59</v>
      </c>
      <c r="AS1" s="22" t="s">
        <v>156</v>
      </c>
      <c r="AT1" s="22" t="s">
        <v>157</v>
      </c>
      <c r="AU1" s="22" t="s">
        <v>95</v>
      </c>
      <c r="AV1" s="22" t="s">
        <v>158</v>
      </c>
      <c r="AW1" s="53" t="s">
        <v>159</v>
      </c>
      <c r="AX1" s="53" t="s">
        <v>160</v>
      </c>
      <c r="AY1" s="53" t="s">
        <v>161</v>
      </c>
      <c r="AZ1" s="53" t="s">
        <v>162</v>
      </c>
      <c r="BA1" s="53" t="s">
        <v>163</v>
      </c>
      <c r="BB1" s="54" t="s">
        <v>164</v>
      </c>
      <c r="BC1" s="54" t="s">
        <v>165</v>
      </c>
      <c r="BD1" s="54" t="s">
        <v>166</v>
      </c>
      <c r="BE1" s="54" t="s">
        <v>167</v>
      </c>
      <c r="BF1" s="54" t="s">
        <v>168</v>
      </c>
      <c r="BG1" s="54" t="s">
        <v>169</v>
      </c>
      <c r="BH1" s="54" t="s">
        <v>170</v>
      </c>
      <c r="BI1" s="54" t="s">
        <v>171</v>
      </c>
    </row>
    <row r="2" ht="15.0" customHeight="1">
      <c r="A2" s="25">
        <v>1.0</v>
      </c>
      <c r="B2" s="55">
        <v>46184.0</v>
      </c>
      <c r="C2" s="25" t="s">
        <v>172</v>
      </c>
      <c r="D2" s="56" t="s">
        <v>173</v>
      </c>
      <c r="E2" s="56" t="s">
        <v>174</v>
      </c>
      <c r="F2" s="56" t="s">
        <v>175</v>
      </c>
      <c r="G2" s="25" t="s">
        <v>176</v>
      </c>
      <c r="H2" s="25" t="s">
        <v>177</v>
      </c>
      <c r="I2" s="57">
        <v>0.7008</v>
      </c>
      <c r="J2" s="57">
        <v>0.2117</v>
      </c>
      <c r="K2" s="57">
        <v>0.0876</v>
      </c>
      <c r="L2" s="58">
        <f>IF(Matchday!E4="","",Matchday!E4)</f>
        <v>1.42</v>
      </c>
      <c r="M2" s="58">
        <f>IF(Matchday!F4="","",Matchday!F4)</f>
        <v>4.5</v>
      </c>
      <c r="N2" s="58">
        <f>IF(Matchday!G4="","",Matchday!G4)</f>
        <v>8.5</v>
      </c>
      <c r="O2" s="59">
        <f t="shared" ref="O2:Q2" si="1">IF(L2="","",1/L2)</f>
        <v>0.7042253521</v>
      </c>
      <c r="P2" s="59">
        <f t="shared" si="1"/>
        <v>0.2222222222</v>
      </c>
      <c r="Q2" s="59">
        <f t="shared" si="1"/>
        <v>0.1176470588</v>
      </c>
      <c r="R2" s="59">
        <f t="shared" ref="R2:R73" si="4">IF(COUNT(L2:N2)&lt;3,"",O2+P2+Q2)</f>
        <v>1.044094633</v>
      </c>
      <c r="S2" s="59">
        <f t="array" ref="S2">IF($R2="","",IF(Method!$B$56="proportional",O2/$R2,IF(Method!$B$56="power",IFERROR(INDEX(power_devig($L2,$M2,$N2),1,1),O2/$R2),IFERROR(INDEX(shin($L2,$M2,$N2),1,1),O2/$R2))))</f>
        <v>0.6856773289</v>
      </c>
      <c r="T2" s="59">
        <f t="array" ref="T2">IF($R2="","",IF(Method!$B$56="proportional",P2/$R2,IF(Method!$B$56="power",IFERROR(INDEX(power_devig($L2,$M2,$N2),2,1),P2/$R2),IFERROR(INDEX(shin($L2,$M2,$N2),2,1),P2/$R2))))</f>
        <v>0.2087843184</v>
      </c>
      <c r="U2" s="59">
        <f t="array" ref="U2">IF($R2="","",IF(Method!$B$56="proportional",Q2/$R2,IF(Method!$B$56="power",IFERROR(INDEX(power_devig($L2,$M2,$N2),3,1),Q2/$R2),IFERROR(INDEX(shin($L2,$M2,$N2),3,1),Q2/$R2))))</f>
        <v>0.1055383527</v>
      </c>
      <c r="V2" s="59">
        <f>IF(S2="","",Method!$B$4*I2+(1-Method!$B$4)*S2/($S2+$T2+$U2))</f>
        <v>0.6909702638</v>
      </c>
      <c r="W2" s="59">
        <f>IF(T2="","",Method!$B$4*J2+(1-Method!$B$4)*T2/($S2+$T2+$U2))</f>
        <v>0.209804807</v>
      </c>
      <c r="X2" s="59">
        <f>IF(U2="","",Method!$B$4*K2+(1-Method!$B$4)*U2/($S2+$T2+$U2))</f>
        <v>0.09925992925</v>
      </c>
      <c r="Y2" s="60">
        <f t="shared" ref="Y2:AA2" si="2">IF(V2="","",V2*L2-1)</f>
        <v>-0.01882222542</v>
      </c>
      <c r="Z2" s="60">
        <f t="shared" si="2"/>
        <v>-0.05587836867</v>
      </c>
      <c r="AA2" s="60">
        <f t="shared" si="2"/>
        <v>-0.1562906014</v>
      </c>
      <c r="AB2" s="56">
        <f t="shared" ref="AB2:AB73" si="6">IF(Y2="","",MATCH(MAX(Y2:AA2),Y2:AA2,0))</f>
        <v>1</v>
      </c>
      <c r="AC2" s="56" t="str">
        <f t="shared" ref="AC2:AC73" si="7">IF(AB2="","",CHOOSE(AB2,"H","D","A"))</f>
        <v>H</v>
      </c>
      <c r="AD2" s="61" t="str">
        <f t="shared" ref="AD2:AD73" si="8">IF(AB2="","",CHOOSE(AB2,"1  "&amp;D2,"X  Draw","2  "&amp;E2))</f>
        <v>1  Mexico</v>
      </c>
      <c r="AE2" s="28">
        <f t="shared" ref="AE2:AE73" si="9">IF(AB2="","",INDEX(L2:N2,1,AB2))</f>
        <v>1.42</v>
      </c>
      <c r="AF2" s="60">
        <f t="shared" ref="AF2:AF73" si="10">IF(AB2="","",INDEX(Y2:AA2,1,AB2))</f>
        <v>-0.01882222542</v>
      </c>
      <c r="AG2" s="60">
        <f t="shared" ref="AG2:AG73" si="11">IF(AB2="","",INDEX(V2:X2,1,AB2)-INDEX(S2:U2,1,AB2))</f>
        <v>0.005292934883</v>
      </c>
      <c r="AH2" s="62" t="str">
        <f>IF(AB2="","· enter odds",IF(AND(AF2&gt;=Method!$B$7,AG2&gt;=Method!$B$8),"BET","PASS"))</f>
        <v>PASS</v>
      </c>
      <c r="AI2" s="63">
        <f>IF(AH2&lt;&gt;"BET",0,ROUND(MIN(Method!$B$6,Method!$B$5*AL2)*100,1))</f>
        <v>0</v>
      </c>
      <c r="AJ2" s="64">
        <f>IF(OR(AH2&lt;&gt;"BET",Method!$B$55=TRUE()),0,IF(AI2*Method!$B$10/100&lt;Method!$B$9,0,ROUND(AI2*Method!$B$10/100,0)))</f>
        <v>0</v>
      </c>
      <c r="AK2" s="59">
        <f t="shared" ref="AK2:AK73" si="12">IF(AB2="","",INDEX(V2:X2,1,AB2))</f>
        <v>0.6909702638</v>
      </c>
      <c r="AL2" s="59" t="str">
        <f t="shared" ref="AL2:AL73" si="13">IF(AH2&lt;&gt;"BET","",MAX(0,(AK2*AE2-1)/(AE2-1)))</f>
        <v/>
      </c>
      <c r="AM2" s="56" t="str">
        <f t="shared" ref="AM2:AM73" si="14">IF(AH2="BET",AF2+A2/1000000,"")</f>
        <v/>
      </c>
      <c r="AN2" s="65" t="str">
        <f>IF(Matchday!N4="","",Matchday!N4)</f>
        <v>Y</v>
      </c>
      <c r="AO2" s="58">
        <f>IF(Matchday!P4="","",Matchday!P4)</f>
        <v>1.42</v>
      </c>
      <c r="AP2" s="66">
        <f>IF(Matchday!Q4="","",Matchday!Q4)</f>
        <v>20</v>
      </c>
      <c r="AQ2" s="65" t="str">
        <f>IF(Matchday!R4="","",Matchday!R4)</f>
        <v>H</v>
      </c>
      <c r="AR2" s="67">
        <f t="shared" ref="AR2:AR73" si="15">IF(OR(AN2&lt;&gt;"Y",AQ2="",AV2=""),"",IF(AQ2="Void",0,IF(AQ2=AV2,ROUND(AP2*(AO2-1),2),-AP2)))</f>
        <v>8.4</v>
      </c>
      <c r="AS2" s="67">
        <f t="shared" ref="AS2:AS73" si="16">IF(AR2="","",SUM($AR$2:AR2))</f>
        <v>8.4</v>
      </c>
      <c r="AT2" s="26" t="str">
        <f>IF(AB2="","Type the 3 odds on the Matchday tab",IF(Method!$B$55=TRUE(),"🛑 PAUSED — drawdown "&amp;TEXT(Method!$B$51,"0.0%")&amp;" ≥ "&amp;TEXT(Method!$B$52,"0.0%")&amp;". Set Method!B54=Y to override.",IF(AH2="BET",IF(AJ2=0,"Edge found but stake rounds under £"&amp;Method!$B$9&amp;" — skip","Value found: EV "&amp;TEXT(AF2,"0.0%")&amp;", edge "&amp;TEXT(AG2,"0.0%")),IF(AF2&lt;Method!$B$7,"Price too short — EV "&amp;TEXT(AF2,"0.0%")&amp;" (need "&amp;TEXT(Method!$B$7,"0.0%")&amp;"+)","Model ≈ market — edge "&amp;TEXT(AG2,"0.0%")&amp;" (need "&amp;TEXT(Method!$B$8,"0.0%")&amp;"+)"))))</f>
        <v>🛑 PAUSED — drawdown 0.6% ≥ 15.0%. Set Method!B54=Y to override.</v>
      </c>
      <c r="AU2" s="26" t="str">
        <f t="shared" ref="AU2:AU73" si="17">IF(AN2&lt;&gt;"Y","",IF(AH2="· enter odds","⚠ type the 3 odds (1/X/2) to grade this bet",IF(OR(AV2="",AO2="",AP2=""),"⚠ log backed pick, odds &amp; stake",IF(AZ2&lt;&gt;"BET","⚠ FUN BET — engine said pass · staked £"&amp;AP2&amp;" vs engine £"&amp;BA2,IF(AV2&lt;&gt;IF(AY2="",AC2,AY2),"⚠ backed "&amp;AV2&amp;" but engine pick was "&amp;IF(AY2="",AC2,AY2),IF(AP2&gt;BA2,"⚠ stake over engine £"&amp;BA2,IF(ABS(AO2-IFERROR(INDEX(L2:N2,1,MATCH(AV2,{"H","D","A"},0)),AE2))&gt;0.02,"⚠ odds moved — re-check value","✓ engine bet")))))))</f>
        <v>⚠ FUN BET — engine said pass · staked £20 vs engine £0</v>
      </c>
      <c r="AV2" s="25" t="str">
        <f>IF(Matchday!O4="","",Matchday!O4)</f>
        <v>H</v>
      </c>
      <c r="AW2" s="68" t="s">
        <v>38</v>
      </c>
      <c r="AX2" s="68">
        <v>0.0</v>
      </c>
      <c r="AY2" s="68" t="s">
        <v>178</v>
      </c>
      <c r="AZ2" s="68" t="str">
        <f t="shared" ref="AZ2:AZ73" si="18">IF(AW2="",AH2,AW2)</f>
        <v>PASS</v>
      </c>
      <c r="BA2" s="69">
        <f>IF(AX2&lt;&gt;"",AX2,IF(AH2&lt;&gt;"BET",0,IF(AI2*Method!$B$10/100&lt;Method!$B$9,0,ROUND(AI2*Method!$B$10/100,0))))</f>
        <v>0</v>
      </c>
      <c r="BB2" s="70">
        <v>0.0</v>
      </c>
      <c r="BC2" s="70">
        <v>0.6502740049089724</v>
      </c>
      <c r="BD2" s="70">
        <v>0.23507441043688254</v>
      </c>
      <c r="BE2" s="70">
        <v>0.0886861385277263</v>
      </c>
      <c r="BG2" s="70">
        <v>2240.0</v>
      </c>
      <c r="BH2" s="71" t="s">
        <v>179</v>
      </c>
      <c r="BI2" s="70">
        <v>0.0</v>
      </c>
    </row>
    <row r="3" ht="15.0" customHeight="1">
      <c r="A3" s="25">
        <v>2.0</v>
      </c>
      <c r="B3" s="55">
        <v>46184.0</v>
      </c>
      <c r="C3" s="25" t="s">
        <v>172</v>
      </c>
      <c r="D3" s="56" t="s">
        <v>180</v>
      </c>
      <c r="E3" s="56" t="s">
        <v>181</v>
      </c>
      <c r="F3" s="56" t="s">
        <v>182</v>
      </c>
      <c r="G3" s="25" t="s">
        <v>177</v>
      </c>
      <c r="H3" s="25" t="s">
        <v>183</v>
      </c>
      <c r="I3" s="57">
        <v>0.4437091841588641</v>
      </c>
      <c r="J3" s="57">
        <v>0.2906709315654992</v>
      </c>
      <c r="K3" s="57">
        <v>0.2656198842756369</v>
      </c>
      <c r="L3" s="58">
        <f>IF(Matchday!E5="","",Matchday!E5)</f>
        <v>2.7</v>
      </c>
      <c r="M3" s="58">
        <f>IF(Matchday!F5="","",Matchday!F5)</f>
        <v>3.1</v>
      </c>
      <c r="N3" s="58">
        <f>IF(Matchday!G5="","",Matchday!G5)</f>
        <v>2.8</v>
      </c>
      <c r="O3" s="59">
        <f t="shared" ref="O3:Q3" si="3">IF(L3="","",1/L3)</f>
        <v>0.3703703704</v>
      </c>
      <c r="P3" s="59">
        <f t="shared" si="3"/>
        <v>0.3225806452</v>
      </c>
      <c r="Q3" s="59">
        <f t="shared" si="3"/>
        <v>0.3571428571</v>
      </c>
      <c r="R3" s="59">
        <f t="shared" si="4"/>
        <v>1.050093873</v>
      </c>
      <c r="S3" s="59">
        <f t="array" ref="S3">IF($R3="","",IF(Method!$B$56="proportional",O3/$R3,IF(Method!$B$56="power",IFERROR(INDEX(power_devig($L3,$M3,$N3),1,1),O3/$R3),IFERROR(INDEX(shin($L3,$M3,$N3),1,1),O3/$R3))))</f>
        <v>0.3534208151</v>
      </c>
      <c r="T3" s="59">
        <f t="array" ref="T3">IF($R3="","",IF(Method!$B$56="proportional",P3/$R3,IF(Method!$B$56="power",IFERROR(INDEX(power_devig($L3,$M3,$N3),2,1),P3/$R3),IFERROR(INDEX(shin($L3,$M3,$N3),2,1),P3/$R3))))</f>
        <v>0.3062229558</v>
      </c>
      <c r="U3" s="59">
        <f t="array" ref="U3">IF($R3="","",IF(Method!$B$56="proportional",Q3/$R3,IF(Method!$B$56="power",IFERROR(INDEX(power_devig($L3,$M3,$N3),3,1),Q3/$R3),IFERROR(INDEX(shin($L3,$M3,$N3),3,1),Q3/$R3))))</f>
        <v>0.3403562292</v>
      </c>
      <c r="V3" s="59">
        <f>IF(S3="","",Method!$B$4*I3+(1-Method!$B$4)*S3/($S3+$T3+$U3))</f>
        <v>0.3850217442</v>
      </c>
      <c r="W3" s="59">
        <f>IF(T3="","",Method!$B$4*J3+(1-Method!$B$4)*T3/($S3+$T3+$U3))</f>
        <v>0.3007797473</v>
      </c>
      <c r="X3" s="59">
        <f>IF(U3="","",Method!$B$4*K3+(1-Method!$B$4)*U3/($S3+$T3+$U3))</f>
        <v>0.3141985085</v>
      </c>
      <c r="Y3" s="60">
        <f t="shared" ref="Y3:AA3" si="5">IF(V3="","",V3*L3-1)</f>
        <v>0.03955870945</v>
      </c>
      <c r="Z3" s="60">
        <f t="shared" si="5"/>
        <v>-0.06758278335</v>
      </c>
      <c r="AA3" s="60">
        <f t="shared" si="5"/>
        <v>-0.1202441763</v>
      </c>
      <c r="AB3" s="56">
        <f t="shared" si="6"/>
        <v>1</v>
      </c>
      <c r="AC3" s="56" t="str">
        <f t="shared" si="7"/>
        <v>H</v>
      </c>
      <c r="AD3" s="61" t="str">
        <f t="shared" si="8"/>
        <v>1  South Korea</v>
      </c>
      <c r="AE3" s="28">
        <f t="shared" si="9"/>
        <v>2.7</v>
      </c>
      <c r="AF3" s="60">
        <f t="shared" si="10"/>
        <v>0.03955870945</v>
      </c>
      <c r="AG3" s="60">
        <f t="shared" si="11"/>
        <v>0.03160092919</v>
      </c>
      <c r="AH3" s="62" t="str">
        <f>IF(AB3="","· enter odds",IF(AND(AF3&gt;=Method!$B$7,AG3&gt;=Method!$B$8),"BET","PASS"))</f>
        <v>BET</v>
      </c>
      <c r="AI3" s="63">
        <f>IF(AH3&lt;&gt;"BET",0,ROUND(MIN(Method!$B$6,Method!$B$5*AL3)*100,1))</f>
        <v>0.6</v>
      </c>
      <c r="AJ3" s="64">
        <f>IF(OR(AH3&lt;&gt;"BET",Method!$B$55=TRUE()),0,IF(AI3*Method!$B$10/100&lt;Method!$B$9,0,ROUND(AI3*Method!$B$10/100,0)))</f>
        <v>0</v>
      </c>
      <c r="AK3" s="59">
        <f t="shared" si="12"/>
        <v>0.3850217442</v>
      </c>
      <c r="AL3" s="59">
        <f t="shared" si="13"/>
        <v>0.02326982909</v>
      </c>
      <c r="AM3" s="60">
        <f t="shared" si="14"/>
        <v>0.03956070945</v>
      </c>
      <c r="AN3" s="65" t="str">
        <f>IF(Matchday!N5="","",Matchday!N5)</f>
        <v>Y</v>
      </c>
      <c r="AO3" s="58">
        <f>IF(Matchday!P5="","",Matchday!P5)</f>
        <v>2.6</v>
      </c>
      <c r="AP3" s="66">
        <f>IF(Matchday!Q5="","",Matchday!Q5)</f>
        <v>10</v>
      </c>
      <c r="AQ3" s="65" t="str">
        <f>IF(Matchday!R5="","",Matchday!R5)</f>
        <v>H</v>
      </c>
      <c r="AR3" s="67">
        <f t="shared" si="15"/>
        <v>16</v>
      </c>
      <c r="AS3" s="67">
        <f t="shared" si="16"/>
        <v>24.4</v>
      </c>
      <c r="AT3" s="26" t="str">
        <f>IF(AB3="","Type the 3 odds on the Matchday tab",IF(Method!$B$55=TRUE(),"🛑 PAUSED — drawdown "&amp;TEXT(Method!$B$51,"0.0%")&amp;" ≥ "&amp;TEXT(Method!$B$52,"0.0%")&amp;". Set Method!B54=Y to override.",IF(AH3="BET",IF(AJ3=0,"Edge found but stake rounds under £"&amp;Method!$B$9&amp;" — skip","Value found: EV "&amp;TEXT(AF3,"0.0%")&amp;", edge "&amp;TEXT(AG3,"0.0%")),IF(AF3&lt;Method!$B$7,"Price too short — EV "&amp;TEXT(AF3,"0.0%")&amp;" (need "&amp;TEXT(Method!$B$7,"0.0%")&amp;"+)","Model ≈ market — edge "&amp;TEXT(AG3,"0.0%")&amp;" (need "&amp;TEXT(Method!$B$8,"0.0%")&amp;"+)"))))</f>
        <v>🛑 PAUSED — drawdown 0.6% ≥ 15.0%. Set Method!B54=Y to override.</v>
      </c>
      <c r="AU3" s="26" t="str">
        <f t="shared" si="17"/>
        <v>⚠ stake over engine £3</v>
      </c>
      <c r="AV3" s="25" t="str">
        <f>IF(Matchday!O5="","",Matchday!O5)</f>
        <v>H</v>
      </c>
      <c r="AW3" s="68" t="s">
        <v>184</v>
      </c>
      <c r="AX3" s="68">
        <v>3.0</v>
      </c>
      <c r="AY3" s="68" t="s">
        <v>178</v>
      </c>
      <c r="AZ3" s="68" t="str">
        <f t="shared" si="18"/>
        <v>BET</v>
      </c>
      <c r="BA3" s="69">
        <f>IF(AX3&lt;&gt;"",AX3,IF(AH3&lt;&gt;"BET",0,IF(AI3*Method!$B$10/100&lt;Method!$B$9,0,ROUND(AI3*Method!$B$10/100,0))))</f>
        <v>3</v>
      </c>
      <c r="BB3" s="70">
        <v>-5.0</v>
      </c>
      <c r="BC3" s="70">
        <v>0.42788051545139294</v>
      </c>
      <c r="BD3" s="70">
        <v>0.290133757898249</v>
      </c>
      <c r="BE3" s="70">
        <v>0.270649800846317</v>
      </c>
      <c r="BF3" s="71" t="s">
        <v>185</v>
      </c>
      <c r="BG3" s="70">
        <v>1560.0</v>
      </c>
      <c r="BH3" s="71" t="s">
        <v>186</v>
      </c>
      <c r="BI3" s="70">
        <v>0.0</v>
      </c>
    </row>
    <row r="4" ht="15.0" customHeight="1">
      <c r="A4" s="25">
        <v>3.0</v>
      </c>
      <c r="B4" s="55">
        <v>46185.0</v>
      </c>
      <c r="C4" s="25" t="s">
        <v>187</v>
      </c>
      <c r="D4" s="56" t="s">
        <v>188</v>
      </c>
      <c r="E4" s="56" t="s">
        <v>189</v>
      </c>
      <c r="F4" s="56" t="s">
        <v>190</v>
      </c>
      <c r="G4" s="25" t="s">
        <v>191</v>
      </c>
      <c r="H4" s="25" t="s">
        <v>177</v>
      </c>
      <c r="I4" s="57">
        <v>0.6975066163160056</v>
      </c>
      <c r="J4" s="57">
        <v>0.2132834046552971</v>
      </c>
      <c r="K4" s="57">
        <v>0.08920997902869723</v>
      </c>
      <c r="L4" s="58">
        <f>IF(Matchday!E6="","",Matchday!E6)</f>
        <v>1.85</v>
      </c>
      <c r="M4" s="58">
        <f>IF(Matchday!F6="","",Matchday!F6)</f>
        <v>3.5</v>
      </c>
      <c r="N4" s="58">
        <f>IF(Matchday!G6="","",Matchday!G6)</f>
        <v>4.5</v>
      </c>
      <c r="O4" s="59">
        <f t="shared" ref="O4:Q4" si="19">IF(L4="","",1/L4)</f>
        <v>0.5405405405</v>
      </c>
      <c r="P4" s="59">
        <f t="shared" si="19"/>
        <v>0.2857142857</v>
      </c>
      <c r="Q4" s="59">
        <f t="shared" si="19"/>
        <v>0.2222222222</v>
      </c>
      <c r="R4" s="59">
        <f t="shared" si="4"/>
        <v>1.048477048</v>
      </c>
      <c r="S4" s="59">
        <f t="array" ref="S4">IF($R4="","",IF(Method!$B$56="proportional",O4/$R4,IF(Method!$B$56="power",IFERROR(INDEX(power_devig($L4,$M4,$N4),1,1),O4/$R4),IFERROR(INDEX(shin($L4,$M4,$N4),1,1),O4/$R4))))</f>
        <v>0.5221128869</v>
      </c>
      <c r="T4" s="59">
        <f t="array" ref="T4">IF($R4="","",IF(Method!$B$56="proportional",P4/$R4,IF(Method!$B$56="power",IFERROR(INDEX(power_devig($L4,$M4,$N4),2,1),P4/$R4),IFERROR(INDEX(shin($L4,$M4,$N4),2,1),P4/$R4))))</f>
        <v>0.2702920686</v>
      </c>
      <c r="U4" s="59">
        <f t="array" ref="U4">IF($R4="","",IF(Method!$B$56="proportional",Q4/$R4,IF(Method!$B$56="power",IFERROR(INDEX(power_devig($L4,$M4,$N4),3,1),Q4/$R4),IFERROR(INDEX(shin($L4,$M4,$N4),3,1),Q4/$R4))))</f>
        <v>0.2075950445</v>
      </c>
      <c r="V4" s="59">
        <f>IF(S4="","",Method!$B$4*I4+(1-Method!$B$4)*S4/($S4+$T4+$U4))</f>
        <v>0.5835006922</v>
      </c>
      <c r="W4" s="59">
        <f>IF(T4="","",Method!$B$4*J4+(1-Method!$B$4)*T4/($S4+$T4+$U4))</f>
        <v>0.2503390362</v>
      </c>
      <c r="X4" s="59">
        <f>IF(U4="","",Method!$B$4*K4+(1-Method!$B$4)*U4/($S4+$T4+$U4))</f>
        <v>0.1661602716</v>
      </c>
      <c r="Y4" s="60">
        <f t="shared" ref="Y4:AA4" si="20">IF(V4="","",V4*L4-1)</f>
        <v>0.07947628062</v>
      </c>
      <c r="Z4" s="60">
        <f t="shared" si="20"/>
        <v>-0.1238133733</v>
      </c>
      <c r="AA4" s="60">
        <f t="shared" si="20"/>
        <v>-0.2522787779</v>
      </c>
      <c r="AB4" s="56">
        <f t="shared" si="6"/>
        <v>1</v>
      </c>
      <c r="AC4" s="56" t="str">
        <f t="shared" si="7"/>
        <v>H</v>
      </c>
      <c r="AD4" s="61" t="str">
        <f t="shared" si="8"/>
        <v>1  Canada</v>
      </c>
      <c r="AE4" s="28">
        <f t="shared" si="9"/>
        <v>1.85</v>
      </c>
      <c r="AF4" s="60">
        <f t="shared" si="10"/>
        <v>0.07947628062</v>
      </c>
      <c r="AG4" s="60">
        <f t="shared" si="11"/>
        <v>0.06138780528</v>
      </c>
      <c r="AH4" s="62" t="str">
        <f>IF(AB4="","· enter odds",IF(AND(AF4&gt;=Method!$B$7,AG4&gt;=Method!$B$8),"BET","PASS"))</f>
        <v>BET</v>
      </c>
      <c r="AI4" s="63">
        <f>IF(AH4&lt;&gt;"BET",0,ROUND(MIN(Method!$B$6,Method!$B$5*AL4)*100,1))</f>
        <v>2.3</v>
      </c>
      <c r="AJ4" s="64">
        <f>IF(OR(AH4&lt;&gt;"BET",Method!$B$55=TRUE()),0,IF(AI4*Method!$B$10/100&lt;Method!$B$9,0,ROUND(AI4*Method!$B$10/100,0)))</f>
        <v>0</v>
      </c>
      <c r="AK4" s="59">
        <f t="shared" si="12"/>
        <v>0.5835006922</v>
      </c>
      <c r="AL4" s="59">
        <f t="shared" si="13"/>
        <v>0.09350150661</v>
      </c>
      <c r="AM4" s="60">
        <f t="shared" si="14"/>
        <v>0.07947928062</v>
      </c>
      <c r="AN4" s="65" t="str">
        <f>IF(Matchday!N6="","",Matchday!N6)</f>
        <v>Y</v>
      </c>
      <c r="AO4" s="58">
        <f>IF(Matchday!P6="","",Matchday!P6)</f>
        <v>1.85</v>
      </c>
      <c r="AP4" s="66">
        <f>IF(Matchday!Q6="","",Matchday!Q6)</f>
        <v>24</v>
      </c>
      <c r="AQ4" s="65" t="str">
        <f>IF(Matchday!R6="","",Matchday!R6)</f>
        <v>D</v>
      </c>
      <c r="AR4" s="67">
        <f t="shared" si="15"/>
        <v>-24</v>
      </c>
      <c r="AS4" s="67">
        <f t="shared" si="16"/>
        <v>0.4</v>
      </c>
      <c r="AT4" s="26" t="str">
        <f>IF(AB4="","Type the 3 odds on the Matchday tab",IF(Method!$B$55=TRUE(),"🛑 PAUSED — drawdown "&amp;TEXT(Method!$B$51,"0.0%")&amp;" ≥ "&amp;TEXT(Method!$B$52,"0.0%")&amp;". Set Method!B54=Y to override.",IF(AH4="BET",IF(AJ4=0,"Edge found but stake rounds under £"&amp;Method!$B$9&amp;" — skip","Value found: EV "&amp;TEXT(AF4,"0.0%")&amp;", edge "&amp;TEXT(AG4,"0.0%")),IF(AF4&lt;Method!$B$7,"Price too short — EV "&amp;TEXT(AF4,"0.0%")&amp;" (need "&amp;TEXT(Method!$B$7,"0.0%")&amp;"+)","Model ≈ market — edge "&amp;TEXT(AG4,"0.0%")&amp;" (need "&amp;TEXT(Method!$B$8,"0.0%")&amp;"+)"))))</f>
        <v>🛑 PAUSED — drawdown 0.6% ≥ 15.0%. Set Method!B54=Y to override.</v>
      </c>
      <c r="AU4" s="26" t="str">
        <f t="shared" si="17"/>
        <v>⚠ stake over engine £12</v>
      </c>
      <c r="AV4" s="25" t="str">
        <f>IF(Matchday!O6="","",Matchday!O6)</f>
        <v>H</v>
      </c>
      <c r="AW4" s="68" t="s">
        <v>184</v>
      </c>
      <c r="AX4" s="68">
        <v>12.0</v>
      </c>
      <c r="AY4" s="68" t="s">
        <v>178</v>
      </c>
      <c r="AZ4" s="68" t="str">
        <f t="shared" si="18"/>
        <v>BET</v>
      </c>
      <c r="BA4" s="69">
        <f>IF(AX4&lt;&gt;"",AX4,IF(AH4&lt;&gt;"BET",0,IF(AI4*Method!$B$10/100&lt;Method!$B$9,0,ROUND(AI4*Method!$B$10/100,0))))</f>
        <v>12</v>
      </c>
      <c r="BB4" s="70">
        <v>0.0</v>
      </c>
      <c r="BC4" s="70">
        <v>0.6468117413420031</v>
      </c>
      <c r="BD4" s="70">
        <v>0.23660731051869324</v>
      </c>
      <c r="BE4" s="70">
        <v>0.09041478084029869</v>
      </c>
      <c r="BG4" s="70">
        <v>76.0</v>
      </c>
      <c r="BH4" s="71" t="s">
        <v>192</v>
      </c>
      <c r="BI4" s="70">
        <v>0.0</v>
      </c>
    </row>
    <row r="5" ht="15.0" customHeight="1">
      <c r="A5" s="25">
        <v>4.0</v>
      </c>
      <c r="B5" s="55">
        <v>46185.0</v>
      </c>
      <c r="C5" s="25" t="s">
        <v>193</v>
      </c>
      <c r="D5" s="56" t="s">
        <v>194</v>
      </c>
      <c r="E5" s="56" t="s">
        <v>195</v>
      </c>
      <c r="F5" s="56" t="s">
        <v>196</v>
      </c>
      <c r="G5" s="25" t="s">
        <v>197</v>
      </c>
      <c r="H5" s="25" t="s">
        <v>198</v>
      </c>
      <c r="I5" s="57">
        <v>0.4854873211413243</v>
      </c>
      <c r="J5" s="57">
        <v>0.2800986984185976</v>
      </c>
      <c r="K5" s="57">
        <v>0.2344139804400782</v>
      </c>
      <c r="L5" s="58">
        <f>IF(Matchday!E7="","",Matchday!E7)</f>
        <v>2.18</v>
      </c>
      <c r="M5" s="58">
        <f>IF(Matchday!F7="","",Matchday!F7)</f>
        <v>3.3</v>
      </c>
      <c r="N5" s="58">
        <f>IF(Matchday!G7="","",Matchday!G7)</f>
        <v>4.1</v>
      </c>
      <c r="O5" s="59">
        <f t="shared" ref="O5:Q5" si="21">IF(L5="","",1/L5)</f>
        <v>0.4587155963</v>
      </c>
      <c r="P5" s="59">
        <f t="shared" si="21"/>
        <v>0.303030303</v>
      </c>
      <c r="Q5" s="59">
        <f t="shared" si="21"/>
        <v>0.243902439</v>
      </c>
      <c r="R5" s="59">
        <f t="shared" si="4"/>
        <v>1.005648338</v>
      </c>
      <c r="S5" s="59">
        <f t="array" ref="S5">IF($R5="","",IF(Method!$B$56="proportional",O5/$R5,IF(Method!$B$56="power",IFERROR(INDEX(power_devig($L5,$M5,$N5),1,1),O5/$R5),IFERROR(INDEX(shin($L5,$M5,$N5),1,1),O5/$R5))))</f>
        <v>0.4566587959</v>
      </c>
      <c r="T5" s="59">
        <f t="array" ref="T5">IF($R5="","",IF(Method!$B$56="proportional",P5/$R5,IF(Method!$B$56="power",IFERROR(INDEX(power_devig($L5,$M5,$N5),2,1),P5/$R5),IFERROR(INDEX(shin($L5,$M5,$N5),2,1),P5/$R5))))</f>
        <v>0.3011927179</v>
      </c>
      <c r="U5" s="59">
        <f t="array" ref="U5">IF($R5="","",IF(Method!$B$56="proportional",Q5/$R5,IF(Method!$B$56="power",IFERROR(INDEX(power_devig($L5,$M5,$N5),3,1),Q5/$R5),IFERROR(INDEX(shin($L5,$M5,$N5),3,1),Q5/$R5))))</f>
        <v>0.2421484862</v>
      </c>
      <c r="V5" s="59">
        <f>IF(S5="","",Method!$B$4*I5+(1-Method!$B$4)*S5/($S5+$T5+$U5))</f>
        <v>0.4667487797</v>
      </c>
      <c r="W5" s="59">
        <f>IF(T5="","",Method!$B$4*J5+(1-Method!$B$4)*T5/($S5+$T5+$U5))</f>
        <v>0.2938098111</v>
      </c>
      <c r="X5" s="59">
        <f>IF(U5="","",Method!$B$4*K5+(1-Method!$B$4)*U5/($S5+$T5+$U5))</f>
        <v>0.2394414092</v>
      </c>
      <c r="Y5" s="60">
        <f t="shared" ref="Y5:AA5" si="22">IF(V5="","",V5*L5-1)</f>
        <v>0.01751233979</v>
      </c>
      <c r="Z5" s="60">
        <f t="shared" si="22"/>
        <v>-0.03042762341</v>
      </c>
      <c r="AA5" s="60">
        <f t="shared" si="22"/>
        <v>-0.01829022232</v>
      </c>
      <c r="AB5" s="56">
        <f t="shared" si="6"/>
        <v>1</v>
      </c>
      <c r="AC5" s="56" t="str">
        <f t="shared" si="7"/>
        <v>H</v>
      </c>
      <c r="AD5" s="61" t="str">
        <f t="shared" si="8"/>
        <v>1  United States</v>
      </c>
      <c r="AE5" s="28">
        <f t="shared" si="9"/>
        <v>2.18</v>
      </c>
      <c r="AF5" s="60">
        <f t="shared" si="10"/>
        <v>0.01751233979</v>
      </c>
      <c r="AG5" s="60">
        <f t="shared" si="11"/>
        <v>0.01008998384</v>
      </c>
      <c r="AH5" s="62" t="str">
        <f>IF(AB5="","· enter odds",IF(AND(AF5&gt;=Method!$B$7,AG5&gt;=Method!$B$8),"BET","PASS"))</f>
        <v>PASS</v>
      </c>
      <c r="AI5" s="63">
        <f>IF(AH5&lt;&gt;"BET",0,ROUND(MIN(Method!$B$6,Method!$B$5*AL5)*100,1))</f>
        <v>0</v>
      </c>
      <c r="AJ5" s="64">
        <f>IF(OR(AH5&lt;&gt;"BET",Method!$B$55=TRUE()),0,IF(AI5*Method!$B$10/100&lt;Method!$B$9,0,ROUND(AI5*Method!$B$10/100,0)))</f>
        <v>0</v>
      </c>
      <c r="AK5" s="59">
        <f t="shared" si="12"/>
        <v>0.4667487797</v>
      </c>
      <c r="AL5" s="59" t="str">
        <f t="shared" si="13"/>
        <v/>
      </c>
      <c r="AM5" s="56" t="str">
        <f t="shared" si="14"/>
        <v/>
      </c>
      <c r="AN5" s="65" t="str">
        <f>IF(Matchday!N7="","",Matchday!N7)</f>
        <v>Y</v>
      </c>
      <c r="AO5" s="58">
        <f>IF(Matchday!P7="","",Matchday!P7)</f>
        <v>2.05</v>
      </c>
      <c r="AP5" s="66">
        <f>IF(Matchday!Q7="","",Matchday!Q7)</f>
        <v>20</v>
      </c>
      <c r="AQ5" s="65" t="str">
        <f>IF(Matchday!R7="","",Matchday!R7)</f>
        <v>H</v>
      </c>
      <c r="AR5" s="67">
        <f t="shared" si="15"/>
        <v>21</v>
      </c>
      <c r="AS5" s="67">
        <f t="shared" si="16"/>
        <v>21.4</v>
      </c>
      <c r="AT5" s="26" t="str">
        <f>IF(AB5="","Type the 3 odds on the Matchday tab",IF(Method!$B$55=TRUE(),"🛑 PAUSED — drawdown "&amp;TEXT(Method!$B$51,"0.0%")&amp;" ≥ "&amp;TEXT(Method!$B$52,"0.0%")&amp;". Set Method!B54=Y to override.",IF(AH5="BET",IF(AJ5=0,"Edge found but stake rounds under £"&amp;Method!$B$9&amp;" — skip","Value found: EV "&amp;TEXT(AF5,"0.0%")&amp;", edge "&amp;TEXT(AG5,"0.0%")),IF(AF5&lt;Method!$B$7,"Price too short — EV "&amp;TEXT(AF5,"0.0%")&amp;" (need "&amp;TEXT(Method!$B$7,"0.0%")&amp;"+)","Model ≈ market — edge "&amp;TEXT(AG5,"0.0%")&amp;" (need "&amp;TEXT(Method!$B$8,"0.0%")&amp;"+)"))))</f>
        <v>🛑 PAUSED — drawdown 0.6% ≥ 15.0%. Set Method!B54=Y to override.</v>
      </c>
      <c r="AU5" s="26" t="str">
        <f t="shared" si="17"/>
        <v>⚠ FUN BET — engine said pass · staked £20 vs engine £0</v>
      </c>
      <c r="AV5" s="25" t="str">
        <f>IF(Matchday!O7="","",Matchday!O7)</f>
        <v>H</v>
      </c>
      <c r="AW5" s="68" t="s">
        <v>38</v>
      </c>
      <c r="AX5" s="68">
        <v>0.0</v>
      </c>
      <c r="AY5" s="68" t="s">
        <v>178</v>
      </c>
      <c r="AZ5" s="68" t="str">
        <f t="shared" si="18"/>
        <v>PASS</v>
      </c>
      <c r="BA5" s="69">
        <f>IF(AX5&lt;&gt;"",AX5,IF(AH5&lt;&gt;"BET",0,IF(AI5*Method!$B$10/100&lt;Method!$B$9,0,ROUND(AI5*Method!$B$10/100,0))))</f>
        <v>0</v>
      </c>
      <c r="BB5" s="70">
        <v>0.0</v>
      </c>
      <c r="BC5" s="70">
        <v>0.4695256175725819</v>
      </c>
      <c r="BD5" s="70">
        <v>0.28613659096228916</v>
      </c>
      <c r="BE5" s="70">
        <v>0.2385325788522602</v>
      </c>
      <c r="BG5" s="70">
        <v>30.0</v>
      </c>
      <c r="BH5" s="71" t="s">
        <v>199</v>
      </c>
      <c r="BI5" s="70">
        <v>0.0</v>
      </c>
    </row>
    <row r="6" ht="15.0" customHeight="1">
      <c r="A6" s="25">
        <v>5.0</v>
      </c>
      <c r="B6" s="55">
        <v>46186.0</v>
      </c>
      <c r="C6" s="25" t="s">
        <v>187</v>
      </c>
      <c r="D6" s="56" t="s">
        <v>200</v>
      </c>
      <c r="E6" s="56" t="s">
        <v>201</v>
      </c>
      <c r="F6" s="56" t="s">
        <v>202</v>
      </c>
      <c r="G6" s="25" t="s">
        <v>203</v>
      </c>
      <c r="H6" s="25" t="s">
        <v>177</v>
      </c>
      <c r="I6" s="57">
        <v>0.07585286982916385</v>
      </c>
      <c r="J6" s="57">
        <v>0.197894430187124</v>
      </c>
      <c r="K6" s="57">
        <v>0.7262526999837122</v>
      </c>
      <c r="L6" s="58">
        <f>IF(Matchday!E8="","",Matchday!E8)</f>
        <v>14</v>
      </c>
      <c r="M6" s="58">
        <f>IF(Matchday!F8="","",Matchday!F8)</f>
        <v>7.5</v>
      </c>
      <c r="N6" s="58">
        <f>IF(Matchday!G8="","",Matchday!G8)</f>
        <v>1.2</v>
      </c>
      <c r="O6" s="59">
        <f t="shared" ref="O6:Q6" si="23">IF(L6="","",1/L6)</f>
        <v>0.07142857143</v>
      </c>
      <c r="P6" s="59">
        <f t="shared" si="23"/>
        <v>0.1333333333</v>
      </c>
      <c r="Q6" s="59">
        <f t="shared" si="23"/>
        <v>0.8333333333</v>
      </c>
      <c r="R6" s="59">
        <f t="shared" si="4"/>
        <v>1.038095238</v>
      </c>
      <c r="S6" s="59">
        <f t="array" ref="S6">IF($R6="","",IF(Method!$B$56="proportional",O6/$R6,IF(Method!$B$56="power",IFERROR(INDEX(power_devig($L6,$M6,$N6),1,1),O6/$R6),IFERROR(INDEX(shin($L6,$M6,$N6),1,1),O6/$R6))))</f>
        <v>0.06143925795</v>
      </c>
      <c r="T6" s="59">
        <f t="array" ref="T6">IF($R6="","",IF(Method!$B$56="proportional",P6/$R6,IF(Method!$B$56="power",IFERROR(INDEX(power_devig($L6,$M6,$N6),2,1),P6/$R6),IFERROR(INDEX(shin($L6,$M6,$N6),2,1),P6/$R6))))</f>
        <v>0.1224768346</v>
      </c>
      <c r="U6" s="59">
        <f t="array" ref="U6">IF($R6="","",IF(Method!$B$56="proportional",Q6/$R6,IF(Method!$B$56="power",IFERROR(INDEX(power_devig($L6,$M6,$N6),3,1),Q6/$R6),IFERROR(INDEX(shin($L6,$M6,$N6),3,1),Q6/$R6))))</f>
        <v>0.8160839075</v>
      </c>
      <c r="V6" s="59">
        <f>IF(S6="","",Method!$B$4*I6+(1-Method!$B$4)*S6/($S6+$T6+$U6))</f>
        <v>0.06648402211</v>
      </c>
      <c r="W6" s="59">
        <f>IF(T6="","",Method!$B$4*J6+(1-Method!$B$4)*T6/($S6+$T6+$U6))</f>
        <v>0.148872993</v>
      </c>
      <c r="X6" s="59">
        <f>IF(U6="","",Method!$B$4*K6+(1-Method!$B$4)*U6/($S6+$T6+$U6))</f>
        <v>0.7846429849</v>
      </c>
      <c r="Y6" s="60">
        <f t="shared" ref="Y6:AA6" si="24">IF(V6="","",V6*L6-1)</f>
        <v>-0.0692236905</v>
      </c>
      <c r="Z6" s="60">
        <f t="shared" si="24"/>
        <v>0.1165474477</v>
      </c>
      <c r="AA6" s="60">
        <f t="shared" si="24"/>
        <v>-0.05842841817</v>
      </c>
      <c r="AB6" s="56">
        <f t="shared" si="6"/>
        <v>2</v>
      </c>
      <c r="AC6" s="56" t="str">
        <f t="shared" si="7"/>
        <v>D</v>
      </c>
      <c r="AD6" s="61" t="str">
        <f t="shared" si="8"/>
        <v>X  Draw</v>
      </c>
      <c r="AE6" s="28">
        <f t="shared" si="9"/>
        <v>7.5</v>
      </c>
      <c r="AF6" s="60">
        <f t="shared" si="10"/>
        <v>0.1165474477</v>
      </c>
      <c r="AG6" s="60">
        <f t="shared" si="11"/>
        <v>0.02639615847</v>
      </c>
      <c r="AH6" s="62" t="str">
        <f>IF(AB6="","· enter odds",IF(AND(AF6&gt;=Method!$B$7,AG6&gt;=Method!$B$8),"BET","PASS"))</f>
        <v>BET</v>
      </c>
      <c r="AI6" s="63">
        <f>IF(AH6&lt;&gt;"BET",0,ROUND(MIN(Method!$B$6,Method!$B$5*AL6)*100,1))</f>
        <v>0.4</v>
      </c>
      <c r="AJ6" s="64">
        <f>IF(OR(AH6&lt;&gt;"BET",Method!$B$55=TRUE()),0,IF(AI6*Method!$B$10/100&lt;Method!$B$9,0,ROUND(AI6*Method!$B$10/100,0)))</f>
        <v>0</v>
      </c>
      <c r="AK6" s="59">
        <f t="shared" si="12"/>
        <v>0.148872993</v>
      </c>
      <c r="AL6" s="59">
        <f t="shared" si="13"/>
        <v>0.01793037658</v>
      </c>
      <c r="AM6" s="60">
        <f t="shared" si="14"/>
        <v>0.1165524477</v>
      </c>
      <c r="AN6" s="65" t="str">
        <f>IF(Matchday!N8="","",Matchday!N8)</f>
        <v>Y</v>
      </c>
      <c r="AO6" s="58">
        <f>IF(Matchday!P8="","",Matchday!P8)</f>
        <v>7.5</v>
      </c>
      <c r="AP6" s="66">
        <f>IF(Matchday!Q8="","",Matchday!Q8)</f>
        <v>20</v>
      </c>
      <c r="AQ6" s="65" t="str">
        <f>IF(Matchday!R8="","",Matchday!R8)</f>
        <v>D</v>
      </c>
      <c r="AR6" s="67">
        <f t="shared" si="15"/>
        <v>-20</v>
      </c>
      <c r="AS6" s="67">
        <f t="shared" si="16"/>
        <v>1.4</v>
      </c>
      <c r="AT6" s="26" t="str">
        <f>IF(AB6="","Type the 3 odds on the Matchday tab",IF(Method!$B$55=TRUE(),"🛑 PAUSED — drawdown "&amp;TEXT(Method!$B$51,"0.0%")&amp;" ≥ "&amp;TEXT(Method!$B$52,"0.0%")&amp;". Set Method!B54=Y to override.",IF(AH6="BET",IF(AJ6=0,"Edge found but stake rounds under £"&amp;Method!$B$9&amp;" — skip","Value found: EV "&amp;TEXT(AF6,"0.0%")&amp;", edge "&amp;TEXT(AG6,"0.0%")),IF(AF6&lt;Method!$B$7,"Price too short — EV "&amp;TEXT(AF6,"0.0%")&amp;" (need "&amp;TEXT(Method!$B$7,"0.0%")&amp;"+)","Model ≈ market — edge "&amp;TEXT(AG6,"0.0%")&amp;" (need "&amp;TEXT(Method!$B$8,"0.0%")&amp;"+)"))))</f>
        <v>🛑 PAUSED — drawdown 0.6% ≥ 15.0%. Set Method!B54=Y to override.</v>
      </c>
      <c r="AU6" s="26" t="str">
        <f t="shared" si="17"/>
        <v>⚠ FUN BET — engine said pass · staked £20 vs engine £0</v>
      </c>
      <c r="AV6" s="25" t="str">
        <f>IF(Matchday!O8="","",Matchday!O8)</f>
        <v>A</v>
      </c>
      <c r="AW6" s="68" t="s">
        <v>38</v>
      </c>
      <c r="AX6" s="68">
        <v>0.0</v>
      </c>
      <c r="AY6" s="68" t="s">
        <v>193</v>
      </c>
      <c r="AZ6" s="68" t="str">
        <f t="shared" si="18"/>
        <v>PASS</v>
      </c>
      <c r="BA6" s="69">
        <f>IF(AX6&lt;&gt;"",AX6,IF(AH6&lt;&gt;"BET",0,IF(AI6*Method!$B$10/100&lt;Method!$B$9,0,ROUND(AI6*Method!$B$10/100,0))))</f>
        <v>0</v>
      </c>
      <c r="BB6" s="70">
        <v>0.0</v>
      </c>
      <c r="BC6" s="70">
        <v>0.06911286475150775</v>
      </c>
      <c r="BD6" s="70">
        <v>0.22170918568223505</v>
      </c>
      <c r="BE6" s="70">
        <v>0.7057128188594387</v>
      </c>
      <c r="BG6" s="70">
        <v>8.0</v>
      </c>
      <c r="BH6" s="71" t="s">
        <v>204</v>
      </c>
      <c r="BI6" s="70">
        <v>0.0</v>
      </c>
    </row>
    <row r="7" ht="15.0" customHeight="1">
      <c r="A7" s="25">
        <v>6.0</v>
      </c>
      <c r="B7" s="55">
        <v>46186.0</v>
      </c>
      <c r="C7" s="25" t="s">
        <v>205</v>
      </c>
      <c r="D7" s="56" t="s">
        <v>206</v>
      </c>
      <c r="E7" s="56" t="s">
        <v>207</v>
      </c>
      <c r="F7" s="56" t="s">
        <v>208</v>
      </c>
      <c r="G7" s="25" t="s">
        <v>197</v>
      </c>
      <c r="H7" s="25" t="s">
        <v>209</v>
      </c>
      <c r="I7" s="57">
        <v>0.45124667574075</v>
      </c>
      <c r="J7" s="57">
        <v>0.291363592878976</v>
      </c>
      <c r="K7" s="57">
        <v>0.2573897313802741</v>
      </c>
      <c r="L7" s="58">
        <f>IF(Matchday!E9="","",Matchday!E9)</f>
        <v>1.7</v>
      </c>
      <c r="M7" s="58">
        <f>IF(Matchday!F9="","",Matchday!F9)</f>
        <v>3.75</v>
      </c>
      <c r="N7" s="58">
        <f>IF(Matchday!G9="","",Matchday!G9)</f>
        <v>5.5</v>
      </c>
      <c r="O7" s="59">
        <f t="shared" ref="O7:Q7" si="25">IF(L7="","",1/L7)</f>
        <v>0.5882352941</v>
      </c>
      <c r="P7" s="59">
        <f t="shared" si="25"/>
        <v>0.2666666667</v>
      </c>
      <c r="Q7" s="59">
        <f t="shared" si="25"/>
        <v>0.1818181818</v>
      </c>
      <c r="R7" s="59">
        <f t="shared" si="4"/>
        <v>1.036720143</v>
      </c>
      <c r="S7" s="59">
        <f t="array" ref="S7">IF($R7="","",IF(Method!$B$56="proportional",O7/$R7,IF(Method!$B$56="power",IFERROR(INDEX(power_devig($L7,$M7,$N7),1,1),O7/$R7),IFERROR(INDEX(shin($L7,$M7,$N7),1,1),O7/$R7))))</f>
        <v>0.5738030268</v>
      </c>
      <c r="T7" s="59">
        <f t="array" ref="T7">IF($R7="","",IF(Method!$B$56="proportional",P7/$R7,IF(Method!$B$56="power",IFERROR(INDEX(power_devig($L7,$M7,$N7),2,1),P7/$R7),IFERROR(INDEX(shin($L7,$M7,$N7),2,1),P7/$R7))))</f>
        <v>0.2551156851</v>
      </c>
      <c r="U7" s="59">
        <f t="array" ref="U7">IF($R7="","",IF(Method!$B$56="proportional",Q7/$R7,IF(Method!$B$56="power",IFERROR(INDEX(power_devig($L7,$M7,$N7),3,1),Q7/$R7),IFERROR(INDEX(shin($L7,$M7,$N7),3,1),Q7/$R7))))</f>
        <v>0.1710812881</v>
      </c>
      <c r="V7" s="59">
        <f>IF(S7="","",Method!$B$4*I7+(1-Method!$B$4)*S7/($S7+$T7+$U7))</f>
        <v>0.5309083039</v>
      </c>
      <c r="W7" s="59">
        <f>IF(T7="","",Method!$B$4*J7+(1-Method!$B$4)*T7/($S7+$T7+$U7))</f>
        <v>0.2678024528</v>
      </c>
      <c r="X7" s="59">
        <f>IF(U7="","",Method!$B$4*K7+(1-Method!$B$4)*U7/($S7+$T7+$U7))</f>
        <v>0.2012892433</v>
      </c>
      <c r="Y7" s="60">
        <f t="shared" ref="Y7:AA7" si="26">IF(V7="","",V7*L7-1)</f>
        <v>-0.09745588331</v>
      </c>
      <c r="Z7" s="60">
        <f t="shared" si="26"/>
        <v>0.00425919801</v>
      </c>
      <c r="AA7" s="60">
        <f t="shared" si="26"/>
        <v>0.1070908379</v>
      </c>
      <c r="AB7" s="56">
        <f t="shared" si="6"/>
        <v>3</v>
      </c>
      <c r="AC7" s="56" t="str">
        <f t="shared" si="7"/>
        <v>A</v>
      </c>
      <c r="AD7" s="61" t="str">
        <f t="shared" si="8"/>
        <v>2  Morocco</v>
      </c>
      <c r="AE7" s="28">
        <f t="shared" si="9"/>
        <v>5.5</v>
      </c>
      <c r="AF7" s="60">
        <f t="shared" si="10"/>
        <v>0.1070908379</v>
      </c>
      <c r="AG7" s="60">
        <f t="shared" si="11"/>
        <v>0.03020795514</v>
      </c>
      <c r="AH7" s="62" t="str">
        <f>IF(AB7="","· enter odds",IF(AND(AF7&gt;=Method!$B$7,AG7&gt;=Method!$B$8),"BET","PASS"))</f>
        <v>BET</v>
      </c>
      <c r="AI7" s="63">
        <f>IF(AH7&lt;&gt;"BET",0,ROUND(MIN(Method!$B$6,Method!$B$5*AL7)*100,1))</f>
        <v>0.6</v>
      </c>
      <c r="AJ7" s="64">
        <f>IF(OR(AH7&lt;&gt;"BET",Method!$B$55=TRUE()),0,IF(AI7*Method!$B$10/100&lt;Method!$B$9,0,ROUND(AI7*Method!$B$10/100,0)))</f>
        <v>0</v>
      </c>
      <c r="AK7" s="59">
        <f t="shared" si="12"/>
        <v>0.2012892433</v>
      </c>
      <c r="AL7" s="59">
        <f t="shared" si="13"/>
        <v>0.02379796399</v>
      </c>
      <c r="AM7" s="60">
        <f t="shared" si="14"/>
        <v>0.1070968379</v>
      </c>
      <c r="AN7" s="65" t="str">
        <f>IF(Matchday!N9="","",Matchday!N9)</f>
        <v>Y</v>
      </c>
      <c r="AO7" s="58">
        <f>IF(Matchday!P9="","",Matchday!P9)</f>
        <v>1.68</v>
      </c>
      <c r="AP7" s="66">
        <f>IF(Matchday!Q9="","",Matchday!Q9)</f>
        <v>30</v>
      </c>
      <c r="AQ7" s="65" t="str">
        <f>IF(Matchday!R9="","",Matchday!R9)</f>
        <v>H</v>
      </c>
      <c r="AR7" s="67">
        <f t="shared" si="15"/>
        <v>20.4</v>
      </c>
      <c r="AS7" s="67">
        <f t="shared" si="16"/>
        <v>21.8</v>
      </c>
      <c r="AT7" s="26" t="str">
        <f>IF(AB7="","Type the 3 odds on the Matchday tab",IF(Method!$B$55=TRUE(),"🛑 PAUSED — drawdown "&amp;TEXT(Method!$B$51,"0.0%")&amp;" ≥ "&amp;TEXT(Method!$B$52,"0.0%")&amp;". Set Method!B54=Y to override.",IF(AH7="BET",IF(AJ7=0,"Edge found but stake rounds under £"&amp;Method!$B$9&amp;" — skip","Value found: EV "&amp;TEXT(AF7,"0.0%")&amp;", edge "&amp;TEXT(AG7,"0.0%")),IF(AF7&lt;Method!$B$7,"Price too short — EV "&amp;TEXT(AF7,"0.0%")&amp;" (need "&amp;TEXT(Method!$B$7,"0.0%")&amp;"+)","Model ≈ market — edge "&amp;TEXT(AG7,"0.0%")&amp;" (need "&amp;TEXT(Method!$B$8,"0.0%")&amp;"+)"))))</f>
        <v>🛑 PAUSED — drawdown 0.6% ≥ 15.0%. Set Method!B54=Y to override.</v>
      </c>
      <c r="AU7" s="26" t="str">
        <f t="shared" si="17"/>
        <v>⚠ backed H but engine pick was A</v>
      </c>
      <c r="AV7" s="25" t="str">
        <f>IF(Matchday!O9="","",Matchday!O9)</f>
        <v>H</v>
      </c>
      <c r="AW7" s="68" t="s">
        <v>184</v>
      </c>
      <c r="AX7" s="68">
        <v>5.0</v>
      </c>
      <c r="AY7" s="68" t="s">
        <v>172</v>
      </c>
      <c r="AZ7" s="68" t="str">
        <f t="shared" si="18"/>
        <v>BET</v>
      </c>
      <c r="BA7" s="69">
        <f>IF(AX7&lt;&gt;"",AX7,IF(AH7&lt;&gt;"BET",0,IF(AI7*Method!$B$10/100&lt;Method!$B$9,0,ROUND(AI7*Method!$B$10/100,0))))</f>
        <v>5</v>
      </c>
      <c r="BB7" s="70">
        <v>0.0</v>
      </c>
      <c r="BC7" s="70">
        <v>0.4349195163330084</v>
      </c>
      <c r="BD7" s="70">
        <v>0.2903956404032578</v>
      </c>
      <c r="BE7" s="70">
        <v>0.2617667133988161</v>
      </c>
      <c r="BG7" s="70">
        <v>7.0</v>
      </c>
      <c r="BH7" s="71" t="s">
        <v>186</v>
      </c>
      <c r="BI7" s="70">
        <v>0.0</v>
      </c>
    </row>
    <row r="8" ht="15.0" customHeight="1">
      <c r="A8" s="25">
        <v>7.0</v>
      </c>
      <c r="B8" s="55">
        <v>46186.0</v>
      </c>
      <c r="C8" s="25" t="s">
        <v>205</v>
      </c>
      <c r="D8" s="56" t="s">
        <v>210</v>
      </c>
      <c r="E8" s="56" t="s">
        <v>211</v>
      </c>
      <c r="F8" s="56" t="s">
        <v>212</v>
      </c>
      <c r="G8" s="25" t="s">
        <v>213</v>
      </c>
      <c r="H8" s="25" t="s">
        <v>198</v>
      </c>
      <c r="I8" s="57">
        <v>0.2066986086511494</v>
      </c>
      <c r="J8" s="57">
        <v>0.265882494087374</v>
      </c>
      <c r="K8" s="57">
        <v>0.5274188972614766</v>
      </c>
      <c r="L8" s="58">
        <f>IF(Matchday!E10="","",Matchday!E10)</f>
        <v>6</v>
      </c>
      <c r="M8" s="58">
        <f>IF(Matchday!F10="","",Matchday!F10)</f>
        <v>4.5</v>
      </c>
      <c r="N8" s="58">
        <f>IF(Matchday!G10="","",Matchday!G10)</f>
        <v>0.53</v>
      </c>
      <c r="O8" s="59">
        <f t="shared" ref="O8:Q8" si="27">IF(L8="","",1/L8)</f>
        <v>0.1666666667</v>
      </c>
      <c r="P8" s="59">
        <f t="shared" si="27"/>
        <v>0.2222222222</v>
      </c>
      <c r="Q8" s="59">
        <f t="shared" si="27"/>
        <v>1.886792453</v>
      </c>
      <c r="R8" s="59">
        <f t="shared" si="4"/>
        <v>2.275681342</v>
      </c>
      <c r="S8" s="59">
        <f t="array" ref="S8">IF($R8="","",IF(Method!$B$56="proportional",O8/$R8,IF(Method!$B$56="power",IFERROR(INDEX(power_devig($L8,$M8,$N8),1,1),O8/$R8),IFERROR(INDEX(shin($L8,$M8,$N8),1,1),O8/$R8))))</f>
        <v>0.07323813911</v>
      </c>
      <c r="T8" s="59">
        <f t="array" ref="T8">IF($R8="","",IF(Method!$B$56="proportional",P8/$R8,IF(Method!$B$56="power",IFERROR(INDEX(power_devig($L8,$M8,$N8),2,1),P8/$R8),IFERROR(INDEX(shin($L8,$M8,$N8),2,1),P8/$R8))))</f>
        <v>0.09765085214</v>
      </c>
      <c r="U8" s="59">
        <f t="array" ref="U8">IF($R8="","",IF(Method!$B$56="proportional",Q8/$R8,IF(Method!$B$56="power",IFERROR(INDEX(power_devig($L8,$M8,$N8),3,1),Q8/$R8),IFERROR(INDEX(shin($L8,$M8,$N8),3,1),Q8/$R8))))</f>
        <v>0.8291110088</v>
      </c>
      <c r="V8" s="59">
        <f>IF(S8="","",Method!$B$4*I8+(1-Method!$B$4)*S8/($S8+$T8+$U8))</f>
        <v>0.1199493034</v>
      </c>
      <c r="W8" s="59">
        <f>IF(T8="","",Method!$B$4*J8+(1-Method!$B$4)*T8/($S8+$T8+$U8))</f>
        <v>0.1565319268</v>
      </c>
      <c r="X8" s="59">
        <f>IF(U8="","",Method!$B$4*K8+(1-Method!$B$4)*U8/($S8+$T8+$U8))</f>
        <v>0.7235187697</v>
      </c>
      <c r="Y8" s="60">
        <f t="shared" ref="Y8:AA8" si="28">IF(V8="","",V8*L8-1)</f>
        <v>-0.2803041793</v>
      </c>
      <c r="Z8" s="60">
        <f t="shared" si="28"/>
        <v>-0.2956063293</v>
      </c>
      <c r="AA8" s="60">
        <f t="shared" si="28"/>
        <v>-0.616535052</v>
      </c>
      <c r="AB8" s="56">
        <f t="shared" si="6"/>
        <v>1</v>
      </c>
      <c r="AC8" s="56" t="str">
        <f t="shared" si="7"/>
        <v>H</v>
      </c>
      <c r="AD8" s="61" t="str">
        <f t="shared" si="8"/>
        <v>1  Haiti</v>
      </c>
      <c r="AE8" s="28">
        <f t="shared" si="9"/>
        <v>6</v>
      </c>
      <c r="AF8" s="60">
        <f t="shared" si="10"/>
        <v>-0.2803041793</v>
      </c>
      <c r="AG8" s="60">
        <f t="shared" si="11"/>
        <v>0.04671116434</v>
      </c>
      <c r="AH8" s="62" t="str">
        <f>IF(AB8="","· enter odds",IF(AND(AF8&gt;=Method!$B$7,AG8&gt;=Method!$B$8),"BET","PASS"))</f>
        <v>PASS</v>
      </c>
      <c r="AI8" s="63">
        <f>IF(AH8&lt;&gt;"BET",0,ROUND(MIN(Method!$B$6,Method!$B$5*AL8)*100,1))</f>
        <v>0</v>
      </c>
      <c r="AJ8" s="64">
        <f>IF(OR(AH8&lt;&gt;"BET",Method!$B$55=TRUE()),0,IF(AI8*Method!$B$10/100&lt;Method!$B$9,0,ROUND(AI8*Method!$B$10/100,0)))</f>
        <v>0</v>
      </c>
      <c r="AK8" s="59">
        <f t="shared" si="12"/>
        <v>0.1199493034</v>
      </c>
      <c r="AL8" s="59" t="str">
        <f t="shared" si="13"/>
        <v/>
      </c>
      <c r="AM8" s="56" t="str">
        <f t="shared" si="14"/>
        <v/>
      </c>
      <c r="AN8" s="65" t="str">
        <f>IF(Matchday!N10="","",Matchday!N10)</f>
        <v>N</v>
      </c>
      <c r="AO8" s="58" t="str">
        <f>IF(Matchday!P10="","",Matchday!P10)</f>
        <v/>
      </c>
      <c r="AP8" s="66" t="str">
        <f>IF(Matchday!Q10="","",Matchday!Q10)</f>
        <v/>
      </c>
      <c r="AQ8" s="65" t="str">
        <f>IF(Matchday!R10="","",Matchday!R10)</f>
        <v/>
      </c>
      <c r="AR8" s="67" t="str">
        <f t="shared" si="15"/>
        <v/>
      </c>
      <c r="AS8" s="67" t="str">
        <f t="shared" si="16"/>
        <v/>
      </c>
      <c r="AT8" s="26" t="str">
        <f>IF(AB8="","Type the 3 odds on the Matchday tab",IF(Method!$B$55=TRUE(),"🛑 PAUSED — drawdown "&amp;TEXT(Method!$B$51,"0.0%")&amp;" ≥ "&amp;TEXT(Method!$B$52,"0.0%")&amp;". Set Method!B54=Y to override.",IF(AH8="BET",IF(AJ8=0,"Edge found but stake rounds under £"&amp;Method!$B$9&amp;" — skip","Value found: EV "&amp;TEXT(AF8,"0.0%")&amp;", edge "&amp;TEXT(AG8,"0.0%")),IF(AF8&lt;Method!$B$7,"Price too short — EV "&amp;TEXT(AF8,"0.0%")&amp;" (need "&amp;TEXT(Method!$B$7,"0.0%")&amp;"+)","Model ≈ market — edge "&amp;TEXT(AG8,"0.0%")&amp;" (need "&amp;TEXT(Method!$B$8,"0.0%")&amp;"+)"))))</f>
        <v>🛑 PAUSED — drawdown 0.6% ≥ 15.0%. Set Method!B54=Y to override.</v>
      </c>
      <c r="AU8" s="26" t="str">
        <f t="shared" si="17"/>
        <v/>
      </c>
      <c r="AV8" s="25" t="str">
        <f>IF(Matchday!O10="","",Matchday!O10)</f>
        <v/>
      </c>
      <c r="AW8" s="68"/>
      <c r="AX8" s="68"/>
      <c r="AY8" s="68"/>
      <c r="AZ8" s="68" t="str">
        <f t="shared" si="18"/>
        <v>PASS</v>
      </c>
      <c r="BA8" s="69">
        <f>IF(AX8&lt;&gt;"",AX8,IF(AH8&lt;&gt;"BET",0,IF(AI8*Method!$B$10/100&lt;Method!$B$9,0,ROUND(AI8*Method!$B$10/100,0))))</f>
        <v>0</v>
      </c>
      <c r="BB8" s="70">
        <v>0.0</v>
      </c>
      <c r="BC8" s="70">
        <v>0.18941495926580704</v>
      </c>
      <c r="BD8" s="70">
        <v>0.28076170553193247</v>
      </c>
      <c r="BE8" s="70">
        <v>0.5117065143325781</v>
      </c>
      <c r="BG8" s="70">
        <v>40.0</v>
      </c>
      <c r="BH8" s="71" t="s">
        <v>214</v>
      </c>
      <c r="BI8" s="70">
        <v>0.0</v>
      </c>
    </row>
    <row r="9" ht="15.0" customHeight="1">
      <c r="A9" s="25">
        <v>8.0</v>
      </c>
      <c r="B9" s="55">
        <v>46186.0</v>
      </c>
      <c r="C9" s="25" t="s">
        <v>193</v>
      </c>
      <c r="D9" s="56" t="s">
        <v>215</v>
      </c>
      <c r="E9" s="56" t="s">
        <v>216</v>
      </c>
      <c r="F9" s="56" t="s">
        <v>217</v>
      </c>
      <c r="G9" s="25" t="s">
        <v>213</v>
      </c>
      <c r="H9" s="25" t="s">
        <v>218</v>
      </c>
      <c r="I9" s="57">
        <v>0.36139329880864646</v>
      </c>
      <c r="J9" s="57">
        <v>0.30639871881868075</v>
      </c>
      <c r="K9" s="57">
        <v>0.3322079823726728</v>
      </c>
      <c r="L9" s="58">
        <f>IF(Matchday!E11="","",Matchday!E11)</f>
        <v>5.25</v>
      </c>
      <c r="M9" s="58">
        <f>IF(Matchday!F11="","",Matchday!F11)</f>
        <v>3.8</v>
      </c>
      <c r="N9" s="58">
        <f>IF(Matchday!G11="","",Matchday!G11)</f>
        <v>1.66</v>
      </c>
      <c r="O9" s="59">
        <f t="shared" ref="O9:Q9" si="29">IF(L9="","",1/L9)</f>
        <v>0.1904761905</v>
      </c>
      <c r="P9" s="59">
        <f t="shared" si="29"/>
        <v>0.2631578947</v>
      </c>
      <c r="Q9" s="59">
        <f t="shared" si="29"/>
        <v>0.6024096386</v>
      </c>
      <c r="R9" s="59">
        <f t="shared" si="4"/>
        <v>1.056043724</v>
      </c>
      <c r="S9" s="59">
        <f t="array" ref="S9">IF($R9="","",IF(Method!$B$56="proportional",O9/$R9,IF(Method!$B$56="power",IFERROR(INDEX(power_devig($L9,$M9,$N9),1,1),O9/$R9),IFERROR(INDEX(shin($L9,$M9,$N9),1,1),O9/$R9))))</f>
        <v>0.1740499738</v>
      </c>
      <c r="T9" s="59">
        <f t="array" ref="T9">IF($R9="","",IF(Method!$B$56="proportional",P9/$R9,IF(Method!$B$56="power",IFERROR(INDEX(power_devig($L9,$M9,$N9),2,1),P9/$R9),IFERROR(INDEX(shin($L9,$M9,$N9),2,1),P9/$R9))))</f>
        <v>0.2456430562</v>
      </c>
      <c r="U9" s="59">
        <f t="array" ref="U9">IF($R9="","",IF(Method!$B$56="proportional",Q9/$R9,IF(Method!$B$56="power",IFERROR(INDEX(power_devig($L9,$M9,$N9),3,1),Q9/$R9),IFERROR(INDEX(shin($L9,$M9,$N9),3,1),Q9/$R9))))</f>
        <v>0.58030697</v>
      </c>
      <c r="V9" s="59">
        <f>IF(S9="","",Method!$B$4*I9+(1-Method!$B$4)*S9/($S9+$T9+$U9))</f>
        <v>0.2396201375</v>
      </c>
      <c r="W9" s="59">
        <f>IF(T9="","",Method!$B$4*J9+(1-Method!$B$4)*T9/($S9+$T9+$U9))</f>
        <v>0.2669075381</v>
      </c>
      <c r="X9" s="59">
        <f>IF(U9="","",Method!$B$4*K9+(1-Method!$B$4)*U9/($S9+$T9+$U9))</f>
        <v>0.4934723243</v>
      </c>
      <c r="Y9" s="60">
        <f t="shared" ref="Y9:AA9" si="30">IF(V9="","",V9*L9-1)</f>
        <v>0.258005722</v>
      </c>
      <c r="Z9" s="60">
        <f t="shared" si="30"/>
        <v>0.01424864489</v>
      </c>
      <c r="AA9" s="60">
        <f t="shared" si="30"/>
        <v>-0.1808359416</v>
      </c>
      <c r="AB9" s="56">
        <f t="shared" si="6"/>
        <v>1</v>
      </c>
      <c r="AC9" s="56" t="str">
        <f t="shared" si="7"/>
        <v>H</v>
      </c>
      <c r="AD9" s="61" t="str">
        <f t="shared" si="8"/>
        <v>1  Australia</v>
      </c>
      <c r="AE9" s="28">
        <f t="shared" si="9"/>
        <v>5.25</v>
      </c>
      <c r="AF9" s="60">
        <f t="shared" si="10"/>
        <v>0.258005722</v>
      </c>
      <c r="AG9" s="60">
        <f t="shared" si="11"/>
        <v>0.06557016377</v>
      </c>
      <c r="AH9" s="62" t="str">
        <f>IF(AB9="","· enter odds",IF(AND(AF9&gt;=Method!$B$7,AG9&gt;=Method!$B$8),"BET","PASS"))</f>
        <v>BET</v>
      </c>
      <c r="AI9" s="63">
        <f>IF(AH9&lt;&gt;"BET",0,ROUND(MIN(Method!$B$6,Method!$B$5*AL9)*100,1))</f>
        <v>1.5</v>
      </c>
      <c r="AJ9" s="64">
        <f>IF(OR(AH9&lt;&gt;"BET",Method!$B$55=TRUE()),0,IF(AI9*Method!$B$10/100&lt;Method!$B$9,0,ROUND(AI9*Method!$B$10/100,0)))</f>
        <v>0</v>
      </c>
      <c r="AK9" s="59">
        <f t="shared" si="12"/>
        <v>0.2396201375</v>
      </c>
      <c r="AL9" s="59">
        <f t="shared" si="13"/>
        <v>0.06070722871</v>
      </c>
      <c r="AM9" s="60">
        <f t="shared" si="14"/>
        <v>0.258013722</v>
      </c>
      <c r="AN9" s="65" t="str">
        <f>IF(Matchday!N11="","",Matchday!N11)</f>
        <v>Y</v>
      </c>
      <c r="AO9" s="58">
        <f>IF(Matchday!P11="","",Matchday!P11)</f>
        <v>5.25</v>
      </c>
      <c r="AP9" s="66">
        <f>IF(Matchday!Q11="","",Matchday!Q11)</f>
        <v>10</v>
      </c>
      <c r="AQ9" s="65" t="str">
        <f>IF(Matchday!R11="","",Matchday!R11)</f>
        <v>H</v>
      </c>
      <c r="AR9" s="67">
        <f t="shared" si="15"/>
        <v>42.5</v>
      </c>
      <c r="AS9" s="67">
        <f t="shared" si="16"/>
        <v>64.3</v>
      </c>
      <c r="AT9" s="26" t="str">
        <f>IF(AB9="","Type the 3 odds on the Matchday tab",IF(Method!$B$55=TRUE(),"🛑 PAUSED — drawdown "&amp;TEXT(Method!$B$51,"0.0%")&amp;" ≥ "&amp;TEXT(Method!$B$52,"0.0%")&amp;". Set Method!B54=Y to override.",IF(AH9="BET",IF(AJ9=0,"Edge found but stake rounds under £"&amp;Method!$B$9&amp;" — skip","Value found: EV "&amp;TEXT(AF9,"0.0%")&amp;", edge "&amp;TEXT(AG9,"0.0%")),IF(AF9&lt;Method!$B$7,"Price too short — EV "&amp;TEXT(AF9,"0.0%")&amp;" (need "&amp;TEXT(Method!$B$7,"0.0%")&amp;"+)","Model ≈ market — edge "&amp;TEXT(AG9,"0.0%")&amp;" (need "&amp;TEXT(Method!$B$8,"0.0%")&amp;"+)"))))</f>
        <v>🛑 PAUSED — drawdown 0.6% ≥ 15.0%. Set Method!B54=Y to override.</v>
      </c>
      <c r="AU9" s="26" t="str">
        <f t="shared" si="17"/>
        <v>⚠ stake over engine £0</v>
      </c>
      <c r="AV9" s="25" t="str">
        <f>IF(Matchday!O11="","",Matchday!O11)</f>
        <v>H</v>
      </c>
      <c r="AW9" s="72" t="s">
        <v>184</v>
      </c>
      <c r="AX9" s="73">
        <v>0.0</v>
      </c>
      <c r="AY9" s="72" t="s">
        <v>178</v>
      </c>
      <c r="AZ9" s="68" t="str">
        <f t="shared" si="18"/>
        <v>BET</v>
      </c>
      <c r="BA9" s="69">
        <f>IF(AX9&lt;&gt;"",AX9,IF(AH9&lt;&gt;"BET",0,IF(AI9*Method!$B$10/100&lt;Method!$B$9,0,ROUND(AI9*Method!$B$10/100,0))))</f>
        <v>0</v>
      </c>
      <c r="BB9" s="70">
        <v>0.0</v>
      </c>
      <c r="BC9" s="70">
        <v>0.35140229890887603</v>
      </c>
      <c r="BD9" s="70">
        <v>0.2960801450343151</v>
      </c>
      <c r="BE9" s="70">
        <v>0.3425206282633899</v>
      </c>
      <c r="BG9" s="70">
        <v>0.0</v>
      </c>
      <c r="BH9" s="71" t="s">
        <v>219</v>
      </c>
      <c r="BI9" s="70">
        <v>0.0</v>
      </c>
    </row>
    <row r="10" ht="15.0" customHeight="1">
      <c r="A10" s="25">
        <v>9.0</v>
      </c>
      <c r="B10" s="55">
        <v>46187.0</v>
      </c>
      <c r="C10" s="25" t="s">
        <v>220</v>
      </c>
      <c r="D10" s="56" t="s">
        <v>221</v>
      </c>
      <c r="E10" s="56" t="s">
        <v>222</v>
      </c>
      <c r="F10" s="56" t="s">
        <v>223</v>
      </c>
      <c r="G10" s="25" t="s">
        <v>203</v>
      </c>
      <c r="H10" s="25" t="s">
        <v>197</v>
      </c>
      <c r="I10" s="57">
        <v>0.738737054896899</v>
      </c>
      <c r="J10" s="57">
        <v>0.1796393706617592</v>
      </c>
      <c r="K10" s="57">
        <v>0.08162357444134172</v>
      </c>
      <c r="L10" s="58">
        <f>IF(Matchday!E12="","",Matchday!E12)</f>
        <v>1.03</v>
      </c>
      <c r="M10" s="58">
        <f>IF(Matchday!F12="","",Matchday!F12)</f>
        <v>19</v>
      </c>
      <c r="N10" s="58">
        <f>IF(Matchday!G12="","",Matchday!G12)</f>
        <v>34</v>
      </c>
      <c r="O10" s="59">
        <f t="shared" ref="O10:Q10" si="31">IF(L10="","",1/L10)</f>
        <v>0.9708737864</v>
      </c>
      <c r="P10" s="59">
        <f t="shared" si="31"/>
        <v>0.05263157895</v>
      </c>
      <c r="Q10" s="59">
        <f t="shared" si="31"/>
        <v>0.02941176471</v>
      </c>
      <c r="R10" s="59">
        <f t="shared" si="4"/>
        <v>1.05291713</v>
      </c>
      <c r="S10" s="59">
        <f t="array" ref="S10">IF($R10="","",IF(Method!$B$56="proportional",O10/$R10,IF(Method!$B$56="power",IFERROR(INDEX(power_devig($L10,$M10,$N10),1,1),O10/$R10),IFERROR(INDEX(shin($L10,$M10,$N10),1,1),O10/$R10))))</f>
        <v>0.9452690296</v>
      </c>
      <c r="T10" s="59">
        <f t="array" ref="T10">IF($R10="","",IF(Method!$B$56="proportional",P10/$R10,IF(Method!$B$56="power",IFERROR(INDEX(power_devig($L10,$M10,$N10),2,1),P10/$R10),IFERROR(INDEX(shin($L10,$M10,$N10),2,1),P10/$R10))))</f>
        <v>0.03793323546</v>
      </c>
      <c r="U10" s="59">
        <f t="array" ref="U10">IF($R10="","",IF(Method!$B$56="proportional",Q10/$R10,IF(Method!$B$56="power",IFERROR(INDEX(power_devig($L10,$M10,$N10),3,1),Q10/$R10),IFERROR(INDEX(shin($L10,$M10,$N10),3,1),Q10/$R10))))</f>
        <v>0.01679773494</v>
      </c>
      <c r="V10" s="59">
        <f>IF(S10="","",Method!$B$4*I10+(1-Method!$B$4)*S10/($S10+$T10+$U10))</f>
        <v>0.8729828385</v>
      </c>
      <c r="W10" s="59">
        <f>IF(T10="","",Method!$B$4*J10+(1-Method!$B$4)*T10/($S10+$T10+$U10))</f>
        <v>0.08753038278</v>
      </c>
      <c r="X10" s="59">
        <f>IF(U10="","",Method!$B$4*K10+(1-Method!$B$4)*U10/($S10+$T10+$U10))</f>
        <v>0.03948677877</v>
      </c>
      <c r="Y10" s="60">
        <f t="shared" ref="Y10:AA10" si="32">IF(V10="","",V10*L10-1)</f>
        <v>-0.1008276764</v>
      </c>
      <c r="Z10" s="60">
        <f t="shared" si="32"/>
        <v>0.6630772728</v>
      </c>
      <c r="AA10" s="60">
        <f t="shared" si="32"/>
        <v>0.3425504781</v>
      </c>
      <c r="AB10" s="56">
        <f t="shared" si="6"/>
        <v>2</v>
      </c>
      <c r="AC10" s="56" t="str">
        <f t="shared" si="7"/>
        <v>D</v>
      </c>
      <c r="AD10" s="61" t="str">
        <f t="shared" si="8"/>
        <v>X  Draw</v>
      </c>
      <c r="AE10" s="28">
        <f t="shared" si="9"/>
        <v>19</v>
      </c>
      <c r="AF10" s="60">
        <f t="shared" si="10"/>
        <v>0.6630772728</v>
      </c>
      <c r="AG10" s="60">
        <f t="shared" si="11"/>
        <v>0.04959714732</v>
      </c>
      <c r="AH10" s="62" t="str">
        <f>IF(AB10="","· enter odds",IF(AND(AF10&gt;=Method!$B$7,AG10&gt;=Method!$B$8),"BET","PASS"))</f>
        <v>BET</v>
      </c>
      <c r="AI10" s="63">
        <f>IF(AH10&lt;&gt;"BET",0,ROUND(MIN(Method!$B$6,Method!$B$5*AL10)*100,1))</f>
        <v>0.9</v>
      </c>
      <c r="AJ10" s="64">
        <f>IF(OR(AH10&lt;&gt;"BET",Method!$B$55=TRUE()),0,IF(AI10*Method!$B$10/100&lt;Method!$B$9,0,ROUND(AI10*Method!$B$10/100,0)))</f>
        <v>0</v>
      </c>
      <c r="AK10" s="59">
        <f t="shared" si="12"/>
        <v>0.08753038278</v>
      </c>
      <c r="AL10" s="59">
        <f t="shared" si="13"/>
        <v>0.03683762627</v>
      </c>
      <c r="AM10" s="60">
        <f t="shared" si="14"/>
        <v>0.6630862728</v>
      </c>
      <c r="AN10" s="65" t="str">
        <f>IF(Matchday!N12="","",Matchday!N12)</f>
        <v>Y</v>
      </c>
      <c r="AO10" s="58">
        <f>IF(Matchday!P12="","",Matchday!P12)</f>
        <v>19</v>
      </c>
      <c r="AP10" s="66">
        <f>IF(Matchday!Q12="","",Matchday!Q12)</f>
        <v>6</v>
      </c>
      <c r="AQ10" s="65" t="str">
        <f>IF(Matchday!R12="","",Matchday!R12)</f>
        <v>H</v>
      </c>
      <c r="AR10" s="67">
        <f t="shared" si="15"/>
        <v>-6</v>
      </c>
      <c r="AS10" s="67">
        <f t="shared" si="16"/>
        <v>58.3</v>
      </c>
      <c r="AT10" s="26" t="str">
        <f>IF(AB10="","Type the 3 odds on the Matchday tab",IF(Method!$B$55=TRUE(),"🛑 PAUSED — drawdown "&amp;TEXT(Method!$B$51,"0.0%")&amp;" ≥ "&amp;TEXT(Method!$B$52,"0.0%")&amp;". Set Method!B54=Y to override.",IF(AH10="BET",IF(AJ10=0,"Edge found but stake rounds under £"&amp;Method!$B$9&amp;" — skip","Value found: EV "&amp;TEXT(AF10,"0.0%")&amp;", edge "&amp;TEXT(AG10,"0.0%")),IF(AF10&lt;Method!$B$7,"Price too short — EV "&amp;TEXT(AF10,"0.0%")&amp;" (need "&amp;TEXT(Method!$B$7,"0.0%")&amp;"+)","Model ≈ market — edge "&amp;TEXT(AG10,"0.0%")&amp;" (need "&amp;TEXT(Method!$B$8,"0.0%")&amp;"+)"))))</f>
        <v>🛑 PAUSED — drawdown 0.6% ≥ 15.0%. Set Method!B54=Y to override.</v>
      </c>
      <c r="AU10" s="26" t="str">
        <f t="shared" si="17"/>
        <v>✓ engine bet</v>
      </c>
      <c r="AV10" s="25" t="str">
        <f>IF(Matchday!O12="","",Matchday!O12)</f>
        <v>D</v>
      </c>
      <c r="AW10" s="72" t="s">
        <v>184</v>
      </c>
      <c r="AX10" s="73">
        <v>6.0</v>
      </c>
      <c r="AY10" s="72" t="s">
        <v>193</v>
      </c>
      <c r="AZ10" s="68" t="str">
        <f t="shared" si="18"/>
        <v>BET</v>
      </c>
      <c r="BA10" s="69">
        <f>IF(AX10&lt;&gt;"",AX10,IF(AH10&lt;&gt;"BET",0,IF(AI10*Method!$B$10/100&lt;Method!$B$9,0,ROUND(AI10*Method!$B$10/100,0))))</f>
        <v>6</v>
      </c>
      <c r="BB10" s="70">
        <v>0.0</v>
      </c>
      <c r="BC10" s="70">
        <v>0.6901564163164232</v>
      </c>
      <c r="BD10" s="70">
        <v>0.2040363929780604</v>
      </c>
      <c r="BE10" s="70">
        <v>0.08226922134154692</v>
      </c>
      <c r="BF10" s="71"/>
      <c r="BG10" s="70">
        <v>15.0</v>
      </c>
      <c r="BH10" s="71" t="s">
        <v>224</v>
      </c>
      <c r="BI10" s="70">
        <v>0.0</v>
      </c>
    </row>
    <row r="11" ht="15.0" customHeight="1">
      <c r="A11" s="25">
        <v>10.0</v>
      </c>
      <c r="B11" s="55">
        <v>46187.0</v>
      </c>
      <c r="C11" s="25" t="s">
        <v>225</v>
      </c>
      <c r="D11" s="56" t="s">
        <v>226</v>
      </c>
      <c r="E11" s="56" t="s">
        <v>227</v>
      </c>
      <c r="F11" s="56" t="s">
        <v>228</v>
      </c>
      <c r="G11" s="25" t="s">
        <v>191</v>
      </c>
      <c r="H11" s="25" t="s">
        <v>213</v>
      </c>
      <c r="I11" s="57">
        <v>0.4321268290350539</v>
      </c>
      <c r="J11" s="57">
        <v>0.28878547221692924</v>
      </c>
      <c r="K11" s="57">
        <v>0.2790876987480169</v>
      </c>
      <c r="L11" s="58">
        <f>IF(Matchday!E13="","",Matchday!E13)</f>
        <v>2.05</v>
      </c>
      <c r="M11" s="58">
        <f>IF(Matchday!F13="","",Matchday!F13)</f>
        <v>3.5</v>
      </c>
      <c r="N11" s="58">
        <f>IF(Matchday!G13="","",Matchday!G13)</f>
        <v>3.7</v>
      </c>
      <c r="O11" s="59">
        <f t="shared" ref="O11:Q11" si="33">IF(L11="","",1/L11)</f>
        <v>0.487804878</v>
      </c>
      <c r="P11" s="59">
        <f t="shared" si="33"/>
        <v>0.2857142857</v>
      </c>
      <c r="Q11" s="59">
        <f t="shared" si="33"/>
        <v>0.2702702703</v>
      </c>
      <c r="R11" s="59">
        <f t="shared" si="4"/>
        <v>1.043789434</v>
      </c>
      <c r="S11" s="59">
        <f t="array" ref="S11">IF($R11="","",IF(Method!$B$56="proportional",O11/$R11,IF(Method!$B$56="power",IFERROR(INDEX(power_devig($L11,$M11,$N11),1,1),O11/$R11),IFERROR(INDEX(shin($L11,$M11,$N11),1,1),O11/$R11))))</f>
        <v>0.4717040456</v>
      </c>
      <c r="T11" s="59">
        <f t="array" ref="T11">IF($R11="","",IF(Method!$B$56="proportional",P11/$R11,IF(Method!$B$56="power",IFERROR(INDEX(power_devig($L11,$M11,$N11),2,1),P11/$R11),IFERROR(INDEX(shin($L11,$M11,$N11),2,1),P11/$R11))))</f>
        <v>0.2717842113</v>
      </c>
      <c r="U11" s="59">
        <f t="array" ref="U11">IF($R11="","",IF(Method!$B$56="proportional",Q11/$R11,IF(Method!$B$56="power",IFERROR(INDEX(power_devig($L11,$M11,$N11),3,1),Q11/$R11),IFERROR(INDEX(shin($L11,$M11,$N11),3,1),Q11/$R11))))</f>
        <v>0.2565117431</v>
      </c>
      <c r="V11" s="59">
        <f>IF(S11="","",Method!$B$4*I11+(1-Method!$B$4)*S11/($S11+$T11+$U11))</f>
        <v>0.4578520198</v>
      </c>
      <c r="W11" s="59">
        <f>IF(T11="","",Method!$B$4*J11+(1-Method!$B$4)*T11/($S11+$T11+$U11))</f>
        <v>0.2777346526</v>
      </c>
      <c r="X11" s="59">
        <f>IF(U11="","",Method!$B$4*K11+(1-Method!$B$4)*U11/($S11+$T11+$U11))</f>
        <v>0.2644133276</v>
      </c>
      <c r="Y11" s="60">
        <f t="shared" ref="Y11:AA11" si="34">IF(V11="","",V11*L11-1)</f>
        <v>-0.06140335941</v>
      </c>
      <c r="Z11" s="60">
        <f t="shared" si="34"/>
        <v>-0.02792871578</v>
      </c>
      <c r="AA11" s="60">
        <f t="shared" si="34"/>
        <v>-0.02167068801</v>
      </c>
      <c r="AB11" s="56">
        <f t="shared" si="6"/>
        <v>3</v>
      </c>
      <c r="AC11" s="56" t="str">
        <f t="shared" si="7"/>
        <v>A</v>
      </c>
      <c r="AD11" s="61" t="str">
        <f t="shared" si="8"/>
        <v>2  Japan</v>
      </c>
      <c r="AE11" s="28">
        <f t="shared" si="9"/>
        <v>3.7</v>
      </c>
      <c r="AF11" s="60">
        <f t="shared" si="10"/>
        <v>-0.02167068801</v>
      </c>
      <c r="AG11" s="60">
        <f t="shared" si="11"/>
        <v>0.007901584484</v>
      </c>
      <c r="AH11" s="62" t="str">
        <f>IF(AB11="","· enter odds",IF(AND(AF11&gt;=Method!$B$7,AG11&gt;=Method!$B$8),"BET","PASS"))</f>
        <v>PASS</v>
      </c>
      <c r="AI11" s="63">
        <f>IF(AH11&lt;&gt;"BET",0,ROUND(MIN(Method!$B$6,Method!$B$5*AL11)*100,1))</f>
        <v>0</v>
      </c>
      <c r="AJ11" s="64">
        <f>IF(OR(AH11&lt;&gt;"BET",Method!$B$55=TRUE()),0,IF(AI11*Method!$B$10/100&lt;Method!$B$9,0,ROUND(AI11*Method!$B$10/100,0)))</f>
        <v>0</v>
      </c>
      <c r="AK11" s="59">
        <f t="shared" si="12"/>
        <v>0.2644133276</v>
      </c>
      <c r="AL11" s="59" t="str">
        <f t="shared" si="13"/>
        <v/>
      </c>
      <c r="AM11" s="56" t="str">
        <f t="shared" si="14"/>
        <v/>
      </c>
      <c r="AN11" s="65" t="str">
        <f>IF(Matchday!N13="","",Matchday!N13)</f>
        <v>Y</v>
      </c>
      <c r="AO11" s="58">
        <f>IF(Matchday!P13="","",Matchday!P13)</f>
        <v>1</v>
      </c>
      <c r="AP11" s="66" t="str">
        <f>IF(Matchday!Q13="","",Matchday!Q13)</f>
        <v/>
      </c>
      <c r="AQ11" s="65" t="str">
        <f>IF(Matchday!R13="","",Matchday!R13)</f>
        <v/>
      </c>
      <c r="AR11" s="67" t="str">
        <f t="shared" si="15"/>
        <v/>
      </c>
      <c r="AS11" s="67" t="str">
        <f t="shared" si="16"/>
        <v/>
      </c>
      <c r="AT11" s="26" t="str">
        <f>IF(AB11="","Type the 3 odds on the Matchday tab",IF(Method!$B$55=TRUE(),"🛑 PAUSED — drawdown "&amp;TEXT(Method!$B$51,"0.0%")&amp;" ≥ "&amp;TEXT(Method!$B$52,"0.0%")&amp;". Set Method!B54=Y to override.",IF(AH11="BET",IF(AJ11=0,"Edge found but stake rounds under £"&amp;Method!$B$9&amp;" — skip","Value found: EV "&amp;TEXT(AF11,"0.0%")&amp;", edge "&amp;TEXT(AG11,"0.0%")),IF(AF11&lt;Method!$B$7,"Price too short — EV "&amp;TEXT(AF11,"0.0%")&amp;" (need "&amp;TEXT(Method!$B$7,"0.0%")&amp;"+)","Model ≈ market — edge "&amp;TEXT(AG11,"0.0%")&amp;" (need "&amp;TEXT(Method!$B$8,"0.0%")&amp;"+)"))))</f>
        <v>🛑 PAUSED — drawdown 0.6% ≥ 15.0%. Set Method!B54=Y to override.</v>
      </c>
      <c r="AU11" s="26" t="str">
        <f t="shared" si="17"/>
        <v>⚠ log backed pick, odds &amp; stake</v>
      </c>
      <c r="AV11" s="25" t="str">
        <f>IF(Matchday!O13="","",Matchday!O13)</f>
        <v>H</v>
      </c>
      <c r="AW11" s="72" t="s">
        <v>38</v>
      </c>
      <c r="AX11" s="73">
        <v>0.0</v>
      </c>
      <c r="AY11" s="72" t="s">
        <v>172</v>
      </c>
      <c r="AZ11" s="68" t="str">
        <f t="shared" si="18"/>
        <v>PASS</v>
      </c>
      <c r="BA11" s="69">
        <f>IF(AX11&lt;&gt;"",AX11,IF(AH11&lt;&gt;"BET",0,IF(AI11*Method!$B$10/100&lt;Method!$B$9,0,ROUND(AI11*Method!$B$10/100,0))))</f>
        <v>0</v>
      </c>
      <c r="BB11" s="70">
        <v>0.0</v>
      </c>
      <c r="BC11" s="70">
        <v>0.4171195565008525</v>
      </c>
      <c r="BD11" s="70">
        <v>0.2894209003909958</v>
      </c>
      <c r="BE11" s="70">
        <v>0.2851860768069105</v>
      </c>
      <c r="BF11" s="71"/>
      <c r="BG11" s="70">
        <v>175.0</v>
      </c>
      <c r="BH11" s="71" t="s">
        <v>229</v>
      </c>
      <c r="BI11" s="70">
        <v>0.0</v>
      </c>
    </row>
    <row r="12" ht="15.0" customHeight="1">
      <c r="A12" s="25">
        <v>11.0</v>
      </c>
      <c r="B12" s="55">
        <v>46187.0</v>
      </c>
      <c r="C12" s="25" t="s">
        <v>220</v>
      </c>
      <c r="D12" s="56" t="s">
        <v>230</v>
      </c>
      <c r="E12" s="56" t="s">
        <v>231</v>
      </c>
      <c r="F12" s="56" t="s">
        <v>232</v>
      </c>
      <c r="G12" s="25" t="s">
        <v>233</v>
      </c>
      <c r="H12" s="25" t="s">
        <v>234</v>
      </c>
      <c r="I12" s="57">
        <v>0.26645317377362177</v>
      </c>
      <c r="J12" s="57">
        <v>0.2993643082830958</v>
      </c>
      <c r="K12" s="57">
        <v>0.43418251794328244</v>
      </c>
      <c r="L12" s="58">
        <f>IF(Matchday!E14="","",Matchday!E14)</f>
        <v>2.1</v>
      </c>
      <c r="M12" s="58">
        <f>IF(Matchday!F14="","",Matchday!F14)</f>
        <v>1.75</v>
      </c>
      <c r="N12" s="58">
        <f>IF(Matchday!G14="","",Matchday!G14)</f>
        <v>1.6</v>
      </c>
      <c r="O12" s="59">
        <f t="shared" ref="O12:Q12" si="35">IF(L12="","",1/L12)</f>
        <v>0.4761904762</v>
      </c>
      <c r="P12" s="59">
        <f t="shared" si="35"/>
        <v>0.5714285714</v>
      </c>
      <c r="Q12" s="59">
        <f t="shared" si="35"/>
        <v>0.625</v>
      </c>
      <c r="R12" s="59">
        <f t="shared" si="4"/>
        <v>1.672619048</v>
      </c>
      <c r="S12" s="59">
        <f t="array" ref="S12">IF($R12="","",IF(Method!$B$56="proportional",O12/$R12,IF(Method!$B$56="power",IFERROR(INDEX(power_devig($L12,$M12,$N12),1,1),O12/$R12),IFERROR(INDEX(shin($L12,$M12,$N12),1,1),O12/$R12))))</f>
        <v>0.2642016027</v>
      </c>
      <c r="T12" s="59">
        <f t="array" ref="T12">IF($R12="","",IF(Method!$B$56="proportional",P12/$R12,IF(Method!$B$56="power",IFERROR(INDEX(power_devig($L12,$M12,$N12),2,1),P12/$R12),IFERROR(INDEX(shin($L12,$M12,$N12),2,1),P12/$R12))))</f>
        <v>0.3446801927</v>
      </c>
      <c r="U12" s="59">
        <f t="array" ref="U12">IF($R12="","",IF(Method!$B$56="proportional",Q12/$R12,IF(Method!$B$56="power",IFERROR(INDEX(power_devig($L12,$M12,$N12),3,1),Q12/$R12),IFERROR(INDEX(shin($L12,$M12,$N12),3,1),Q12/$R12))))</f>
        <v>0.3911182045</v>
      </c>
      <c r="V12" s="59">
        <f>IF(S12="","",Method!$B$4*I12+(1-Method!$B$4)*S12/($S12+$T12+$U12))</f>
        <v>0.2649896526</v>
      </c>
      <c r="W12" s="59">
        <f>IF(T12="","",Method!$B$4*J12+(1-Method!$B$4)*T12/($S12+$T12+$U12))</f>
        <v>0.3288196332</v>
      </c>
      <c r="X12" s="59">
        <f>IF(U12="","",Method!$B$4*K12+(1-Method!$B$4)*U12/($S12+$T12+$U12))</f>
        <v>0.4061907142</v>
      </c>
      <c r="Y12" s="60">
        <f t="shared" ref="Y12:AA12" si="36">IF(V12="","",V12*L12-1)</f>
        <v>-0.4435217295</v>
      </c>
      <c r="Z12" s="60">
        <f t="shared" si="36"/>
        <v>-0.4245656419</v>
      </c>
      <c r="AA12" s="60">
        <f t="shared" si="36"/>
        <v>-0.3500948573</v>
      </c>
      <c r="AB12" s="56">
        <f t="shared" si="6"/>
        <v>3</v>
      </c>
      <c r="AC12" s="56" t="str">
        <f t="shared" si="7"/>
        <v>A</v>
      </c>
      <c r="AD12" s="61" t="str">
        <f t="shared" si="8"/>
        <v>2  Ecuador</v>
      </c>
      <c r="AE12" s="28">
        <f t="shared" si="9"/>
        <v>1.6</v>
      </c>
      <c r="AF12" s="60">
        <f t="shared" si="10"/>
        <v>-0.3500948573</v>
      </c>
      <c r="AG12" s="60">
        <f t="shared" si="11"/>
        <v>0.0150725097</v>
      </c>
      <c r="AH12" s="62" t="str">
        <f>IF(AB12="","· enter odds",IF(AND(AF12&gt;=Method!$B$7,AG12&gt;=Method!$B$8),"BET","PASS"))</f>
        <v>PASS</v>
      </c>
      <c r="AI12" s="63">
        <f>IF(AH12&lt;&gt;"BET",0,ROUND(MIN(Method!$B$6,Method!$B$5*AL12)*100,1))</f>
        <v>0</v>
      </c>
      <c r="AJ12" s="64">
        <f>IF(OR(AH12&lt;&gt;"BET",Method!$B$55=TRUE()),0,IF(AI12*Method!$B$10/100&lt;Method!$B$9,0,ROUND(AI12*Method!$B$10/100,0)))</f>
        <v>0</v>
      </c>
      <c r="AK12" s="59">
        <f t="shared" si="12"/>
        <v>0.4061907142</v>
      </c>
      <c r="AL12" s="59" t="str">
        <f t="shared" si="13"/>
        <v/>
      </c>
      <c r="AM12" s="56" t="str">
        <f t="shared" si="14"/>
        <v/>
      </c>
      <c r="AN12" s="65" t="str">
        <f>IF(Matchday!N14="","",Matchday!N14)</f>
        <v/>
      </c>
      <c r="AO12" s="58" t="str">
        <f>IF(Matchday!P14="","",Matchday!P14)</f>
        <v/>
      </c>
      <c r="AP12" s="66" t="str">
        <f>IF(Matchday!Q14="","",Matchday!Q14)</f>
        <v/>
      </c>
      <c r="AQ12" s="65" t="str">
        <f>IF(Matchday!R14="","",Matchday!R14)</f>
        <v/>
      </c>
      <c r="AR12" s="67" t="str">
        <f t="shared" si="15"/>
        <v/>
      </c>
      <c r="AS12" s="67" t="str">
        <f t="shared" si="16"/>
        <v/>
      </c>
      <c r="AT12" s="26" t="str">
        <f>IF(AB12="","Type the 3 odds on the Matchday tab",IF(Method!$B$55=TRUE(),"🛑 PAUSED — drawdown "&amp;TEXT(Method!$B$51,"0.0%")&amp;" ≥ "&amp;TEXT(Method!$B$52,"0.0%")&amp;". Set Method!B54=Y to override.",IF(AH12="BET",IF(AJ12=0,"Edge found but stake rounds under £"&amp;Method!$B$9&amp;" — skip","Value found: EV "&amp;TEXT(AF12,"0.0%")&amp;", edge "&amp;TEXT(AG12,"0.0%")),IF(AF12&lt;Method!$B$7,"Price too short — EV "&amp;TEXT(AF12,"0.0%")&amp;" (need "&amp;TEXT(Method!$B$7,"0.0%")&amp;"+)","Model ≈ market — edge "&amp;TEXT(AG12,"0.0%")&amp;" (need "&amp;TEXT(Method!$B$8,"0.0%")&amp;"+)"))))</f>
        <v>🛑 PAUSED — drawdown 0.6% ≥ 15.0%. Set Method!B54=Y to override.</v>
      </c>
      <c r="AU12" s="26" t="str">
        <f t="shared" si="17"/>
        <v/>
      </c>
      <c r="AV12" s="25" t="str">
        <f>IF(Matchday!O14="","",Matchday!O14)</f>
        <v/>
      </c>
      <c r="AW12" s="68"/>
      <c r="AX12" s="68"/>
      <c r="AY12" s="68"/>
      <c r="AZ12" s="68" t="str">
        <f t="shared" si="18"/>
        <v>PASS</v>
      </c>
      <c r="BA12" s="69">
        <f>IF(AX12&lt;&gt;"",AX12,IF(AH12&lt;&gt;"BET",0,IF(AI12*Method!$B$10/100&lt;Method!$B$9,0,ROUND(AI12*Method!$B$10/100,0))))</f>
        <v>0</v>
      </c>
      <c r="BB12" s="70">
        <v>0.0</v>
      </c>
      <c r="BC12" s="70">
        <v>0.252227066840953</v>
      </c>
      <c r="BD12" s="70">
        <v>0.29342056376930603</v>
      </c>
      <c r="BE12" s="70">
        <v>0.43456737367165954</v>
      </c>
      <c r="BG12" s="70">
        <v>12.0</v>
      </c>
      <c r="BH12" s="71" t="s">
        <v>186</v>
      </c>
      <c r="BI12" s="70">
        <v>0.0</v>
      </c>
    </row>
    <row r="13" ht="15.0" customHeight="1">
      <c r="A13" s="25">
        <v>12.0</v>
      </c>
      <c r="B13" s="55">
        <v>46187.0</v>
      </c>
      <c r="C13" s="25" t="s">
        <v>225</v>
      </c>
      <c r="D13" s="56" t="s">
        <v>235</v>
      </c>
      <c r="E13" s="56" t="s">
        <v>236</v>
      </c>
      <c r="F13" s="56" t="s">
        <v>237</v>
      </c>
      <c r="G13" s="25" t="s">
        <v>177</v>
      </c>
      <c r="H13" s="25" t="s">
        <v>183</v>
      </c>
      <c r="I13" s="57">
        <v>0.41581548656984557</v>
      </c>
      <c r="J13" s="57">
        <v>0.2882456055934282</v>
      </c>
      <c r="K13" s="57">
        <v>0.29593890783672594</v>
      </c>
      <c r="L13" s="58">
        <f>IF(Matchday!E15="","",Matchday!E15)</f>
        <v>1.9</v>
      </c>
      <c r="M13" s="58">
        <f>IF(Matchday!F15="","",Matchday!F15)</f>
        <v>3.4</v>
      </c>
      <c r="N13" s="58">
        <f>IF(Matchday!G15="","",Matchday!G15)</f>
        <v>4.33</v>
      </c>
      <c r="O13" s="59">
        <f t="shared" ref="O13:Q13" si="37">IF(L13="","",1/L13)</f>
        <v>0.5263157895</v>
      </c>
      <c r="P13" s="59">
        <f t="shared" si="37"/>
        <v>0.2941176471</v>
      </c>
      <c r="Q13" s="59">
        <f t="shared" si="37"/>
        <v>0.2309468822</v>
      </c>
      <c r="R13" s="59">
        <f t="shared" si="4"/>
        <v>1.051380319</v>
      </c>
      <c r="S13" s="59">
        <f t="array" ref="S13">IF($R13="","",IF(Method!$B$56="proportional",O13/$R13,IF(Method!$B$56="power",IFERROR(INDEX(power_devig($L13,$M13,$N13),1,1),O13/$R13),IFERROR(INDEX(shin($L13,$M13,$N13),1,1),O13/$R13))))</f>
        <v>0.5069771657</v>
      </c>
      <c r="T13" s="59">
        <f t="array" ref="T13">IF($R13="","",IF(Method!$B$56="proportional",P13/$R13,IF(Method!$B$56="power",IFERROR(INDEX(power_devig($L13,$M13,$N13),2,1),P13/$R13),IFERROR(INDEX(shin($L13,$M13,$N13),2,1),P13/$R13))))</f>
        <v>0.2776792284</v>
      </c>
      <c r="U13" s="59">
        <f t="array" ref="U13">IF($R13="","",IF(Method!$B$56="proportional",Q13/$R13,IF(Method!$B$56="power",IFERROR(INDEX(power_devig($L13,$M13,$N13),3,1),Q13/$R13),IFERROR(INDEX(shin($L13,$M13,$N13),3,1),Q13/$R13))))</f>
        <v>0.2153436059</v>
      </c>
      <c r="V13" s="59">
        <f>IF(S13="","",Method!$B$4*I13+(1-Method!$B$4)*S13/($S13+$T13+$U13))</f>
        <v>0.475070578</v>
      </c>
      <c r="W13" s="59">
        <f>IF(T13="","",Method!$B$4*J13+(1-Method!$B$4)*T13/($S13+$T13+$U13))</f>
        <v>0.2813774604</v>
      </c>
      <c r="X13" s="59">
        <f>IF(U13="","",Method!$B$4*K13+(1-Method!$B$4)*U13/($S13+$T13+$U13))</f>
        <v>0.2435519616</v>
      </c>
      <c r="Y13" s="60">
        <f t="shared" ref="Y13:AA13" si="38">IF(V13="","",V13*L13-1)</f>
        <v>-0.09736590178</v>
      </c>
      <c r="Z13" s="60">
        <f t="shared" si="38"/>
        <v>-0.04331663463</v>
      </c>
      <c r="AA13" s="60">
        <f t="shared" si="38"/>
        <v>0.05457999367</v>
      </c>
      <c r="AB13" s="56">
        <f t="shared" si="6"/>
        <v>3</v>
      </c>
      <c r="AC13" s="56" t="str">
        <f t="shared" si="7"/>
        <v>A</v>
      </c>
      <c r="AD13" s="61" t="str">
        <f t="shared" si="8"/>
        <v>2  Tunisia</v>
      </c>
      <c r="AE13" s="28">
        <f t="shared" si="9"/>
        <v>4.33</v>
      </c>
      <c r="AF13" s="60">
        <f t="shared" si="10"/>
        <v>0.05457999367</v>
      </c>
      <c r="AG13" s="60">
        <f t="shared" si="11"/>
        <v>0.02820835567</v>
      </c>
      <c r="AH13" s="62" t="str">
        <f>IF(AB13="","· enter odds",IF(AND(AF13&gt;=Method!$B$7,AG13&gt;=Method!$B$8),"BET","PASS"))</f>
        <v>BET</v>
      </c>
      <c r="AI13" s="63">
        <f>IF(AH13&lt;&gt;"BET",0,ROUND(MIN(Method!$B$6,Method!$B$5*AL13)*100,1))</f>
        <v>0.4</v>
      </c>
      <c r="AJ13" s="64">
        <f>IF(OR(AH13&lt;&gt;"BET",Method!$B$55=TRUE()),0,IF(AI13*Method!$B$10/100&lt;Method!$B$9,0,ROUND(AI13*Method!$B$10/100,0)))</f>
        <v>0</v>
      </c>
      <c r="AK13" s="59">
        <f t="shared" si="12"/>
        <v>0.2435519616</v>
      </c>
      <c r="AL13" s="59">
        <f t="shared" si="13"/>
        <v>0.01639038849</v>
      </c>
      <c r="AM13" s="60">
        <f t="shared" si="14"/>
        <v>0.05459199367</v>
      </c>
      <c r="AN13" s="65" t="str">
        <f>IF(Matchday!N15="","",Matchday!N15)</f>
        <v/>
      </c>
      <c r="AO13" s="58" t="str">
        <f>IF(Matchday!P15="","",Matchday!P15)</f>
        <v/>
      </c>
      <c r="AP13" s="66" t="str">
        <f>IF(Matchday!Q15="","",Matchday!Q15)</f>
        <v/>
      </c>
      <c r="AQ13" s="65" t="str">
        <f>IF(Matchday!R15="","",Matchday!R15)</f>
        <v/>
      </c>
      <c r="AR13" s="67" t="str">
        <f t="shared" si="15"/>
        <v/>
      </c>
      <c r="AS13" s="67" t="str">
        <f t="shared" si="16"/>
        <v/>
      </c>
      <c r="AT13" s="26" t="str">
        <f>IF(AB13="","Type the 3 odds on the Matchday tab",IF(Method!$B$55=TRUE(),"🛑 PAUSED — drawdown "&amp;TEXT(Method!$B$51,"0.0%")&amp;" ≥ "&amp;TEXT(Method!$B$52,"0.0%")&amp;". Set Method!B54=Y to override.",IF(AH13="BET",IF(AJ13=0,"Edge found but stake rounds under £"&amp;Method!$B$9&amp;" — skip","Value found: EV "&amp;TEXT(AF13,"0.0%")&amp;", edge "&amp;TEXT(AG13,"0.0%")),IF(AF13&lt;Method!$B$7,"Price too short — EV "&amp;TEXT(AF13,"0.0%")&amp;" (need "&amp;TEXT(Method!$B$7,"0.0%")&amp;"+)","Model ≈ market — edge "&amp;TEXT(AG13,"0.0%")&amp;" (need "&amp;TEXT(Method!$B$8,"0.0%")&amp;"+)"))))</f>
        <v>🛑 PAUSED — drawdown 0.6% ≥ 15.0%. Set Method!B54=Y to override.</v>
      </c>
      <c r="AU13" s="26" t="str">
        <f t="shared" si="17"/>
        <v/>
      </c>
      <c r="AV13" s="25" t="str">
        <f>IF(Matchday!O15="","",Matchday!O15)</f>
        <v/>
      </c>
      <c r="AW13" s="68"/>
      <c r="AX13" s="68"/>
      <c r="AY13" s="68"/>
      <c r="AZ13" s="68" t="str">
        <f t="shared" si="18"/>
        <v>BET</v>
      </c>
      <c r="BA13" s="69">
        <f>IF(AX13&lt;&gt;"",AX13,IF(AH13&lt;&gt;"BET",0,IF(AI13*Method!$B$10/100&lt;Method!$B$9,0,ROUND(AI13*Method!$B$10/100,0))))</f>
        <v>4</v>
      </c>
      <c r="BB13" s="70">
        <v>-4.0</v>
      </c>
      <c r="BC13" s="70">
        <v>0.4019649800075553</v>
      </c>
      <c r="BD13" s="70">
        <v>0.2892167867484661</v>
      </c>
      <c r="BE13" s="70">
        <v>0.3033741670932364</v>
      </c>
      <c r="BF13" s="71" t="s">
        <v>238</v>
      </c>
      <c r="BG13" s="70">
        <v>540.0</v>
      </c>
      <c r="BH13" s="71" t="s">
        <v>239</v>
      </c>
      <c r="BI13" s="70">
        <v>0.0</v>
      </c>
    </row>
    <row r="14" ht="15.0" customHeight="1">
      <c r="A14" s="25">
        <v>13.0</v>
      </c>
      <c r="B14" s="55">
        <v>46188.0</v>
      </c>
      <c r="C14" s="25" t="s">
        <v>178</v>
      </c>
      <c r="D14" s="56" t="s">
        <v>240</v>
      </c>
      <c r="E14" s="56" t="s">
        <v>241</v>
      </c>
      <c r="F14" s="56" t="s">
        <v>242</v>
      </c>
      <c r="G14" s="25" t="s">
        <v>203</v>
      </c>
      <c r="H14" s="25" t="s">
        <v>243</v>
      </c>
      <c r="I14" s="57">
        <v>0.7638150516159082</v>
      </c>
      <c r="J14" s="57">
        <v>0.1654576323184372</v>
      </c>
      <c r="K14" s="57">
        <v>0.0707273160656545</v>
      </c>
      <c r="L14" s="58">
        <f>IF(Matchday!E16="","",Matchday!E16)</f>
        <v>1.1</v>
      </c>
      <c r="M14" s="58">
        <f>IF(Matchday!F16="","",Matchday!F16)</f>
        <v>14</v>
      </c>
      <c r="N14" s="58">
        <f>IF(Matchday!G16="","",Matchday!G16)</f>
        <v>23</v>
      </c>
      <c r="O14" s="59">
        <f t="shared" ref="O14:Q14" si="39">IF(L14="","",1/L14)</f>
        <v>0.9090909091</v>
      </c>
      <c r="P14" s="59">
        <f t="shared" si="39"/>
        <v>0.07142857143</v>
      </c>
      <c r="Q14" s="59">
        <f t="shared" si="39"/>
        <v>0.04347826087</v>
      </c>
      <c r="R14" s="59">
        <f t="shared" si="4"/>
        <v>1.023997741</v>
      </c>
      <c r="S14" s="59">
        <f t="array" ref="S14">IF($R14="","",IF(Method!$B$56="proportional",O14/$R14,IF(Method!$B$56="power",IFERROR(INDEX(power_devig($L14,$M14,$N14),1,1),O14/$R14),IFERROR(INDEX(shin($L14,$M14,$N14),1,1),O14/$R14))))</f>
        <v>0.8977313052</v>
      </c>
      <c r="T14" s="59">
        <f t="array" ref="T14">IF($R14="","",IF(Method!$B$56="proportional",P14/$R14,IF(Method!$B$56="power",IFERROR(INDEX(power_devig($L14,$M14,$N14),2,1),P14/$R14),IFERROR(INDEX(shin($L14,$M14,$N14),2,1),P14/$R14))))</f>
        <v>0.06494149488</v>
      </c>
      <c r="U14" s="59">
        <f t="array" ref="U14">IF($R14="","",IF(Method!$B$56="proportional",Q14/$R14,IF(Method!$B$56="power",IFERROR(INDEX(power_devig($L14,$M14,$N14),3,1),Q14/$R14),IFERROR(INDEX(shin($L14,$M14,$N14),3,1),Q14/$R14))))</f>
        <v>0.03732719988</v>
      </c>
      <c r="V14" s="59">
        <f>IF(S14="","",Method!$B$4*I14+(1-Method!$B$4)*S14/($S14+$T14+$U14))</f>
        <v>0.8508606165</v>
      </c>
      <c r="W14" s="59">
        <f>IF(T14="","",Method!$B$4*J14+(1-Method!$B$4)*T14/($S14+$T14+$U14))</f>
        <v>0.100122143</v>
      </c>
      <c r="X14" s="59">
        <f>IF(U14="","",Method!$B$4*K14+(1-Method!$B$4)*U14/($S14+$T14+$U14))</f>
        <v>0.04901724055</v>
      </c>
      <c r="Y14" s="60">
        <f t="shared" ref="Y14:AA14" si="40">IF(V14="","",V14*L14-1)</f>
        <v>-0.06405332188</v>
      </c>
      <c r="Z14" s="60">
        <f t="shared" si="40"/>
        <v>0.4017100017</v>
      </c>
      <c r="AA14" s="60">
        <f t="shared" si="40"/>
        <v>0.1273965326</v>
      </c>
      <c r="AB14" s="56">
        <f t="shared" si="6"/>
        <v>2</v>
      </c>
      <c r="AC14" s="56" t="str">
        <f t="shared" si="7"/>
        <v>D</v>
      </c>
      <c r="AD14" s="61" t="str">
        <f t="shared" si="8"/>
        <v>X  Draw</v>
      </c>
      <c r="AE14" s="28">
        <f t="shared" si="9"/>
        <v>14</v>
      </c>
      <c r="AF14" s="60">
        <f t="shared" si="10"/>
        <v>0.4017100017</v>
      </c>
      <c r="AG14" s="60">
        <f t="shared" si="11"/>
        <v>0.0351806481</v>
      </c>
      <c r="AH14" s="62" t="str">
        <f>IF(AB14="","· enter odds",IF(AND(AF14&gt;=Method!$B$7,AG14&gt;=Method!$B$8),"BET","PASS"))</f>
        <v>BET</v>
      </c>
      <c r="AI14" s="63">
        <f>IF(AH14&lt;&gt;"BET",0,ROUND(MIN(Method!$B$6,Method!$B$5*AL14)*100,1))</f>
        <v>0.8</v>
      </c>
      <c r="AJ14" s="64">
        <f>IF(OR(AH14&lt;&gt;"BET",Method!$B$55=TRUE()),0,IF(AI14*Method!$B$10/100&lt;Method!$B$9,0,ROUND(AI14*Method!$B$10/100,0)))</f>
        <v>0</v>
      </c>
      <c r="AK14" s="59">
        <f t="shared" si="12"/>
        <v>0.100122143</v>
      </c>
      <c r="AL14" s="59">
        <f t="shared" si="13"/>
        <v>0.03090076936</v>
      </c>
      <c r="AM14" s="60">
        <f t="shared" si="14"/>
        <v>0.4017230017</v>
      </c>
      <c r="AN14" s="65" t="str">
        <f>IF(Matchday!N16="","",Matchday!N16)</f>
        <v/>
      </c>
      <c r="AO14" s="58" t="str">
        <f>IF(Matchday!P16="","",Matchday!P16)</f>
        <v/>
      </c>
      <c r="AP14" s="66" t="str">
        <f>IF(Matchday!Q16="","",Matchday!Q16)</f>
        <v/>
      </c>
      <c r="AQ14" s="65" t="str">
        <f>IF(Matchday!R16="","",Matchday!R16)</f>
        <v/>
      </c>
      <c r="AR14" s="67" t="str">
        <f t="shared" si="15"/>
        <v/>
      </c>
      <c r="AS14" s="67" t="str">
        <f t="shared" si="16"/>
        <v/>
      </c>
      <c r="AT14" s="26" t="str">
        <f>IF(AB14="","Type the 3 odds on the Matchday tab",IF(Method!$B$55=TRUE(),"🛑 PAUSED — drawdown "&amp;TEXT(Method!$B$51,"0.0%")&amp;" ≥ "&amp;TEXT(Method!$B$52,"0.0%")&amp;". Set Method!B54=Y to override.",IF(AH14="BET",IF(AJ14=0,"Edge found but stake rounds under £"&amp;Method!$B$9&amp;" — skip","Value found: EV "&amp;TEXT(AF14,"0.0%")&amp;", edge "&amp;TEXT(AG14,"0.0%")),IF(AF14&lt;Method!$B$7,"Price too short — EV "&amp;TEXT(AF14,"0.0%")&amp;" (need "&amp;TEXT(Method!$B$7,"0.0%")&amp;"+)","Model ≈ market — edge "&amp;TEXT(AG14,"0.0%")&amp;" (need "&amp;TEXT(Method!$B$8,"0.0%")&amp;"+)"))))</f>
        <v>🛑 PAUSED — drawdown 0.6% ≥ 15.0%. Set Method!B54=Y to override.</v>
      </c>
      <c r="AU14" s="26" t="str">
        <f t="shared" si="17"/>
        <v/>
      </c>
      <c r="AV14" s="25" t="str">
        <f>IF(Matchday!O16="","",Matchday!O16)</f>
        <v/>
      </c>
      <c r="AW14" s="68"/>
      <c r="AX14" s="68"/>
      <c r="AY14" s="68"/>
      <c r="AZ14" s="68" t="str">
        <f t="shared" si="18"/>
        <v>BET</v>
      </c>
      <c r="BA14" s="69">
        <f>IF(AX14&lt;&gt;"",AX14,IF(AH14&lt;&gt;"BET",0,IF(AI14*Method!$B$10/100&lt;Method!$B$9,0,ROUND(AI14*Method!$B$10/100,0))))</f>
        <v>8</v>
      </c>
      <c r="BB14" s="70">
        <v>0.0</v>
      </c>
      <c r="BC14" s="70">
        <v>0.7246385470381141</v>
      </c>
      <c r="BD14" s="70">
        <v>0.19030699803535248</v>
      </c>
      <c r="BE14" s="70">
        <v>0.07056985573417277</v>
      </c>
      <c r="BG14" s="70">
        <v>320.0</v>
      </c>
      <c r="BH14" s="71" t="s">
        <v>244</v>
      </c>
      <c r="BI14" s="70">
        <v>0.0</v>
      </c>
    </row>
    <row r="15" ht="15.0" customHeight="1">
      <c r="A15" s="25">
        <v>14.0</v>
      </c>
      <c r="B15" s="55">
        <v>46188.0</v>
      </c>
      <c r="C15" s="25" t="s">
        <v>245</v>
      </c>
      <c r="D15" s="56" t="s">
        <v>246</v>
      </c>
      <c r="E15" s="56" t="s">
        <v>247</v>
      </c>
      <c r="F15" s="56" t="s">
        <v>248</v>
      </c>
      <c r="G15" s="25" t="s">
        <v>191</v>
      </c>
      <c r="H15" s="25" t="s">
        <v>209</v>
      </c>
      <c r="I15" s="57">
        <v>0.4698489579854068</v>
      </c>
      <c r="J15" s="57">
        <v>0.29964927857826174</v>
      </c>
      <c r="K15" s="57">
        <v>0.23050176343633147</v>
      </c>
      <c r="L15" s="58">
        <f>IF(Matchday!E17="","",Matchday!E17)</f>
        <v>1.61</v>
      </c>
      <c r="M15" s="58">
        <f>IF(Matchday!F17="","",Matchday!F17)</f>
        <v>4</v>
      </c>
      <c r="N15" s="58">
        <f>IF(Matchday!G17="","",Matchday!G17)</f>
        <v>5.75</v>
      </c>
      <c r="O15" s="59">
        <f t="shared" ref="O15:Q15" si="41">IF(L15="","",1/L15)</f>
        <v>0.6211180124</v>
      </c>
      <c r="P15" s="59">
        <f t="shared" si="41"/>
        <v>0.25</v>
      </c>
      <c r="Q15" s="59">
        <f t="shared" si="41"/>
        <v>0.1739130435</v>
      </c>
      <c r="R15" s="59">
        <f t="shared" si="4"/>
        <v>1.045031056</v>
      </c>
      <c r="S15" s="59">
        <f t="array" ref="S15">IF($R15="","",IF(Method!$B$56="proportional",O15/$R15,IF(Method!$B$56="power",IFERROR(INDEX(power_devig($L15,$M15,$N15),1,1),O15/$R15),IFERROR(INDEX(shin($L15,$M15,$N15),1,1),O15/$R15))))</f>
        <v>0.6030994564</v>
      </c>
      <c r="T15" s="59">
        <f t="array" ref="T15">IF($R15="","",IF(Method!$B$56="proportional",P15/$R15,IF(Method!$B$56="power",IFERROR(INDEX(power_devig($L15,$M15,$N15),2,1),P15/$R15),IFERROR(INDEX(shin($L15,$M15,$N15),2,1),P15/$R15))))</f>
        <v>0.2360353607</v>
      </c>
      <c r="U15" s="59">
        <f t="array" ref="U15">IF($R15="","",IF(Method!$B$56="proportional",Q15/$R15,IF(Method!$B$56="power",IFERROR(INDEX(power_devig($L15,$M15,$N15),3,1),Q15/$R15),IFERROR(INDEX(shin($L15,$M15,$N15),3,1),Q15/$R15))))</f>
        <v>0.160865183</v>
      </c>
      <c r="V15" s="59">
        <f>IF(S15="","",Method!$B$4*I15+(1-Method!$B$4)*S15/($S15+$T15+$U15))</f>
        <v>0.5564617819</v>
      </c>
      <c r="W15" s="59">
        <f>IF(T15="","",Method!$B$4*J15+(1-Method!$B$4)*T15/($S15+$T15+$U15))</f>
        <v>0.2583002319</v>
      </c>
      <c r="X15" s="59">
        <f>IF(U15="","",Method!$B$4*K15+(1-Method!$B$4)*U15/($S15+$T15+$U15))</f>
        <v>0.1852379861</v>
      </c>
      <c r="Y15" s="60">
        <f t="shared" ref="Y15:AA15" si="42">IF(V15="","",V15*L15-1)</f>
        <v>-0.1040965311</v>
      </c>
      <c r="Z15" s="60">
        <f t="shared" si="42"/>
        <v>0.0332009278</v>
      </c>
      <c r="AA15" s="60">
        <f t="shared" si="42"/>
        <v>0.06511842023</v>
      </c>
      <c r="AB15" s="56">
        <f t="shared" si="6"/>
        <v>3</v>
      </c>
      <c r="AC15" s="56" t="str">
        <f t="shared" si="7"/>
        <v>A</v>
      </c>
      <c r="AD15" s="61" t="str">
        <f t="shared" si="8"/>
        <v>2  Egypt</v>
      </c>
      <c r="AE15" s="28">
        <f t="shared" si="9"/>
        <v>5.75</v>
      </c>
      <c r="AF15" s="60">
        <f t="shared" si="10"/>
        <v>0.06511842023</v>
      </c>
      <c r="AG15" s="60">
        <f t="shared" si="11"/>
        <v>0.02437280317</v>
      </c>
      <c r="AH15" s="62" t="str">
        <f>IF(AB15="","· enter odds",IF(AND(AF15&gt;=Method!$B$7,AG15&gt;=Method!$B$8),"BET","PASS"))</f>
        <v>PASS</v>
      </c>
      <c r="AI15" s="63">
        <f>IF(AH15&lt;&gt;"BET",0,ROUND(MIN(Method!$B$6,Method!$B$5*AL15)*100,1))</f>
        <v>0</v>
      </c>
      <c r="AJ15" s="64">
        <f>IF(OR(AH15&lt;&gt;"BET",Method!$B$55=TRUE()),0,IF(AI15*Method!$B$10/100&lt;Method!$B$9,0,ROUND(AI15*Method!$B$10/100,0)))</f>
        <v>0</v>
      </c>
      <c r="AK15" s="59">
        <f t="shared" si="12"/>
        <v>0.1852379861</v>
      </c>
      <c r="AL15" s="59" t="str">
        <f t="shared" si="13"/>
        <v/>
      </c>
      <c r="AM15" s="56" t="str">
        <f t="shared" si="14"/>
        <v/>
      </c>
      <c r="AN15" s="65" t="str">
        <f>IF(Matchday!N17="","",Matchday!N17)</f>
        <v/>
      </c>
      <c r="AO15" s="58" t="str">
        <f>IF(Matchday!P17="","",Matchday!P17)</f>
        <v/>
      </c>
      <c r="AP15" s="66" t="str">
        <f>IF(Matchday!Q17="","",Matchday!Q17)</f>
        <v/>
      </c>
      <c r="AQ15" s="65" t="str">
        <f>IF(Matchday!R17="","",Matchday!R17)</f>
        <v/>
      </c>
      <c r="AR15" s="67" t="str">
        <f t="shared" si="15"/>
        <v/>
      </c>
      <c r="AS15" s="67" t="str">
        <f t="shared" si="16"/>
        <v/>
      </c>
      <c r="AT15" s="26" t="str">
        <f>IF(AB15="","Type the 3 odds on the Matchday tab",IF(Method!$B$55=TRUE(),"🛑 PAUSED — drawdown "&amp;TEXT(Method!$B$51,"0.0%")&amp;" ≥ "&amp;TEXT(Method!$B$52,"0.0%")&amp;". Set Method!B54=Y to override.",IF(AH15="BET",IF(AJ15=0,"Edge found but stake rounds under £"&amp;Method!$B$9&amp;" — skip","Value found: EV "&amp;TEXT(AF15,"0.0%")&amp;", edge "&amp;TEXT(AG15,"0.0%")),IF(AF15&lt;Method!$B$7,"Price too short — EV "&amp;TEXT(AF15,"0.0%")&amp;" (need "&amp;TEXT(Method!$B$7,"0.0%")&amp;"+)","Model ≈ market — edge "&amp;TEXT(AG15,"0.0%")&amp;" (need "&amp;TEXT(Method!$B$8,"0.0%")&amp;"+)"))))</f>
        <v>🛑 PAUSED — drawdown 0.6% ≥ 15.0%. Set Method!B54=Y to override.</v>
      </c>
      <c r="AU15" s="26" t="str">
        <f t="shared" si="17"/>
        <v/>
      </c>
      <c r="AV15" s="25" t="str">
        <f>IF(Matchday!O17="","",Matchday!O17)</f>
        <v/>
      </c>
      <c r="AW15" s="68"/>
      <c r="AX15" s="68"/>
      <c r="AY15" s="68"/>
      <c r="AZ15" s="68" t="str">
        <f t="shared" si="18"/>
        <v>PASS</v>
      </c>
      <c r="BA15" s="69">
        <f>IF(AX15&lt;&gt;"",AX15,IF(AH15&lt;&gt;"BET",0,IF(AI15*Method!$B$10/100&lt;Method!$B$9,0,ROUND(AI15*Method!$B$10/100,0))))</f>
        <v>0</v>
      </c>
      <c r="BB15" s="70">
        <v>0.0</v>
      </c>
      <c r="BC15" s="70">
        <v>0.4537203436864238</v>
      </c>
      <c r="BD15" s="70">
        <v>0.2935283057974793</v>
      </c>
      <c r="BE15" s="70">
        <v>0.2346812293696336</v>
      </c>
      <c r="BF15" s="71"/>
      <c r="BG15" s="70">
        <v>5.0</v>
      </c>
      <c r="BH15" s="71" t="s">
        <v>192</v>
      </c>
      <c r="BI15" s="70">
        <v>0.0</v>
      </c>
    </row>
    <row r="16" ht="15.0" customHeight="1">
      <c r="A16" s="25">
        <v>15.0</v>
      </c>
      <c r="B16" s="55">
        <v>46188.0</v>
      </c>
      <c r="C16" s="25" t="s">
        <v>178</v>
      </c>
      <c r="D16" s="56" t="s">
        <v>249</v>
      </c>
      <c r="E16" s="56" t="s">
        <v>250</v>
      </c>
      <c r="F16" s="56" t="s">
        <v>251</v>
      </c>
      <c r="G16" s="25" t="s">
        <v>197</v>
      </c>
      <c r="H16" s="25" t="s">
        <v>209</v>
      </c>
      <c r="I16" s="57">
        <v>0.13478751461871233</v>
      </c>
      <c r="J16" s="57">
        <v>0.25088969188713905</v>
      </c>
      <c r="K16" s="57">
        <v>0.6143227934941484</v>
      </c>
      <c r="L16" s="58">
        <f>IF(Matchday!E18="","",Matchday!E18)</f>
        <v>7.5</v>
      </c>
      <c r="M16" s="58">
        <f>IF(Matchday!F18="","",Matchday!F18)</f>
        <v>4.2</v>
      </c>
      <c r="N16" s="58">
        <f>IF(Matchday!G18="","",Matchday!G18)</f>
        <v>1.48</v>
      </c>
      <c r="O16" s="59">
        <f t="shared" ref="O16:Q16" si="43">IF(L16="","",1/L16)</f>
        <v>0.1333333333</v>
      </c>
      <c r="P16" s="59">
        <f t="shared" si="43"/>
        <v>0.2380952381</v>
      </c>
      <c r="Q16" s="59">
        <f t="shared" si="43"/>
        <v>0.6756756757</v>
      </c>
      <c r="R16" s="59">
        <f t="shared" si="4"/>
        <v>1.047104247</v>
      </c>
      <c r="S16" s="59">
        <f t="array" ref="S16">IF($R16="","",IF(Method!$B$56="proportional",O16/$R16,IF(Method!$B$56="power",IFERROR(INDEX(power_devig($L16,$M16,$N16),1,1),O16/$R16),IFERROR(INDEX(shin($L16,$M16,$N16),1,1),O16/$R16))))</f>
        <v>0.1202087961</v>
      </c>
      <c r="T16" s="59">
        <f t="array" ref="T16">IF($R16="","",IF(Method!$B$56="proportional",P16/$R16,IF(Method!$B$56="power",IFERROR(INDEX(power_devig($L16,$M16,$N16),2,1),P16/$R16),IFERROR(INDEX(shin($L16,$M16,$N16),2,1),P16/$R16))))</f>
        <v>0.2235840765</v>
      </c>
      <c r="U16" s="59">
        <f t="array" ref="U16">IF($R16="","",IF(Method!$B$56="proportional",Q16/$R16,IF(Method!$B$56="power",IFERROR(INDEX(power_devig($L16,$M16,$N16),3,1),Q16/$R16),IFERROR(INDEX(shin($L16,$M16,$N16),3,1),Q16/$R16))))</f>
        <v>0.6562071274</v>
      </c>
      <c r="V16" s="59">
        <f>IF(S16="","",Method!$B$4*I16+(1-Method!$B$4)*S16/($S16+$T16+$U16))</f>
        <v>0.1253113476</v>
      </c>
      <c r="W16" s="59">
        <f>IF(T16="","",Method!$B$4*J16+(1-Method!$B$4)*T16/($S16+$T16+$U16))</f>
        <v>0.2331410419</v>
      </c>
      <c r="X16" s="59">
        <f>IF(U16="","",Method!$B$4*K16+(1-Method!$B$4)*U16/($S16+$T16+$U16))</f>
        <v>0.6415476105</v>
      </c>
      <c r="Y16" s="60">
        <f t="shared" ref="Y16:AA16" si="44">IF(V16="","",V16*L16-1)</f>
        <v>-0.06016489306</v>
      </c>
      <c r="Z16" s="60">
        <f t="shared" si="44"/>
        <v>-0.02080762404</v>
      </c>
      <c r="AA16" s="60">
        <f t="shared" si="44"/>
        <v>-0.05050953644</v>
      </c>
      <c r="AB16" s="56">
        <f t="shared" si="6"/>
        <v>2</v>
      </c>
      <c r="AC16" s="56" t="str">
        <f t="shared" si="7"/>
        <v>D</v>
      </c>
      <c r="AD16" s="61" t="str">
        <f t="shared" si="8"/>
        <v>X  Draw</v>
      </c>
      <c r="AE16" s="28">
        <f t="shared" si="9"/>
        <v>4.2</v>
      </c>
      <c r="AF16" s="60">
        <f t="shared" si="10"/>
        <v>-0.02080762404</v>
      </c>
      <c r="AG16" s="60">
        <f t="shared" si="11"/>
        <v>0.00955696538</v>
      </c>
      <c r="AH16" s="62" t="str">
        <f>IF(AB16="","· enter odds",IF(AND(AF16&gt;=Method!$B$7,AG16&gt;=Method!$B$8),"BET","PASS"))</f>
        <v>PASS</v>
      </c>
      <c r="AI16" s="63">
        <f>IF(AH16&lt;&gt;"BET",0,ROUND(MIN(Method!$B$6,Method!$B$5*AL16)*100,1))</f>
        <v>0</v>
      </c>
      <c r="AJ16" s="64">
        <f>IF(OR(AH16&lt;&gt;"BET",Method!$B$55=TRUE()),0,IF(AI16*Method!$B$10/100&lt;Method!$B$9,0,ROUND(AI16*Method!$B$10/100,0)))</f>
        <v>0</v>
      </c>
      <c r="AK16" s="59">
        <f t="shared" si="12"/>
        <v>0.2331410419</v>
      </c>
      <c r="AL16" s="59" t="str">
        <f t="shared" si="13"/>
        <v/>
      </c>
      <c r="AM16" s="56" t="str">
        <f t="shared" si="14"/>
        <v/>
      </c>
      <c r="AN16" s="65" t="str">
        <f>IF(Matchday!N18="","",Matchday!N18)</f>
        <v/>
      </c>
      <c r="AO16" s="58" t="str">
        <f>IF(Matchday!P18="","",Matchday!P18)</f>
        <v/>
      </c>
      <c r="AP16" s="66" t="str">
        <f>IF(Matchday!Q18="","",Matchday!Q18)</f>
        <v/>
      </c>
      <c r="AQ16" s="65" t="str">
        <f>IF(Matchday!R18="","",Matchday!R18)</f>
        <v/>
      </c>
      <c r="AR16" s="67" t="str">
        <f t="shared" si="15"/>
        <v/>
      </c>
      <c r="AS16" s="67" t="str">
        <f t="shared" si="16"/>
        <v/>
      </c>
      <c r="AT16" s="26" t="str">
        <f>IF(AB16="","Type the 3 odds on the Matchday tab",IF(Method!$B$55=TRUE(),"🛑 PAUSED — drawdown "&amp;TEXT(Method!$B$51,"0.0%")&amp;" ≥ "&amp;TEXT(Method!$B$52,"0.0%")&amp;". Set Method!B54=Y to override.",IF(AH16="BET",IF(AJ16=0,"Edge found but stake rounds under £"&amp;Method!$B$9&amp;" — skip","Value found: EV "&amp;TEXT(AF16,"0.0%")&amp;", edge "&amp;TEXT(AG16,"0.0%")),IF(AF16&lt;Method!$B$7,"Price too short — EV "&amp;TEXT(AF16,"0.0%")&amp;" (need "&amp;TEXT(Method!$B$7,"0.0%")&amp;"+)","Model ≈ market — edge "&amp;TEXT(AG16,"0.0%")&amp;" (need "&amp;TEXT(Method!$B$8,"0.0%")&amp;"+)"))))</f>
        <v>🛑 PAUSED — drawdown 0.6% ≥ 15.0%. Set Method!B54=Y to override.</v>
      </c>
      <c r="AU16" s="26" t="str">
        <f t="shared" si="17"/>
        <v/>
      </c>
      <c r="AV16" s="25" t="str">
        <f>IF(Matchday!O18="","",Matchday!O18)</f>
        <v/>
      </c>
      <c r="AW16" s="68"/>
      <c r="AX16" s="68"/>
      <c r="AY16" s="68"/>
      <c r="AZ16" s="68" t="str">
        <f t="shared" si="18"/>
        <v>PASS</v>
      </c>
      <c r="BA16" s="69">
        <f>IF(AX16&lt;&gt;"",AX16,IF(AH16&lt;&gt;"BET",0,IF(AI16*Method!$B$10/100&lt;Method!$B$9,0,ROUND(AI16*Method!$B$10/100,0))))</f>
        <v>0</v>
      </c>
      <c r="BB16" s="70">
        <v>0.0</v>
      </c>
      <c r="BC16" s="70">
        <v>0.11772922487277171</v>
      </c>
      <c r="BD16" s="70">
        <v>0.27301410052113295</v>
      </c>
      <c r="BE16" s="70">
        <v>0.6001782217132143</v>
      </c>
      <c r="BF16" s="71"/>
      <c r="BG16" s="70">
        <v>2.0</v>
      </c>
      <c r="BH16" s="71" t="s">
        <v>252</v>
      </c>
      <c r="BI16" s="70">
        <v>0.0</v>
      </c>
    </row>
    <row r="17" ht="15.0" customHeight="1">
      <c r="A17" s="25">
        <v>16.0</v>
      </c>
      <c r="B17" s="55">
        <v>46188.0</v>
      </c>
      <c r="C17" s="25" t="s">
        <v>245</v>
      </c>
      <c r="D17" s="56" t="s">
        <v>253</v>
      </c>
      <c r="E17" s="56" t="s">
        <v>254</v>
      </c>
      <c r="F17" s="56" t="s">
        <v>196</v>
      </c>
      <c r="G17" s="25" t="s">
        <v>213</v>
      </c>
      <c r="H17" s="25" t="s">
        <v>218</v>
      </c>
      <c r="I17" s="57">
        <v>0.4371219224673084</v>
      </c>
      <c r="J17" s="57">
        <v>0.3065113480581834</v>
      </c>
      <c r="K17" s="57">
        <v>0.2563667294745082</v>
      </c>
      <c r="L17" s="58">
        <f>IF(Matchday!E19="","",Matchday!E19)</f>
        <v>1.8</v>
      </c>
      <c r="M17" s="58">
        <f>IF(Matchday!F19="","",Matchday!F19)</f>
        <v>3.5</v>
      </c>
      <c r="N17" s="58">
        <f>IF(Matchday!G19="","",Matchday!G19)</f>
        <v>5</v>
      </c>
      <c r="O17" s="59">
        <f t="shared" ref="O17:Q17" si="45">IF(L17="","",1/L17)</f>
        <v>0.5555555556</v>
      </c>
      <c r="P17" s="59">
        <f t="shared" si="45"/>
        <v>0.2857142857</v>
      </c>
      <c r="Q17" s="59">
        <f t="shared" si="45"/>
        <v>0.2</v>
      </c>
      <c r="R17" s="59">
        <f t="shared" si="4"/>
        <v>1.041269841</v>
      </c>
      <c r="S17" s="59">
        <f t="array" ref="S17">IF($R17="","",IF(Method!$B$56="proportional",O17/$R17,IF(Method!$B$56="power",IFERROR(INDEX(power_devig($L17,$M17,$N17),1,1),O17/$R17),IFERROR(INDEX(shin($L17,$M17,$N17),1,1),O17/$R17))))</f>
        <v>0.5396846337</v>
      </c>
      <c r="T17" s="59">
        <f t="array" ref="T17">IF($R17="","",IF(Method!$B$56="proportional",P17/$R17,IF(Method!$B$56="power",IFERROR(INDEX(power_devig($L17,$M17,$N17),2,1),P17/$R17),IFERROR(INDEX(shin($L17,$M17,$N17),2,1),P17/$R17))))</f>
        <v>0.2725567795</v>
      </c>
      <c r="U17" s="59">
        <f t="array" ref="U17">IF($R17="","",IF(Method!$B$56="proportional",Q17/$R17,IF(Method!$B$56="power",IFERROR(INDEX(power_devig($L17,$M17,$N17),3,1),Q17/$R17),IFERROR(INDEX(shin($L17,$M17,$N17),3,1),Q17/$R17))))</f>
        <v>0.1877585868</v>
      </c>
      <c r="V17" s="59">
        <f>IF(S17="","",Method!$B$4*I17+(1-Method!$B$4)*S17/($S17+$T17+$U17))</f>
        <v>0.5037876848</v>
      </c>
      <c r="W17" s="59">
        <f>IF(T17="","",Method!$B$4*J17+(1-Method!$B$4)*T17/($S17+$T17+$U17))</f>
        <v>0.2844408785</v>
      </c>
      <c r="X17" s="59">
        <f>IF(U17="","",Method!$B$4*K17+(1-Method!$B$4)*U17/($S17+$T17+$U17))</f>
        <v>0.2117714367</v>
      </c>
      <c r="Y17" s="60">
        <f t="shared" ref="Y17:AA17" si="46">IF(V17="","",V17*L17-1)</f>
        <v>-0.09318216737</v>
      </c>
      <c r="Z17" s="60">
        <f t="shared" si="46"/>
        <v>-0.004456925298</v>
      </c>
      <c r="AA17" s="60">
        <f t="shared" si="46"/>
        <v>0.0588571836</v>
      </c>
      <c r="AB17" s="56">
        <f t="shared" si="6"/>
        <v>3</v>
      </c>
      <c r="AC17" s="56" t="str">
        <f t="shared" si="7"/>
        <v>A</v>
      </c>
      <c r="AD17" s="61" t="str">
        <f t="shared" si="8"/>
        <v>2  New Zealand</v>
      </c>
      <c r="AE17" s="28">
        <f t="shared" si="9"/>
        <v>5</v>
      </c>
      <c r="AF17" s="60">
        <f t="shared" si="10"/>
        <v>0.0588571836</v>
      </c>
      <c r="AG17" s="60">
        <f t="shared" si="11"/>
        <v>0.02401284994</v>
      </c>
      <c r="AH17" s="62" t="str">
        <f>IF(AB17="","· enter odds",IF(AND(AF17&gt;=Method!$B$7,AG17&gt;=Method!$B$8),"BET","PASS"))</f>
        <v>PASS</v>
      </c>
      <c r="AI17" s="63">
        <f>IF(AH17&lt;&gt;"BET",0,ROUND(MIN(Method!$B$6,Method!$B$5*AL17)*100,1))</f>
        <v>0</v>
      </c>
      <c r="AJ17" s="64">
        <f>IF(OR(AH17&lt;&gt;"BET",Method!$B$55=TRUE()),0,IF(AI17*Method!$B$10/100&lt;Method!$B$9,0,ROUND(AI17*Method!$B$10/100,0)))</f>
        <v>0</v>
      </c>
      <c r="AK17" s="59">
        <f t="shared" si="12"/>
        <v>0.2117714367</v>
      </c>
      <c r="AL17" s="59" t="str">
        <f t="shared" si="13"/>
        <v/>
      </c>
      <c r="AM17" s="56" t="str">
        <f t="shared" si="14"/>
        <v/>
      </c>
      <c r="AN17" s="65" t="str">
        <f>IF(Matchday!N19="","",Matchday!N19)</f>
        <v/>
      </c>
      <c r="AO17" s="58" t="str">
        <f>IF(Matchday!P19="","",Matchday!P19)</f>
        <v/>
      </c>
      <c r="AP17" s="66" t="str">
        <f>IF(Matchday!Q19="","",Matchday!Q19)</f>
        <v/>
      </c>
      <c r="AQ17" s="65" t="str">
        <f>IF(Matchday!R19="","",Matchday!R19)</f>
        <v/>
      </c>
      <c r="AR17" s="67" t="str">
        <f t="shared" si="15"/>
        <v/>
      </c>
      <c r="AS17" s="67" t="str">
        <f t="shared" si="16"/>
        <v/>
      </c>
      <c r="AT17" s="26" t="str">
        <f>IF(AB17="","Type the 3 odds on the Matchday tab",IF(Method!$B$55=TRUE(),"🛑 PAUSED — drawdown "&amp;TEXT(Method!$B$51,"0.0%")&amp;" ≥ "&amp;TEXT(Method!$B$52,"0.0%")&amp;". Set Method!B54=Y to override.",IF(AH17="BET",IF(AJ17=0,"Edge found but stake rounds under £"&amp;Method!$B$9&amp;" — skip","Value found: EV "&amp;TEXT(AF17,"0.0%")&amp;", edge "&amp;TEXT(AG17,"0.0%")),IF(AF17&lt;Method!$B$7,"Price too short — EV "&amp;TEXT(AF17,"0.0%")&amp;" (need "&amp;TEXT(Method!$B$7,"0.0%")&amp;"+)","Model ≈ market — edge "&amp;TEXT(AG17,"0.0%")&amp;" (need "&amp;TEXT(Method!$B$8,"0.0%")&amp;"+)"))))</f>
        <v>🛑 PAUSED — drawdown 0.6% ≥ 15.0%. Set Method!B54=Y to override.</v>
      </c>
      <c r="AU17" s="26" t="str">
        <f t="shared" si="17"/>
        <v/>
      </c>
      <c r="AV17" s="25" t="str">
        <f>IF(Matchday!O19="","",Matchday!O19)</f>
        <v/>
      </c>
      <c r="AW17" s="68"/>
      <c r="AX17" s="68"/>
      <c r="AY17" s="68"/>
      <c r="AZ17" s="68" t="str">
        <f t="shared" si="18"/>
        <v>PASS</v>
      </c>
      <c r="BA17" s="69">
        <f>IF(AX17&lt;&gt;"",AX17,IF(AH17&lt;&gt;"BET",0,IF(AI17*Method!$B$10/100&lt;Method!$B$9,0,ROUND(AI17*Method!$B$10/100,0))))</f>
        <v>0</v>
      </c>
      <c r="BB17" s="70">
        <v>0.0</v>
      </c>
      <c r="BC17" s="70">
        <v>0.4217604084522924</v>
      </c>
      <c r="BD17" s="70">
        <v>0.2961227280785884</v>
      </c>
      <c r="BE17" s="70">
        <v>0.26066255221209034</v>
      </c>
      <c r="BG17" s="70">
        <v>30.0</v>
      </c>
      <c r="BH17" s="71" t="s">
        <v>199</v>
      </c>
      <c r="BI17" s="70">
        <v>0.0</v>
      </c>
    </row>
    <row r="18" ht="15.0" customHeight="1">
      <c r="A18" s="25">
        <v>17.0</v>
      </c>
      <c r="B18" s="55">
        <v>46189.0</v>
      </c>
      <c r="C18" s="25" t="s">
        <v>255</v>
      </c>
      <c r="D18" s="56" t="s">
        <v>256</v>
      </c>
      <c r="E18" s="56" t="s">
        <v>257</v>
      </c>
      <c r="F18" s="56" t="s">
        <v>208</v>
      </c>
      <c r="G18" s="25" t="s">
        <v>191</v>
      </c>
      <c r="H18" s="25" t="s">
        <v>177</v>
      </c>
      <c r="I18" s="57">
        <v>0.7035450191817646</v>
      </c>
      <c r="J18" s="57">
        <v>0.18717377553441236</v>
      </c>
      <c r="K18" s="57">
        <v>0.10928120528382312</v>
      </c>
      <c r="L18" s="58">
        <f>IF(Matchday!E20="","",Matchday!E20)</f>
        <v>0.4444444444</v>
      </c>
      <c r="M18" s="58">
        <f>IF(Matchday!F20="","",Matchday!F20)</f>
        <v>3.333333333</v>
      </c>
      <c r="N18" s="58">
        <f>IF(Matchday!G20="","",Matchday!G20)</f>
        <v>6</v>
      </c>
      <c r="O18" s="59">
        <f t="shared" ref="O18:Q18" si="47">IF(L18="","",1/L18)</f>
        <v>2.25</v>
      </c>
      <c r="P18" s="59">
        <f t="shared" si="47"/>
        <v>0.3</v>
      </c>
      <c r="Q18" s="59">
        <f t="shared" si="47"/>
        <v>0.1666666667</v>
      </c>
      <c r="R18" s="59">
        <f t="shared" si="4"/>
        <v>2.716666667</v>
      </c>
      <c r="S18" s="59">
        <f t="array" ref="S18">IF($R18="","",IF(Method!$B$56="proportional",O18/$R18,IF(Method!$B$56="power",IFERROR(INDEX(power_devig($L18,$M18,$N18),1,1),O18/$R18),IFERROR(INDEX(shin($L18,$M18,$N18),1,1),O18/$R18))))</f>
        <v>0.8282208589</v>
      </c>
      <c r="T18" s="59">
        <f t="array" ref="T18">IF($R18="","",IF(Method!$B$56="proportional",P18/$R18,IF(Method!$B$56="power",IFERROR(INDEX(power_devig($L18,$M18,$N18),2,1),P18/$R18),IFERROR(INDEX(shin($L18,$M18,$N18),2,1),P18/$R18))))</f>
        <v>0.1104294479</v>
      </c>
      <c r="U18" s="59">
        <f t="array" ref="U18">IF($R18="","",IF(Method!$B$56="proportional",Q18/$R18,IF(Method!$B$56="power",IFERROR(INDEX(power_devig($L18,$M18,$N18),3,1),Q18/$R18),IFERROR(INDEX(shin($L18,$M18,$N18),3,1),Q18/$R18))))</f>
        <v>0.06134969325</v>
      </c>
      <c r="V18" s="59">
        <f>IF(S18="","",Method!$B$4*I18+(1-Method!$B$4)*S18/($S18+$T18+$U18))</f>
        <v>0.784584315</v>
      </c>
      <c r="W18" s="59">
        <f>IF(T18="","",Method!$B$4*J18+(1-Method!$B$4)*T18/($S18+$T18+$U18))</f>
        <v>0.1372899625</v>
      </c>
      <c r="X18" s="59">
        <f>IF(U18="","",Method!$B$4*K18+(1-Method!$B$4)*U18/($S18+$T18+$U18))</f>
        <v>0.07812572246</v>
      </c>
      <c r="Y18" s="60">
        <f t="shared" ref="Y18:AA18" si="48">IF(V18="","",V18*L18-1)</f>
        <v>-0.65129586</v>
      </c>
      <c r="Z18" s="60">
        <f t="shared" si="48"/>
        <v>-0.5423667915</v>
      </c>
      <c r="AA18" s="60">
        <f t="shared" si="48"/>
        <v>-0.5312456652</v>
      </c>
      <c r="AB18" s="56">
        <f t="shared" si="6"/>
        <v>3</v>
      </c>
      <c r="AC18" s="56" t="str">
        <f t="shared" si="7"/>
        <v>A</v>
      </c>
      <c r="AD18" s="61" t="str">
        <f t="shared" si="8"/>
        <v>2  Senegal</v>
      </c>
      <c r="AE18" s="28">
        <f t="shared" si="9"/>
        <v>6</v>
      </c>
      <c r="AF18" s="60">
        <f t="shared" si="10"/>
        <v>-0.5312456652</v>
      </c>
      <c r="AG18" s="60">
        <f t="shared" si="11"/>
        <v>0.01677602921</v>
      </c>
      <c r="AH18" s="62" t="str">
        <f>IF(AB18="","· enter odds",IF(AND(AF18&gt;=Method!$B$7,AG18&gt;=Method!$B$8),"BET","PASS"))</f>
        <v>PASS</v>
      </c>
      <c r="AI18" s="63">
        <f>IF(AH18&lt;&gt;"BET",0,ROUND(MIN(Method!$B$6,Method!$B$5*AL18)*100,1))</f>
        <v>0</v>
      </c>
      <c r="AJ18" s="64">
        <f>IF(OR(AH18&lt;&gt;"BET",Method!$B$55=TRUE()),0,IF(AI18*Method!$B$10/100&lt;Method!$B$9,0,ROUND(AI18*Method!$B$10/100,0)))</f>
        <v>0</v>
      </c>
      <c r="AK18" s="59">
        <f t="shared" si="12"/>
        <v>0.07812572246</v>
      </c>
      <c r="AL18" s="59" t="str">
        <f t="shared" si="13"/>
        <v/>
      </c>
      <c r="AM18" s="56" t="str">
        <f t="shared" si="14"/>
        <v/>
      </c>
      <c r="AN18" s="65" t="str">
        <f>IF(Matchday!N20="","",Matchday!N20)</f>
        <v/>
      </c>
      <c r="AO18" s="58" t="str">
        <f>IF(Matchday!P20="","",Matchday!P20)</f>
        <v/>
      </c>
      <c r="AP18" s="66" t="str">
        <f>IF(Matchday!Q20="","",Matchday!Q20)</f>
        <v/>
      </c>
      <c r="AQ18" s="65" t="str">
        <f>IF(Matchday!R20="","",Matchday!R20)</f>
        <v/>
      </c>
      <c r="AR18" s="67" t="str">
        <f t="shared" si="15"/>
        <v/>
      </c>
      <c r="AS18" s="67" t="str">
        <f t="shared" si="16"/>
        <v/>
      </c>
      <c r="AT18" s="26" t="str">
        <f>IF(AB18="","Type the 3 odds on the Matchday tab",IF(Method!$B$55=TRUE(),"🛑 PAUSED — drawdown "&amp;TEXT(Method!$B$51,"0.0%")&amp;" ≥ "&amp;TEXT(Method!$B$52,"0.0%")&amp;". Set Method!B54=Y to override.",IF(AH18="BET",IF(AJ18=0,"Edge found but stake rounds under £"&amp;Method!$B$9&amp;" — skip","Value found: EV "&amp;TEXT(AF18,"0.0%")&amp;", edge "&amp;TEXT(AG18,"0.0%")),IF(AF18&lt;Method!$B$7,"Price too short — EV "&amp;TEXT(AF18,"0.0%")&amp;" (need "&amp;TEXT(Method!$B$7,"0.0%")&amp;"+)","Model ≈ market — edge "&amp;TEXT(AG18,"0.0%")&amp;" (need "&amp;TEXT(Method!$B$8,"0.0%")&amp;"+)"))))</f>
        <v>🛑 PAUSED — drawdown 0.6% ≥ 15.0%. Set Method!B54=Y to override.</v>
      </c>
      <c r="AU18" s="26" t="str">
        <f t="shared" si="17"/>
        <v/>
      </c>
      <c r="AV18" s="25" t="str">
        <f>IF(Matchday!O20="","",Matchday!O20)</f>
        <v/>
      </c>
      <c r="AW18" s="68"/>
      <c r="AX18" s="68"/>
      <c r="AY18" s="68"/>
      <c r="AZ18" s="68" t="str">
        <f t="shared" si="18"/>
        <v>PASS</v>
      </c>
      <c r="BA18" s="69">
        <f>IF(AX18&lt;&gt;"",AX18,IF(AH18&lt;&gt;"BET",0,IF(AI18*Method!$B$10/100&lt;Method!$B$9,0,ROUND(AI18*Method!$B$10/100,0))))</f>
        <v>0</v>
      </c>
      <c r="BB18" s="70">
        <v>0.0</v>
      </c>
      <c r="BC18" s="70">
        <v>0.6531597846466459</v>
      </c>
      <c r="BD18" s="70">
        <v>0.21133047905204497</v>
      </c>
      <c r="BE18" s="70">
        <v>0.11196535407844796</v>
      </c>
      <c r="BG18" s="70">
        <v>7.0</v>
      </c>
      <c r="BH18" s="71" t="s">
        <v>186</v>
      </c>
      <c r="BI18" s="70">
        <v>0.0</v>
      </c>
    </row>
    <row r="19" ht="15.0" customHeight="1">
      <c r="A19" s="25">
        <v>18.0</v>
      </c>
      <c r="B19" s="55">
        <v>46189.0</v>
      </c>
      <c r="C19" s="25" t="s">
        <v>255</v>
      </c>
      <c r="D19" s="56" t="s">
        <v>258</v>
      </c>
      <c r="E19" s="56" t="s">
        <v>259</v>
      </c>
      <c r="F19" s="56" t="s">
        <v>212</v>
      </c>
      <c r="G19" s="25" t="s">
        <v>197</v>
      </c>
      <c r="H19" s="25" t="s">
        <v>209</v>
      </c>
      <c r="I19" s="57">
        <v>0.14875240428247624</v>
      </c>
      <c r="J19" s="57">
        <v>0.27151260843230784</v>
      </c>
      <c r="K19" s="57">
        <v>0.5797349872852159</v>
      </c>
      <c r="L19" s="58">
        <f>IF(Matchday!E21="","",Matchday!E21)</f>
        <v>14</v>
      </c>
      <c r="M19" s="58">
        <f>IF(Matchday!F21="","",Matchday!F21)</f>
        <v>5.5</v>
      </c>
      <c r="N19" s="58">
        <f>IF(Matchday!G21="","",Matchday!G21)</f>
        <v>0.2</v>
      </c>
      <c r="O19" s="59">
        <f t="shared" ref="O19:Q19" si="49">IF(L19="","",1/L19)</f>
        <v>0.07142857143</v>
      </c>
      <c r="P19" s="59">
        <f t="shared" si="49"/>
        <v>0.1818181818</v>
      </c>
      <c r="Q19" s="59">
        <f t="shared" si="49"/>
        <v>5</v>
      </c>
      <c r="R19" s="59">
        <f t="shared" si="4"/>
        <v>5.253246753</v>
      </c>
      <c r="S19" s="59">
        <f t="array" ref="S19">IF($R19="","",IF(Method!$B$56="proportional",O19/$R19,IF(Method!$B$56="power",IFERROR(INDEX(power_devig($L19,$M19,$N19),1,1),O19/$R19),IFERROR(INDEX(shin($L19,$M19,$N19),1,1),O19/$R19))))</f>
        <v>0.01359703337</v>
      </c>
      <c r="T19" s="59">
        <f t="array" ref="T19">IF($R19="","",IF(Method!$B$56="proportional",P19/$R19,IF(Method!$B$56="power",IFERROR(INDEX(power_devig($L19,$M19,$N19),2,1),P19/$R19),IFERROR(INDEX(shin($L19,$M19,$N19),2,1),P19/$R19))))</f>
        <v>0.03461063041</v>
      </c>
      <c r="U19" s="59">
        <f t="array" ref="U19">IF($R19="","",IF(Method!$B$56="proportional",Q19/$R19,IF(Method!$B$56="power",IFERROR(INDEX(power_devig($L19,$M19,$N19),3,1),Q19/$R19),IFERROR(INDEX(shin($L19,$M19,$N19),3,1),Q19/$R19))))</f>
        <v>0.9517923362</v>
      </c>
      <c r="V19" s="59">
        <f>IF(S19="","",Method!$B$4*I19+(1-Method!$B$4)*S19/($S19+$T19+$U19))</f>
        <v>0.06090141319</v>
      </c>
      <c r="W19" s="59">
        <f>IF(T19="","",Method!$B$4*J19+(1-Method!$B$4)*T19/($S19+$T19+$U19))</f>
        <v>0.1175263227</v>
      </c>
      <c r="X19" s="59">
        <f>IF(U19="","",Method!$B$4*K19+(1-Method!$B$4)*U19/($S19+$T19+$U19))</f>
        <v>0.8215722641</v>
      </c>
      <c r="Y19" s="60">
        <f t="shared" ref="Y19:AA19" si="50">IF(V19="","",V19*L19-1)</f>
        <v>-0.1473802153</v>
      </c>
      <c r="Z19" s="60">
        <f t="shared" si="50"/>
        <v>-0.3536052251</v>
      </c>
      <c r="AA19" s="60">
        <f t="shared" si="50"/>
        <v>-0.8356855472</v>
      </c>
      <c r="AB19" s="56">
        <f t="shared" si="6"/>
        <v>1</v>
      </c>
      <c r="AC19" s="56" t="str">
        <f t="shared" si="7"/>
        <v>H</v>
      </c>
      <c r="AD19" s="61" t="str">
        <f t="shared" si="8"/>
        <v>1  Iraq</v>
      </c>
      <c r="AE19" s="28">
        <f t="shared" si="9"/>
        <v>14</v>
      </c>
      <c r="AF19" s="60">
        <f t="shared" si="10"/>
        <v>-0.1473802153</v>
      </c>
      <c r="AG19" s="60">
        <f t="shared" si="11"/>
        <v>0.04730437982</v>
      </c>
      <c r="AH19" s="62" t="str">
        <f>IF(AB19="","· enter odds",IF(AND(AF19&gt;=Method!$B$7,AG19&gt;=Method!$B$8),"BET","PASS"))</f>
        <v>PASS</v>
      </c>
      <c r="AI19" s="63">
        <f>IF(AH19&lt;&gt;"BET",0,ROUND(MIN(Method!$B$6,Method!$B$5*AL19)*100,1))</f>
        <v>0</v>
      </c>
      <c r="AJ19" s="64">
        <f>IF(OR(AH19&lt;&gt;"BET",Method!$B$55=TRUE()),0,IF(AI19*Method!$B$10/100&lt;Method!$B$9,0,ROUND(AI19*Method!$B$10/100,0)))</f>
        <v>0</v>
      </c>
      <c r="AK19" s="59">
        <f t="shared" si="12"/>
        <v>0.06090141319</v>
      </c>
      <c r="AL19" s="59" t="str">
        <f t="shared" si="13"/>
        <v/>
      </c>
      <c r="AM19" s="56" t="str">
        <f t="shared" si="14"/>
        <v/>
      </c>
      <c r="AN19" s="65" t="str">
        <f>IF(Matchday!N21="","",Matchday!N21)</f>
        <v/>
      </c>
      <c r="AO19" s="58" t="str">
        <f>IF(Matchday!P21="","",Matchday!P21)</f>
        <v/>
      </c>
      <c r="AP19" s="66" t="str">
        <f>IF(Matchday!Q21="","",Matchday!Q21)</f>
        <v/>
      </c>
      <c r="AQ19" s="65" t="str">
        <f>IF(Matchday!R21="","",Matchday!R21)</f>
        <v/>
      </c>
      <c r="AR19" s="67" t="str">
        <f t="shared" si="15"/>
        <v/>
      </c>
      <c r="AS19" s="67" t="str">
        <f t="shared" si="16"/>
        <v/>
      </c>
      <c r="AT19" s="26" t="str">
        <f>IF(AB19="","Type the 3 odds on the Matchday tab",IF(Method!$B$55=TRUE(),"🛑 PAUSED — drawdown "&amp;TEXT(Method!$B$51,"0.0%")&amp;" ≥ "&amp;TEXT(Method!$B$52,"0.0%")&amp;". Set Method!B54=Y to override.",IF(AH19="BET",IF(AJ19=0,"Edge found but stake rounds under £"&amp;Method!$B$9&amp;" — skip","Value found: EV "&amp;TEXT(AF19,"0.0%")&amp;", edge "&amp;TEXT(AG19,"0.0%")),IF(AF19&lt;Method!$B$7,"Price too short — EV "&amp;TEXT(AF19,"0.0%")&amp;" (need "&amp;TEXT(Method!$B$7,"0.0%")&amp;"+)","Model ≈ market — edge "&amp;TEXT(AG19,"0.0%")&amp;" (need "&amp;TEXT(Method!$B$8,"0.0%")&amp;"+)"))))</f>
        <v>🛑 PAUSED — drawdown 0.6% ≥ 15.0%. Set Method!B54=Y to override.</v>
      </c>
      <c r="AU19" s="26" t="str">
        <f t="shared" si="17"/>
        <v/>
      </c>
      <c r="AV19" s="25" t="str">
        <f>IF(Matchday!O21="","",Matchday!O21)</f>
        <v/>
      </c>
      <c r="AW19" s="68"/>
      <c r="AX19" s="68"/>
      <c r="AY19" s="68"/>
      <c r="AZ19" s="68" t="str">
        <f t="shared" si="18"/>
        <v>PASS</v>
      </c>
      <c r="BA19" s="69">
        <f>IF(AX19&lt;&gt;"",AX19,IF(AH19&lt;&gt;"BET",0,IF(AI19*Method!$B$10/100&lt;Method!$B$9,0,ROUND(AI19*Method!$B$10/100,0))))</f>
        <v>0</v>
      </c>
      <c r="BB19" s="70">
        <v>0.0</v>
      </c>
      <c r="BC19" s="70">
        <v>0.12924913998164608</v>
      </c>
      <c r="BD19" s="70">
        <v>0.2828903482314021</v>
      </c>
      <c r="BE19" s="70">
        <v>0.5636780888866711</v>
      </c>
      <c r="BG19" s="70">
        <v>40.0</v>
      </c>
      <c r="BH19" s="71" t="s">
        <v>214</v>
      </c>
      <c r="BI19" s="70">
        <v>0.0</v>
      </c>
    </row>
    <row r="20" ht="15.0" customHeight="1">
      <c r="A20" s="25">
        <v>19.0</v>
      </c>
      <c r="B20" s="55">
        <v>46189.0</v>
      </c>
      <c r="C20" s="25" t="s">
        <v>260</v>
      </c>
      <c r="D20" s="56" t="s">
        <v>261</v>
      </c>
      <c r="E20" s="56" t="s">
        <v>262</v>
      </c>
      <c r="F20" s="56" t="s">
        <v>263</v>
      </c>
      <c r="G20" s="25" t="s">
        <v>177</v>
      </c>
      <c r="H20" s="25" t="s">
        <v>198</v>
      </c>
      <c r="I20" s="57">
        <v>0.6500539946432984</v>
      </c>
      <c r="J20" s="57">
        <v>0.2262316185062908</v>
      </c>
      <c r="K20" s="57">
        <v>0.12371438685041085</v>
      </c>
      <c r="L20" s="58">
        <f>IF(Matchday!E22="","",Matchday!E22)</f>
        <v>0.4</v>
      </c>
      <c r="M20" s="58">
        <f>IF(Matchday!F22="","",Matchday!F22)</f>
        <v>3.333333333</v>
      </c>
      <c r="N20" s="58">
        <f>IF(Matchday!G22="","",Matchday!G22)</f>
        <v>7.5</v>
      </c>
      <c r="O20" s="59">
        <f t="shared" ref="O20:Q20" si="51">IF(L20="","",1/L20)</f>
        <v>2.5</v>
      </c>
      <c r="P20" s="59">
        <f t="shared" si="51"/>
        <v>0.3</v>
      </c>
      <c r="Q20" s="59">
        <f t="shared" si="51"/>
        <v>0.1333333333</v>
      </c>
      <c r="R20" s="59">
        <f t="shared" si="4"/>
        <v>2.933333333</v>
      </c>
      <c r="S20" s="59">
        <f t="array" ref="S20">IF($R20="","",IF(Method!$B$56="proportional",O20/$R20,IF(Method!$B$56="power",IFERROR(INDEX(power_devig($L20,$M20,$N20),1,1),O20/$R20),IFERROR(INDEX(shin($L20,$M20,$N20),1,1),O20/$R20))))</f>
        <v>0.8522727273</v>
      </c>
      <c r="T20" s="59">
        <f t="array" ref="T20">IF($R20="","",IF(Method!$B$56="proportional",P20/$R20,IF(Method!$B$56="power",IFERROR(INDEX(power_devig($L20,$M20,$N20),2,1),P20/$R20),IFERROR(INDEX(shin($L20,$M20,$N20),2,1),P20/$R20))))</f>
        <v>0.1022727273</v>
      </c>
      <c r="U20" s="59">
        <f t="array" ref="U20">IF($R20="","",IF(Method!$B$56="proportional",Q20/$R20,IF(Method!$B$56="power",IFERROR(INDEX(power_devig($L20,$M20,$N20),3,1),Q20/$R20),IFERROR(INDEX(shin($L20,$M20,$N20),3,1),Q20/$R20))))</f>
        <v>0.04545454545</v>
      </c>
      <c r="V20" s="59">
        <f>IF(S20="","",Method!$B$4*I20+(1-Method!$B$4)*S20/($S20+$T20+$U20))</f>
        <v>0.7814961709</v>
      </c>
      <c r="W20" s="59">
        <f>IF(T20="","",Method!$B$4*J20+(1-Method!$B$4)*T20/($S20+$T20+$U20))</f>
        <v>0.1456583392</v>
      </c>
      <c r="X20" s="59">
        <f>IF(U20="","",Method!$B$4*K20+(1-Method!$B$4)*U20/($S20+$T20+$U20))</f>
        <v>0.07284548994</v>
      </c>
      <c r="Y20" s="60">
        <f t="shared" ref="Y20:AA20" si="52">IF(V20="","",V20*L20-1)</f>
        <v>-0.6874015317</v>
      </c>
      <c r="Z20" s="60">
        <f t="shared" si="52"/>
        <v>-0.5144722027</v>
      </c>
      <c r="AA20" s="60">
        <f t="shared" si="52"/>
        <v>-0.4536588254</v>
      </c>
      <c r="AB20" s="56">
        <f t="shared" si="6"/>
        <v>3</v>
      </c>
      <c r="AC20" s="56" t="str">
        <f t="shared" si="7"/>
        <v>A</v>
      </c>
      <c r="AD20" s="61" t="str">
        <f t="shared" si="8"/>
        <v>2  Algeria</v>
      </c>
      <c r="AE20" s="28">
        <f t="shared" si="9"/>
        <v>7.5</v>
      </c>
      <c r="AF20" s="60">
        <f t="shared" si="10"/>
        <v>-0.4536588254</v>
      </c>
      <c r="AG20" s="60">
        <f t="shared" si="11"/>
        <v>0.02739094449</v>
      </c>
      <c r="AH20" s="62" t="str">
        <f>IF(AB20="","· enter odds",IF(AND(AF20&gt;=Method!$B$7,AG20&gt;=Method!$B$8),"BET","PASS"))</f>
        <v>PASS</v>
      </c>
      <c r="AI20" s="63">
        <f>IF(AH20&lt;&gt;"BET",0,ROUND(MIN(Method!$B$6,Method!$B$5*AL20)*100,1))</f>
        <v>0</v>
      </c>
      <c r="AJ20" s="64">
        <f>IF(OR(AH20&lt;&gt;"BET",Method!$B$55=TRUE()),0,IF(AI20*Method!$B$10/100&lt;Method!$B$9,0,ROUND(AI20*Method!$B$10/100,0)))</f>
        <v>0</v>
      </c>
      <c r="AK20" s="59">
        <f t="shared" si="12"/>
        <v>0.07284548994</v>
      </c>
      <c r="AL20" s="59" t="str">
        <f t="shared" si="13"/>
        <v/>
      </c>
      <c r="AM20" s="56" t="str">
        <f t="shared" si="14"/>
        <v/>
      </c>
      <c r="AN20" s="65" t="str">
        <f>IF(Matchday!N22="","",Matchday!N22)</f>
        <v/>
      </c>
      <c r="AO20" s="58" t="str">
        <f>IF(Matchday!P22="","",Matchday!P22)</f>
        <v/>
      </c>
      <c r="AP20" s="66" t="str">
        <f>IF(Matchday!Q22="","",Matchday!Q22)</f>
        <v/>
      </c>
      <c r="AQ20" s="65" t="str">
        <f>IF(Matchday!R22="","",Matchday!R22)</f>
        <v/>
      </c>
      <c r="AR20" s="67" t="str">
        <f t="shared" si="15"/>
        <v/>
      </c>
      <c r="AS20" s="67" t="str">
        <f t="shared" si="16"/>
        <v/>
      </c>
      <c r="AT20" s="26" t="str">
        <f>IF(AB20="","Type the 3 odds on the Matchday tab",IF(Method!$B$55=TRUE(),"🛑 PAUSED — drawdown "&amp;TEXT(Method!$B$51,"0.0%")&amp;" ≥ "&amp;TEXT(Method!$B$52,"0.0%")&amp;". Set Method!B54=Y to override.",IF(AH20="BET",IF(AJ20=0,"Edge found but stake rounds under £"&amp;Method!$B$9&amp;" — skip","Value found: EV "&amp;TEXT(AF20,"0.0%")&amp;", edge "&amp;TEXT(AG20,"0.0%")),IF(AF20&lt;Method!$B$7,"Price too short — EV "&amp;TEXT(AF20,"0.0%")&amp;" (need "&amp;TEXT(Method!$B$7,"0.0%")&amp;"+)","Model ≈ market — edge "&amp;TEXT(AG20,"0.0%")&amp;" (need "&amp;TEXT(Method!$B$8,"0.0%")&amp;"+)"))))</f>
        <v>🛑 PAUSED — drawdown 0.6% ≥ 15.0%. Set Method!B54=Y to override.</v>
      </c>
      <c r="AU20" s="26" t="str">
        <f t="shared" si="17"/>
        <v/>
      </c>
      <c r="AV20" s="25" t="str">
        <f>IF(Matchday!O22="","",Matchday!O22)</f>
        <v/>
      </c>
      <c r="AW20" s="68"/>
      <c r="AX20" s="68"/>
      <c r="AY20" s="68"/>
      <c r="AZ20" s="68" t="str">
        <f t="shared" si="18"/>
        <v>PASS</v>
      </c>
      <c r="BA20" s="69">
        <f>IF(AX20&lt;&gt;"",AX20,IF(AH20&lt;&gt;"BET",0,IF(AI20*Method!$B$10/100&lt;Method!$B$9,0,ROUND(AI20*Method!$B$10/100,0))))</f>
        <v>0</v>
      </c>
      <c r="BB20" s="70">
        <v>0.0</v>
      </c>
      <c r="BC20" s="70">
        <v>0.5969258188565514</v>
      </c>
      <c r="BD20" s="70">
        <v>0.24914252569890022</v>
      </c>
      <c r="BE20" s="70">
        <v>0.12746233131623977</v>
      </c>
      <c r="BG20" s="70">
        <v>270.0</v>
      </c>
      <c r="BH20" s="71" t="s">
        <v>264</v>
      </c>
      <c r="BI20" s="70">
        <v>0.0</v>
      </c>
    </row>
    <row r="21" ht="15.0" customHeight="1">
      <c r="A21" s="25">
        <v>20.0</v>
      </c>
      <c r="B21" s="55">
        <v>46189.0</v>
      </c>
      <c r="C21" s="25" t="s">
        <v>260</v>
      </c>
      <c r="D21" s="56" t="s">
        <v>265</v>
      </c>
      <c r="E21" s="56" t="s">
        <v>266</v>
      </c>
      <c r="F21" s="56" t="s">
        <v>202</v>
      </c>
      <c r="G21" s="25" t="s">
        <v>213</v>
      </c>
      <c r="H21" s="25" t="s">
        <v>218</v>
      </c>
      <c r="I21" s="57">
        <v>0.43202009380582174</v>
      </c>
      <c r="J21" s="57">
        <v>0.3026402106088187</v>
      </c>
      <c r="K21" s="57">
        <v>0.2653396955853596</v>
      </c>
      <c r="L21" s="58">
        <f>IF(Matchday!E23="","",Matchday!E23)</f>
        <v>0.3636363636</v>
      </c>
      <c r="M21" s="58">
        <f>IF(Matchday!F23="","",Matchday!F23)</f>
        <v>3.6</v>
      </c>
      <c r="N21" s="58">
        <f>IF(Matchday!G23="","",Matchday!G23)</f>
        <v>8</v>
      </c>
      <c r="O21" s="59">
        <f t="shared" ref="O21:Q21" si="53">IF(L21="","",1/L21)</f>
        <v>2.75</v>
      </c>
      <c r="P21" s="59">
        <f t="shared" si="53"/>
        <v>0.2777777778</v>
      </c>
      <c r="Q21" s="59">
        <f t="shared" si="53"/>
        <v>0.125</v>
      </c>
      <c r="R21" s="59">
        <f t="shared" si="4"/>
        <v>3.152777778</v>
      </c>
      <c r="S21" s="59">
        <f t="array" ref="S21">IF($R21="","",IF(Method!$B$56="proportional",O21/$R21,IF(Method!$B$56="power",IFERROR(INDEX(power_devig($L21,$M21,$N21),1,1),O21/$R21),IFERROR(INDEX(shin($L21,$M21,$N21),1,1),O21/$R21))))</f>
        <v>0.872246696</v>
      </c>
      <c r="T21" s="59">
        <f t="array" ref="T21">IF($R21="","",IF(Method!$B$56="proportional",P21/$R21,IF(Method!$B$56="power",IFERROR(INDEX(power_devig($L21,$M21,$N21),2,1),P21/$R21),IFERROR(INDEX(shin($L21,$M21,$N21),2,1),P21/$R21))))</f>
        <v>0.08810572687</v>
      </c>
      <c r="U21" s="59">
        <f t="array" ref="U21">IF($R21="","",IF(Method!$B$56="proportional",Q21/$R21,IF(Method!$B$56="power",IFERROR(INDEX(power_devig($L21,$M21,$N21),3,1),Q21/$R21),IFERROR(INDEX(shin($L21,$M21,$N21),3,1),Q21/$R21))))</f>
        <v>0.03964757709</v>
      </c>
      <c r="V21" s="59">
        <f>IF(S21="","",Method!$B$4*I21+(1-Method!$B$4)*S21/($S21+$T21+$U21))</f>
        <v>0.7181673853</v>
      </c>
      <c r="W21" s="59">
        <f>IF(T21="","",Method!$B$4*J21+(1-Method!$B$4)*T21/($S21+$T21+$U21))</f>
        <v>0.1631927962</v>
      </c>
      <c r="X21" s="59">
        <f>IF(U21="","",Method!$B$4*K21+(1-Method!$B$4)*U21/($S21+$T21+$U21))</f>
        <v>0.1186398186</v>
      </c>
      <c r="Y21" s="60">
        <f t="shared" ref="Y21:AA21" si="54">IF(V21="","",V21*L21-1)</f>
        <v>-0.7388482235</v>
      </c>
      <c r="Z21" s="60">
        <f t="shared" si="54"/>
        <v>-0.4125059338</v>
      </c>
      <c r="AA21" s="60">
        <f t="shared" si="54"/>
        <v>-0.05088145148</v>
      </c>
      <c r="AB21" s="56">
        <f t="shared" si="6"/>
        <v>3</v>
      </c>
      <c r="AC21" s="56" t="str">
        <f t="shared" si="7"/>
        <v>A</v>
      </c>
      <c r="AD21" s="61" t="str">
        <f t="shared" si="8"/>
        <v>2  Jordan</v>
      </c>
      <c r="AE21" s="28">
        <f t="shared" si="9"/>
        <v>8</v>
      </c>
      <c r="AF21" s="60">
        <f t="shared" si="10"/>
        <v>-0.05088145148</v>
      </c>
      <c r="AG21" s="60">
        <f t="shared" si="11"/>
        <v>0.07899224147</v>
      </c>
      <c r="AH21" s="62" t="str">
        <f>IF(AB21="","· enter odds",IF(AND(AF21&gt;=Method!$B$7,AG21&gt;=Method!$B$8),"BET","PASS"))</f>
        <v>PASS</v>
      </c>
      <c r="AI21" s="63">
        <f>IF(AH21&lt;&gt;"BET",0,ROUND(MIN(Method!$B$6,Method!$B$5*AL21)*100,1))</f>
        <v>0</v>
      </c>
      <c r="AJ21" s="64">
        <f>IF(OR(AH21&lt;&gt;"BET",Method!$B$55=TRUE()),0,IF(AI21*Method!$B$10/100&lt;Method!$B$9,0,ROUND(AI21*Method!$B$10/100,0)))</f>
        <v>0</v>
      </c>
      <c r="AK21" s="59">
        <f t="shared" si="12"/>
        <v>0.1186398186</v>
      </c>
      <c r="AL21" s="59" t="str">
        <f t="shared" si="13"/>
        <v/>
      </c>
      <c r="AM21" s="56" t="str">
        <f t="shared" si="14"/>
        <v/>
      </c>
      <c r="AN21" s="65" t="str">
        <f>IF(Matchday!N23="","",Matchday!N23)</f>
        <v/>
      </c>
      <c r="AO21" s="58" t="str">
        <f>IF(Matchday!P23="","",Matchday!P23)</f>
        <v/>
      </c>
      <c r="AP21" s="66" t="str">
        <f>IF(Matchday!Q23="","",Matchday!Q23)</f>
        <v/>
      </c>
      <c r="AQ21" s="65" t="str">
        <f>IF(Matchday!R23="","",Matchday!R23)</f>
        <v/>
      </c>
      <c r="AR21" s="67" t="str">
        <f t="shared" si="15"/>
        <v/>
      </c>
      <c r="AS21" s="67" t="str">
        <f t="shared" si="16"/>
        <v/>
      </c>
      <c r="AT21" s="26" t="str">
        <f>IF(AB21="","Type the 3 odds on the Matchday tab",IF(Method!$B$55=TRUE(),"🛑 PAUSED — drawdown "&amp;TEXT(Method!$B$51,"0.0%")&amp;" ≥ "&amp;TEXT(Method!$B$52,"0.0%")&amp;". Set Method!B54=Y to override.",IF(AH21="BET",IF(AJ21=0,"Edge found but stake rounds under £"&amp;Method!$B$9&amp;" — skip","Value found: EV "&amp;TEXT(AF21,"0.0%")&amp;", edge "&amp;TEXT(AG21,"0.0%")),IF(AF21&lt;Method!$B$7,"Price too short — EV "&amp;TEXT(AF21,"0.0%")&amp;" (need "&amp;TEXT(Method!$B$7,"0.0%")&amp;"+)","Model ≈ market — edge "&amp;TEXT(AG21,"0.0%")&amp;" (need "&amp;TEXT(Method!$B$8,"0.0%")&amp;"+)"))))</f>
        <v>🛑 PAUSED — drawdown 0.6% ≥ 15.0%. Set Method!B54=Y to override.</v>
      </c>
      <c r="AU21" s="26" t="str">
        <f t="shared" si="17"/>
        <v/>
      </c>
      <c r="AV21" s="25" t="str">
        <f>IF(Matchday!O23="","",Matchday!O23)</f>
        <v/>
      </c>
      <c r="AW21" s="68"/>
      <c r="AX21" s="68"/>
      <c r="AY21" s="68"/>
      <c r="AZ21" s="68" t="str">
        <f t="shared" si="18"/>
        <v>PASS</v>
      </c>
      <c r="BA21" s="69">
        <f>IF(AX21&lt;&gt;"",AX21,IF(AH21&lt;&gt;"BET",0,IF(AI21*Method!$B$10/100&lt;Method!$B$9,0,ROUND(AI21*Method!$B$10/100,0))))</f>
        <v>0</v>
      </c>
      <c r="BB21" s="70">
        <v>0.0</v>
      </c>
      <c r="BC21" s="70">
        <v>0.4170203907087432</v>
      </c>
      <c r="BD21" s="70">
        <v>0.29465912219682716</v>
      </c>
      <c r="BE21" s="70">
        <v>0.2703473835438467</v>
      </c>
      <c r="BG21" s="70">
        <v>8.0</v>
      </c>
      <c r="BH21" s="71" t="s">
        <v>204</v>
      </c>
      <c r="BI21" s="70">
        <v>0.0</v>
      </c>
    </row>
    <row r="22" ht="15.0" customHeight="1">
      <c r="A22" s="25">
        <v>21.0</v>
      </c>
      <c r="B22" s="55">
        <v>46190.0</v>
      </c>
      <c r="C22" s="25" t="s">
        <v>267</v>
      </c>
      <c r="D22" s="56" t="s">
        <v>268</v>
      </c>
      <c r="E22" s="56" t="s">
        <v>269</v>
      </c>
      <c r="F22" s="56" t="s">
        <v>223</v>
      </c>
      <c r="G22" s="25" t="s">
        <v>203</v>
      </c>
      <c r="H22" s="25" t="s">
        <v>197</v>
      </c>
      <c r="I22" s="57">
        <v>0.6319863594791368</v>
      </c>
      <c r="J22" s="57">
        <v>0.23925898590849493</v>
      </c>
      <c r="K22" s="57">
        <v>0.12875465461236835</v>
      </c>
      <c r="L22" s="58">
        <f>IF(Matchday!E24="","",Matchday!E24)</f>
        <v>0.2857142857</v>
      </c>
      <c r="M22" s="58">
        <f>IF(Matchday!F24="","",Matchday!F24)</f>
        <v>4.5</v>
      </c>
      <c r="N22" s="58">
        <f>IF(Matchday!G24="","",Matchday!G24)</f>
        <v>10</v>
      </c>
      <c r="O22" s="59">
        <f t="shared" ref="O22:Q22" si="55">IF(L22="","",1/L22)</f>
        <v>3.5</v>
      </c>
      <c r="P22" s="59">
        <f t="shared" si="55"/>
        <v>0.2222222222</v>
      </c>
      <c r="Q22" s="59">
        <f t="shared" si="55"/>
        <v>0.1</v>
      </c>
      <c r="R22" s="59">
        <f t="shared" si="4"/>
        <v>3.822222222</v>
      </c>
      <c r="S22" s="59">
        <f t="array" ref="S22">IF($R22="","",IF(Method!$B$56="proportional",O22/$R22,IF(Method!$B$56="power",IFERROR(INDEX(power_devig($L22,$M22,$N22),1,1),O22/$R22),IFERROR(INDEX(shin($L22,$M22,$N22),1,1),O22/$R22))))</f>
        <v>0.9156976744</v>
      </c>
      <c r="T22" s="59">
        <f t="array" ref="T22">IF($R22="","",IF(Method!$B$56="proportional",P22/$R22,IF(Method!$B$56="power",IFERROR(INDEX(power_devig($L22,$M22,$N22),2,1),P22/$R22),IFERROR(INDEX(shin($L22,$M22,$N22),2,1),P22/$R22))))</f>
        <v>0.05813953488</v>
      </c>
      <c r="U22" s="59">
        <f t="array" ref="U22">IF($R22="","",IF(Method!$B$56="proportional",Q22/$R22,IF(Method!$B$56="power",IFERROR(INDEX(power_devig($L22,$M22,$N22),3,1),Q22/$R22),IFERROR(INDEX(shin($L22,$M22,$N22),3,1),Q22/$R22))))</f>
        <v>0.0261627907</v>
      </c>
      <c r="V22" s="59">
        <f>IF(S22="","",Method!$B$4*I22+(1-Method!$B$4)*S22/($S22+$T22+$U22))</f>
        <v>0.8163987142</v>
      </c>
      <c r="W22" s="59">
        <f>IF(T22="","",Method!$B$4*J22+(1-Method!$B$4)*T22/($S22+$T22+$U22))</f>
        <v>0.1215313427</v>
      </c>
      <c r="X22" s="59">
        <f>IF(U22="","",Method!$B$4*K22+(1-Method!$B$4)*U22/($S22+$T22+$U22))</f>
        <v>0.06206994307</v>
      </c>
      <c r="Y22" s="60">
        <f t="shared" ref="Y22:AA22" si="56">IF(V22="","",V22*L22-1)</f>
        <v>-0.7667432245</v>
      </c>
      <c r="Z22" s="60">
        <f t="shared" si="56"/>
        <v>-0.4531089577</v>
      </c>
      <c r="AA22" s="60">
        <f t="shared" si="56"/>
        <v>-0.3793005693</v>
      </c>
      <c r="AB22" s="56">
        <f t="shared" si="6"/>
        <v>3</v>
      </c>
      <c r="AC22" s="56" t="str">
        <f t="shared" si="7"/>
        <v>A</v>
      </c>
      <c r="AD22" s="61" t="str">
        <f t="shared" si="8"/>
        <v>2  DR Congo</v>
      </c>
      <c r="AE22" s="28">
        <f t="shared" si="9"/>
        <v>10</v>
      </c>
      <c r="AF22" s="60">
        <f t="shared" si="10"/>
        <v>-0.3793005693</v>
      </c>
      <c r="AG22" s="60">
        <f t="shared" si="11"/>
        <v>0.03590715237</v>
      </c>
      <c r="AH22" s="62" t="str">
        <f>IF(AB22="","· enter odds",IF(AND(AF22&gt;=Method!$B$7,AG22&gt;=Method!$B$8),"BET","PASS"))</f>
        <v>PASS</v>
      </c>
      <c r="AI22" s="63">
        <f>IF(AH22&lt;&gt;"BET",0,ROUND(MIN(Method!$B$6,Method!$B$5*AL22)*100,1))</f>
        <v>0</v>
      </c>
      <c r="AJ22" s="64">
        <f>IF(OR(AH22&lt;&gt;"BET",Method!$B$55=TRUE()),0,IF(AI22*Method!$B$10/100&lt;Method!$B$9,0,ROUND(AI22*Method!$B$10/100,0)))</f>
        <v>0</v>
      </c>
      <c r="AK22" s="59">
        <f t="shared" si="12"/>
        <v>0.06206994307</v>
      </c>
      <c r="AL22" s="59" t="str">
        <f t="shared" si="13"/>
        <v/>
      </c>
      <c r="AM22" s="56" t="str">
        <f t="shared" si="14"/>
        <v/>
      </c>
      <c r="AN22" s="65" t="str">
        <f>IF(Matchday!N24="","",Matchday!N24)</f>
        <v/>
      </c>
      <c r="AO22" s="58" t="str">
        <f>IF(Matchday!P24="","",Matchday!P24)</f>
        <v/>
      </c>
      <c r="AP22" s="66" t="str">
        <f>IF(Matchday!Q24="","",Matchday!Q24)</f>
        <v/>
      </c>
      <c r="AQ22" s="65" t="str">
        <f>IF(Matchday!R24="","",Matchday!R24)</f>
        <v/>
      </c>
      <c r="AR22" s="67" t="str">
        <f t="shared" si="15"/>
        <v/>
      </c>
      <c r="AS22" s="67" t="str">
        <f t="shared" si="16"/>
        <v/>
      </c>
      <c r="AT22" s="26" t="str">
        <f>IF(AB22="","Type the 3 odds on the Matchday tab",IF(Method!$B$55=TRUE(),"🛑 PAUSED — drawdown "&amp;TEXT(Method!$B$51,"0.0%")&amp;" ≥ "&amp;TEXT(Method!$B$52,"0.0%")&amp;". Set Method!B54=Y to override.",IF(AH22="BET",IF(AJ22=0,"Edge found but stake rounds under £"&amp;Method!$B$9&amp;" — skip","Value found: EV "&amp;TEXT(AF22,"0.0%")&amp;", edge "&amp;TEXT(AG22,"0.0%")),IF(AF22&lt;Method!$B$7,"Price too short — EV "&amp;TEXT(AF22,"0.0%")&amp;" (need "&amp;TEXT(Method!$B$7,"0.0%")&amp;"+)","Model ≈ market — edge "&amp;TEXT(AG22,"0.0%")&amp;" (need "&amp;TEXT(Method!$B$8,"0.0%")&amp;"+)"))))</f>
        <v>🛑 PAUSED — drawdown 0.6% ≥ 15.0%. Set Method!B54=Y to override.</v>
      </c>
      <c r="AU22" s="26" t="str">
        <f t="shared" si="17"/>
        <v/>
      </c>
      <c r="AV22" s="25" t="str">
        <f>IF(Matchday!O24="","",Matchday!O24)</f>
        <v/>
      </c>
      <c r="AW22" s="68"/>
      <c r="AX22" s="68"/>
      <c r="AY22" s="68"/>
      <c r="AZ22" s="68" t="str">
        <f t="shared" si="18"/>
        <v>PASS</v>
      </c>
      <c r="BA22" s="69">
        <f>IF(AX22&lt;&gt;"",AX22,IF(AH22&lt;&gt;"BET",0,IF(AI22*Method!$B$10/100&lt;Method!$B$9,0,ROUND(AI22*Method!$B$10/100,0))))</f>
        <v>0</v>
      </c>
      <c r="BB22" s="70">
        <v>-8.0</v>
      </c>
      <c r="BC22" s="70">
        <v>0.5850668091164943</v>
      </c>
      <c r="BD22" s="70">
        <v>0.2617543697337213</v>
      </c>
      <c r="BE22" s="70">
        <v>0.13287409132348932</v>
      </c>
      <c r="BF22" s="71" t="s">
        <v>270</v>
      </c>
      <c r="BG22" s="70">
        <v>15.0</v>
      </c>
      <c r="BH22" s="71" t="s">
        <v>224</v>
      </c>
      <c r="BI22" s="70">
        <v>0.0</v>
      </c>
    </row>
    <row r="23" ht="15.0" customHeight="1">
      <c r="A23" s="25">
        <v>22.0</v>
      </c>
      <c r="B23" s="55">
        <v>46190.0</v>
      </c>
      <c r="C23" s="25" t="s">
        <v>271</v>
      </c>
      <c r="D23" s="56" t="s">
        <v>272</v>
      </c>
      <c r="E23" s="56" t="s">
        <v>273</v>
      </c>
      <c r="F23" s="56" t="s">
        <v>228</v>
      </c>
      <c r="G23" s="25" t="s">
        <v>191</v>
      </c>
      <c r="H23" s="25" t="s">
        <v>213</v>
      </c>
      <c r="I23" s="57">
        <v>0.4218747849209627</v>
      </c>
      <c r="J23" s="57">
        <v>0.29126656403025447</v>
      </c>
      <c r="K23" s="57">
        <v>0.2868586510487827</v>
      </c>
      <c r="L23" s="58">
        <f>IF(Matchday!E25="","",Matchday!E25)</f>
        <v>0.7272727273</v>
      </c>
      <c r="M23" s="58">
        <f>IF(Matchday!F25="","",Matchday!F25)</f>
        <v>2.6</v>
      </c>
      <c r="N23" s="58">
        <f>IF(Matchday!G25="","",Matchday!G25)</f>
        <v>4</v>
      </c>
      <c r="O23" s="59">
        <f t="shared" ref="O23:Q23" si="57">IF(L23="","",1/L23)</f>
        <v>1.375</v>
      </c>
      <c r="P23" s="59">
        <f t="shared" si="57"/>
        <v>0.3846153846</v>
      </c>
      <c r="Q23" s="59">
        <f t="shared" si="57"/>
        <v>0.25</v>
      </c>
      <c r="R23" s="59">
        <f t="shared" si="4"/>
        <v>2.009615385</v>
      </c>
      <c r="S23" s="59">
        <f t="array" ref="S23">IF($R23="","",IF(Method!$B$56="proportional",O23/$R23,IF(Method!$B$56="power",IFERROR(INDEX(power_devig($L23,$M23,$N23),1,1),O23/$R23),IFERROR(INDEX(shin($L23,$M23,$N23),1,1),O23/$R23))))</f>
        <v>0.6842105263</v>
      </c>
      <c r="T23" s="59">
        <f t="array" ref="T23">IF($R23="","",IF(Method!$B$56="proportional",P23/$R23,IF(Method!$B$56="power",IFERROR(INDEX(power_devig($L23,$M23,$N23),2,1),P23/$R23),IFERROR(INDEX(shin($L23,$M23,$N23),2,1),P23/$R23))))</f>
        <v>0.1913875598</v>
      </c>
      <c r="U23" s="59">
        <f t="array" ref="U23">IF($R23="","",IF(Method!$B$56="proportional",Q23/$R23,IF(Method!$B$56="power",IFERROR(INDEX(power_devig($L23,$M23,$N23),3,1),Q23/$R23),IFERROR(INDEX(shin($L23,$M23,$N23),3,1),Q23/$R23))))</f>
        <v>0.1244019139</v>
      </c>
      <c r="V23" s="59">
        <f>IF(S23="","",Method!$B$4*I23+(1-Method!$B$4)*S23/($S23+$T23+$U23))</f>
        <v>0.5923930168</v>
      </c>
      <c r="W23" s="59">
        <f>IF(T23="","",Method!$B$4*J23+(1-Method!$B$4)*T23/($S23+$T23+$U23))</f>
        <v>0.2263452113</v>
      </c>
      <c r="X23" s="59">
        <f>IF(U23="","",Method!$B$4*K23+(1-Method!$B$4)*U23/($S23+$T23+$U23))</f>
        <v>0.1812617719</v>
      </c>
      <c r="Y23" s="60">
        <f t="shared" ref="Y23:AA23" si="58">IF(V23="","",V23*L23-1)</f>
        <v>-0.569168715</v>
      </c>
      <c r="Z23" s="60">
        <f t="shared" si="58"/>
        <v>-0.4115024507</v>
      </c>
      <c r="AA23" s="60">
        <f t="shared" si="58"/>
        <v>-0.2749529125</v>
      </c>
      <c r="AB23" s="56">
        <f t="shared" si="6"/>
        <v>3</v>
      </c>
      <c r="AC23" s="56" t="str">
        <f t="shared" si="7"/>
        <v>A</v>
      </c>
      <c r="AD23" s="61" t="str">
        <f t="shared" si="8"/>
        <v>2  Croatia</v>
      </c>
      <c r="AE23" s="28">
        <f t="shared" si="9"/>
        <v>4</v>
      </c>
      <c r="AF23" s="60">
        <f t="shared" si="10"/>
        <v>-0.2749529125</v>
      </c>
      <c r="AG23" s="60">
        <f t="shared" si="11"/>
        <v>0.05685985801</v>
      </c>
      <c r="AH23" s="62" t="str">
        <f>IF(AB23="","· enter odds",IF(AND(AF23&gt;=Method!$B$7,AG23&gt;=Method!$B$8),"BET","PASS"))</f>
        <v>PASS</v>
      </c>
      <c r="AI23" s="63">
        <f>IF(AH23&lt;&gt;"BET",0,ROUND(MIN(Method!$B$6,Method!$B$5*AL23)*100,1))</f>
        <v>0</v>
      </c>
      <c r="AJ23" s="64">
        <f>IF(OR(AH23&lt;&gt;"BET",Method!$B$55=TRUE()),0,IF(AI23*Method!$B$10/100&lt;Method!$B$9,0,ROUND(AI23*Method!$B$10/100,0)))</f>
        <v>0</v>
      </c>
      <c r="AK23" s="59">
        <f t="shared" si="12"/>
        <v>0.1812617719</v>
      </c>
      <c r="AL23" s="59" t="str">
        <f t="shared" si="13"/>
        <v/>
      </c>
      <c r="AM23" s="56" t="str">
        <f t="shared" si="14"/>
        <v/>
      </c>
      <c r="AN23" s="65" t="str">
        <f>IF(Matchday!N25="","",Matchday!N25)</f>
        <v/>
      </c>
      <c r="AO23" s="58" t="str">
        <f>IF(Matchday!P25="","",Matchday!P25)</f>
        <v/>
      </c>
      <c r="AP23" s="66" t="str">
        <f>IF(Matchday!Q25="","",Matchday!Q25)</f>
        <v/>
      </c>
      <c r="AQ23" s="65" t="str">
        <f>IF(Matchday!R25="","",Matchday!R25)</f>
        <v/>
      </c>
      <c r="AR23" s="67" t="str">
        <f t="shared" si="15"/>
        <v/>
      </c>
      <c r="AS23" s="67" t="str">
        <f t="shared" si="16"/>
        <v/>
      </c>
      <c r="AT23" s="26" t="str">
        <f>IF(AB23="","Type the 3 odds on the Matchday tab",IF(Method!$B$55=TRUE(),"🛑 PAUSED — drawdown "&amp;TEXT(Method!$B$51,"0.0%")&amp;" ≥ "&amp;TEXT(Method!$B$52,"0.0%")&amp;". Set Method!B54=Y to override.",IF(AH23="BET",IF(AJ23=0,"Edge found but stake rounds under £"&amp;Method!$B$9&amp;" — skip","Value found: EV "&amp;TEXT(AF23,"0.0%")&amp;", edge "&amp;TEXT(AG23,"0.0%")),IF(AF23&lt;Method!$B$7,"Price too short — EV "&amp;TEXT(AF23,"0.0%")&amp;" (need "&amp;TEXT(Method!$B$7,"0.0%")&amp;"+)","Model ≈ market — edge "&amp;TEXT(AG23,"0.0%")&amp;" (need "&amp;TEXT(Method!$B$8,"0.0%")&amp;"+)"))))</f>
        <v>🛑 PAUSED — drawdown 0.6% ≥ 15.0%. Set Method!B54=Y to override.</v>
      </c>
      <c r="AU23" s="26" t="str">
        <f t="shared" si="17"/>
        <v/>
      </c>
      <c r="AV23" s="25" t="str">
        <f>IF(Matchday!O25="","",Matchday!O25)</f>
        <v/>
      </c>
      <c r="AW23" s="68"/>
      <c r="AX23" s="68"/>
      <c r="AY23" s="68"/>
      <c r="AZ23" s="68" t="str">
        <f t="shared" si="18"/>
        <v>PASS</v>
      </c>
      <c r="BA23" s="69">
        <f>IF(AX23&lt;&gt;"",AX23,IF(AH23&lt;&gt;"BET",0,IF(AI23*Method!$B$10/100&lt;Method!$B$9,0,ROUND(AI23*Method!$B$10/100,0))))</f>
        <v>0</v>
      </c>
      <c r="BB23" s="70">
        <v>-8.0</v>
      </c>
      <c r="BC23" s="70">
        <v>0.4075945657117103</v>
      </c>
      <c r="BD23" s="70">
        <v>0.29035895557985725</v>
      </c>
      <c r="BE23" s="70">
        <v>0.2935735332388506</v>
      </c>
      <c r="BF23" s="71" t="s">
        <v>274</v>
      </c>
      <c r="BG23" s="70">
        <v>175.0</v>
      </c>
      <c r="BH23" s="71" t="s">
        <v>229</v>
      </c>
      <c r="BI23" s="70">
        <v>0.0</v>
      </c>
    </row>
    <row r="24" ht="15.0" customHeight="1">
      <c r="A24" s="25">
        <v>23.0</v>
      </c>
      <c r="B24" s="55">
        <v>46190.0</v>
      </c>
      <c r="C24" s="25" t="s">
        <v>271</v>
      </c>
      <c r="D24" s="56" t="s">
        <v>275</v>
      </c>
      <c r="E24" s="56" t="s">
        <v>276</v>
      </c>
      <c r="F24" s="56" t="s">
        <v>190</v>
      </c>
      <c r="G24" s="25" t="s">
        <v>233</v>
      </c>
      <c r="H24" s="25" t="s">
        <v>234</v>
      </c>
      <c r="I24" s="57">
        <v>0.2394877412449162</v>
      </c>
      <c r="J24" s="57">
        <v>0.28162898368039757</v>
      </c>
      <c r="K24" s="57">
        <v>0.4788832750746862</v>
      </c>
      <c r="L24" s="58" t="str">
        <f>IF(Matchday!E26="","",Matchday!E26)</f>
        <v/>
      </c>
      <c r="M24" s="58" t="str">
        <f>IF(Matchday!F26="","",Matchday!F26)</f>
        <v/>
      </c>
      <c r="N24" s="58" t="str">
        <f>IF(Matchday!G26="","",Matchday!G26)</f>
        <v/>
      </c>
      <c r="O24" s="59" t="str">
        <f t="shared" ref="O24:Q24" si="59">IF(L24="","",1/L24)</f>
        <v/>
      </c>
      <c r="P24" s="59" t="str">
        <f t="shared" si="59"/>
        <v/>
      </c>
      <c r="Q24" s="59" t="str">
        <f t="shared" si="59"/>
        <v/>
      </c>
      <c r="R24" s="59" t="str">
        <f t="shared" si="4"/>
        <v/>
      </c>
      <c r="S24" s="59" t="str">
        <f t="array" ref="S24">IF($R24="","",IF(Method!$B$56="proportional",O24/$R24,IF(Method!$B$56="power",IFERROR(INDEX(power_devig($L24,$M24,$N24),1,1),O24/$R24),IFERROR(INDEX(shin($L24,$M24,$N24),1,1),O24/$R24))))</f>
        <v/>
      </c>
      <c r="T24" s="59" t="str">
        <f t="array" ref="T24">IF($R24="","",IF(Method!$B$56="proportional",P24/$R24,IF(Method!$B$56="power",IFERROR(INDEX(power_devig($L24,$M24,$N24),2,1),P24/$R24),IFERROR(INDEX(shin($L24,$M24,$N24),2,1),P24/$R24))))</f>
        <v/>
      </c>
      <c r="U24" s="59" t="str">
        <f t="array" ref="U24">IF($R24="","",IF(Method!$B$56="proportional",Q24/$R24,IF(Method!$B$56="power",IFERROR(INDEX(power_devig($L24,$M24,$N24),3,1),Q24/$R24),IFERROR(INDEX(shin($L24,$M24,$N24),3,1),Q24/$R24))))</f>
        <v/>
      </c>
      <c r="V24" s="59" t="str">
        <f>IF(S24="","",Method!$B$4*I24+(1-Method!$B$4)*S24/($S24+$T24+$U24))</f>
        <v/>
      </c>
      <c r="W24" s="59" t="str">
        <f>IF(T24="","",Method!$B$4*J24+(1-Method!$B$4)*T24/($S24+$T24+$U24))</f>
        <v/>
      </c>
      <c r="X24" s="59" t="str">
        <f>IF(U24="","",Method!$B$4*K24+(1-Method!$B$4)*U24/($S24+$T24+$U24))</f>
        <v/>
      </c>
      <c r="Y24" s="60" t="str">
        <f t="shared" ref="Y24:AA24" si="60">IF(V24="","",V24*L24-1)</f>
        <v/>
      </c>
      <c r="Z24" s="60" t="str">
        <f t="shared" si="60"/>
        <v/>
      </c>
      <c r="AA24" s="60" t="str">
        <f t="shared" si="60"/>
        <v/>
      </c>
      <c r="AB24" s="56" t="str">
        <f t="shared" si="6"/>
        <v/>
      </c>
      <c r="AC24" s="56" t="str">
        <f t="shared" si="7"/>
        <v/>
      </c>
      <c r="AD24" s="61" t="str">
        <f t="shared" si="8"/>
        <v/>
      </c>
      <c r="AE24" s="28" t="str">
        <f t="shared" si="9"/>
        <v/>
      </c>
      <c r="AF24" s="60" t="str">
        <f t="shared" si="10"/>
        <v/>
      </c>
      <c r="AG24" s="60" t="str">
        <f t="shared" si="11"/>
        <v/>
      </c>
      <c r="AH24" s="62" t="str">
        <f>IF(AB24="","· enter odds",IF(AND(AF24&gt;=Method!$B$7,AG24&gt;=Method!$B$8),"BET","PASS"))</f>
        <v>· enter odds</v>
      </c>
      <c r="AI24" s="63">
        <f>IF(AH24&lt;&gt;"BET",0,ROUND(MIN(Method!$B$6,Method!$B$5*AL24)*100,1))</f>
        <v>0</v>
      </c>
      <c r="AJ24" s="64">
        <f>IF(OR(AH24&lt;&gt;"BET",Method!$B$55=TRUE()),0,IF(AI24*Method!$B$10/100&lt;Method!$B$9,0,ROUND(AI24*Method!$B$10/100,0)))</f>
        <v>0</v>
      </c>
      <c r="AK24" s="59" t="str">
        <f t="shared" si="12"/>
        <v/>
      </c>
      <c r="AL24" s="59" t="str">
        <f t="shared" si="13"/>
        <v/>
      </c>
      <c r="AM24" s="56" t="str">
        <f t="shared" si="14"/>
        <v/>
      </c>
      <c r="AN24" s="65" t="str">
        <f>IF(Matchday!N26="","",Matchday!N26)</f>
        <v/>
      </c>
      <c r="AO24" s="58" t="str">
        <f>IF(Matchday!P26="","",Matchday!P26)</f>
        <v/>
      </c>
      <c r="AP24" s="66" t="str">
        <f>IF(Matchday!Q26="","",Matchday!Q26)</f>
        <v/>
      </c>
      <c r="AQ24" s="65" t="str">
        <f>IF(Matchday!R26="","",Matchday!R26)</f>
        <v/>
      </c>
      <c r="AR24" s="67" t="str">
        <f t="shared" si="15"/>
        <v/>
      </c>
      <c r="AS24" s="67" t="str">
        <f t="shared" si="16"/>
        <v/>
      </c>
      <c r="AT24" s="26" t="str">
        <f>IF(AB24="","Type the 3 odds on the Matchday tab",IF(Method!$B$55=TRUE(),"🛑 PAUSED — drawdown "&amp;TEXT(Method!$B$51,"0.0%")&amp;" ≥ "&amp;TEXT(Method!$B$52,"0.0%")&amp;". Set Method!B54=Y to override.",IF(AH24="BET",IF(AJ24=0,"Edge found but stake rounds under £"&amp;Method!$B$9&amp;" — skip","Value found: EV "&amp;TEXT(AF24,"0.0%")&amp;", edge "&amp;TEXT(AG24,"0.0%")),IF(AF24&lt;Method!$B$7,"Price too short — EV "&amp;TEXT(AF24,"0.0%")&amp;" (need "&amp;TEXT(Method!$B$7,"0.0%")&amp;"+)","Model ≈ market — edge "&amp;TEXT(AG24,"0.0%")&amp;" (need "&amp;TEXT(Method!$B$8,"0.0%")&amp;"+)"))))</f>
        <v>Type the 3 odds on the Matchday tab</v>
      </c>
      <c r="AU24" s="26" t="str">
        <f t="shared" si="17"/>
        <v/>
      </c>
      <c r="AV24" s="25" t="str">
        <f>IF(Matchday!O26="","",Matchday!O26)</f>
        <v/>
      </c>
      <c r="AW24" s="68"/>
      <c r="AX24" s="68"/>
      <c r="AY24" s="68"/>
      <c r="AZ24" s="68" t="str">
        <f t="shared" si="18"/>
        <v>· enter odds</v>
      </c>
      <c r="BA24" s="69">
        <f>IF(AX24&lt;&gt;"",AX24,IF(AH24&lt;&gt;"BET",0,IF(AI24*Method!$B$10/100&lt;Method!$B$9,0,ROUND(AI24*Method!$B$10/100,0))))</f>
        <v>0</v>
      </c>
      <c r="BB24" s="70">
        <v>0.0</v>
      </c>
      <c r="BC24" s="70">
        <v>0.22372862243133712</v>
      </c>
      <c r="BD24" s="70">
        <v>0.2867151636787683</v>
      </c>
      <c r="BE24" s="70">
        <v>0.471967977931026</v>
      </c>
      <c r="BG24" s="70">
        <v>76.0</v>
      </c>
      <c r="BH24" s="71" t="s">
        <v>192</v>
      </c>
      <c r="BI24" s="70">
        <v>0.0</v>
      </c>
    </row>
    <row r="25" ht="15.0" customHeight="1">
      <c r="A25" s="25">
        <v>24.0</v>
      </c>
      <c r="B25" s="55">
        <v>46190.0</v>
      </c>
      <c r="C25" s="25" t="s">
        <v>267</v>
      </c>
      <c r="D25" s="56" t="s">
        <v>277</v>
      </c>
      <c r="E25" s="56" t="s">
        <v>278</v>
      </c>
      <c r="F25" s="56" t="s">
        <v>175</v>
      </c>
      <c r="G25" s="25" t="s">
        <v>177</v>
      </c>
      <c r="H25" s="25" t="s">
        <v>183</v>
      </c>
      <c r="I25" s="57">
        <v>0.14615465225167165</v>
      </c>
      <c r="J25" s="57">
        <v>0.23925290971020566</v>
      </c>
      <c r="K25" s="57">
        <v>0.6145924380381228</v>
      </c>
      <c r="L25" s="58" t="str">
        <f>IF(Matchday!E27="","",Matchday!E27)</f>
        <v/>
      </c>
      <c r="M25" s="58" t="str">
        <f>IF(Matchday!F27="","",Matchday!F27)</f>
        <v/>
      </c>
      <c r="N25" s="58" t="str">
        <f>IF(Matchday!G27="","",Matchday!G27)</f>
        <v/>
      </c>
      <c r="O25" s="59" t="str">
        <f t="shared" ref="O25:Q25" si="61">IF(L25="","",1/L25)</f>
        <v/>
      </c>
      <c r="P25" s="59" t="str">
        <f t="shared" si="61"/>
        <v/>
      </c>
      <c r="Q25" s="59" t="str">
        <f t="shared" si="61"/>
        <v/>
      </c>
      <c r="R25" s="59" t="str">
        <f t="shared" si="4"/>
        <v/>
      </c>
      <c r="S25" s="59" t="str">
        <f t="array" ref="S25">IF($R25="","",IF(Method!$B$56="proportional",O25/$R25,IF(Method!$B$56="power",IFERROR(INDEX(power_devig($L25,$M25,$N25),1,1),O25/$R25),IFERROR(INDEX(shin($L25,$M25,$N25),1,1),O25/$R25))))</f>
        <v/>
      </c>
      <c r="T25" s="59" t="str">
        <f t="array" ref="T25">IF($R25="","",IF(Method!$B$56="proportional",P25/$R25,IF(Method!$B$56="power",IFERROR(INDEX(power_devig($L25,$M25,$N25),2,1),P25/$R25),IFERROR(INDEX(shin($L25,$M25,$N25),2,1),P25/$R25))))</f>
        <v/>
      </c>
      <c r="U25" s="59" t="str">
        <f t="array" ref="U25">IF($R25="","",IF(Method!$B$56="proportional",Q25/$R25,IF(Method!$B$56="power",IFERROR(INDEX(power_devig($L25,$M25,$N25),3,1),Q25/$R25),IFERROR(INDEX(shin($L25,$M25,$N25),3,1),Q25/$R25))))</f>
        <v/>
      </c>
      <c r="V25" s="59" t="str">
        <f>IF(S25="","",Method!$B$4*I25+(1-Method!$B$4)*S25/($S25+$T25+$U25))</f>
        <v/>
      </c>
      <c r="W25" s="59" t="str">
        <f>IF(T25="","",Method!$B$4*J25+(1-Method!$B$4)*T25/($S25+$T25+$U25))</f>
        <v/>
      </c>
      <c r="X25" s="59" t="str">
        <f>IF(U25="","",Method!$B$4*K25+(1-Method!$B$4)*U25/($S25+$T25+$U25))</f>
        <v/>
      </c>
      <c r="Y25" s="60" t="str">
        <f t="shared" ref="Y25:AA25" si="62">IF(V25="","",V25*L25-1)</f>
        <v/>
      </c>
      <c r="Z25" s="60" t="str">
        <f t="shared" si="62"/>
        <v/>
      </c>
      <c r="AA25" s="60" t="str">
        <f t="shared" si="62"/>
        <v/>
      </c>
      <c r="AB25" s="56" t="str">
        <f t="shared" si="6"/>
        <v/>
      </c>
      <c r="AC25" s="56" t="str">
        <f t="shared" si="7"/>
        <v/>
      </c>
      <c r="AD25" s="61" t="str">
        <f t="shared" si="8"/>
        <v/>
      </c>
      <c r="AE25" s="28" t="str">
        <f t="shared" si="9"/>
        <v/>
      </c>
      <c r="AF25" s="60" t="str">
        <f t="shared" si="10"/>
        <v/>
      </c>
      <c r="AG25" s="60" t="str">
        <f t="shared" si="11"/>
        <v/>
      </c>
      <c r="AH25" s="62" t="str">
        <f>IF(AB25="","· enter odds",IF(AND(AF25&gt;=Method!$B$7,AG25&gt;=Method!$B$8),"BET","PASS"))</f>
        <v>· enter odds</v>
      </c>
      <c r="AI25" s="63">
        <f>IF(AH25&lt;&gt;"BET",0,ROUND(MIN(Method!$B$6,Method!$B$5*AL25)*100,1))</f>
        <v>0</v>
      </c>
      <c r="AJ25" s="64">
        <f>IF(OR(AH25&lt;&gt;"BET",Method!$B$55=TRUE()),0,IF(AI25*Method!$B$10/100&lt;Method!$B$9,0,ROUND(AI25*Method!$B$10/100,0)))</f>
        <v>0</v>
      </c>
      <c r="AK25" s="59" t="str">
        <f t="shared" si="12"/>
        <v/>
      </c>
      <c r="AL25" s="59" t="str">
        <f t="shared" si="13"/>
        <v/>
      </c>
      <c r="AM25" s="56" t="str">
        <f t="shared" si="14"/>
        <v/>
      </c>
      <c r="AN25" s="65" t="str">
        <f>IF(Matchday!N27="","",Matchday!N27)</f>
        <v/>
      </c>
      <c r="AO25" s="58" t="str">
        <f>IF(Matchday!P27="","",Matchday!P27)</f>
        <v/>
      </c>
      <c r="AP25" s="66" t="str">
        <f>IF(Matchday!Q27="","",Matchday!Q27)</f>
        <v/>
      </c>
      <c r="AQ25" s="65" t="str">
        <f>IF(Matchday!R27="","",Matchday!R27)</f>
        <v/>
      </c>
      <c r="AR25" s="67" t="str">
        <f t="shared" si="15"/>
        <v/>
      </c>
      <c r="AS25" s="67" t="str">
        <f t="shared" si="16"/>
        <v/>
      </c>
      <c r="AT25" s="26" t="str">
        <f>IF(AB25="","Type the 3 odds on the Matchday tab",IF(Method!$B$55=TRUE(),"🛑 PAUSED — drawdown "&amp;TEXT(Method!$B$51,"0.0%")&amp;" ≥ "&amp;TEXT(Method!$B$52,"0.0%")&amp;". Set Method!B54=Y to override.",IF(AH25="BET",IF(AJ25=0,"Edge found but stake rounds under £"&amp;Method!$B$9&amp;" — skip","Value found: EV "&amp;TEXT(AF25,"0.0%")&amp;", edge "&amp;TEXT(AG25,"0.0%")),IF(AF25&lt;Method!$B$7,"Price too short — EV "&amp;TEXT(AF25,"0.0%")&amp;" (need "&amp;TEXT(Method!$B$7,"0.0%")&amp;"+)","Model ≈ market — edge "&amp;TEXT(AG25,"0.0%")&amp;" (need "&amp;TEXT(Method!$B$8,"0.0%")&amp;"+)"))))</f>
        <v>Type the 3 odds on the Matchday tab</v>
      </c>
      <c r="AU25" s="26" t="str">
        <f t="shared" si="17"/>
        <v/>
      </c>
      <c r="AV25" s="25" t="str">
        <f>IF(Matchday!O27="","",Matchday!O27)</f>
        <v/>
      </c>
      <c r="AW25" s="68"/>
      <c r="AX25" s="68"/>
      <c r="AY25" s="68"/>
      <c r="AZ25" s="68" t="str">
        <f t="shared" si="18"/>
        <v>· enter odds</v>
      </c>
      <c r="BA25" s="69">
        <f>IF(AX25&lt;&gt;"",AX25,IF(AH25&lt;&gt;"BET",0,IF(AI25*Method!$B$10/100&lt;Method!$B$9,0,ROUND(AI25*Method!$B$10/100,0))))</f>
        <v>0</v>
      </c>
      <c r="BB25" s="70">
        <v>0.0</v>
      </c>
      <c r="BC25" s="70">
        <v>0.12710620268752434</v>
      </c>
      <c r="BD25" s="70">
        <v>0.2617484873429985</v>
      </c>
      <c r="BE25" s="70">
        <v>0.6004627746452958</v>
      </c>
      <c r="BG25" s="70">
        <v>2240.0</v>
      </c>
      <c r="BH25" s="71" t="s">
        <v>179</v>
      </c>
      <c r="BI25" s="70">
        <v>0.0</v>
      </c>
    </row>
    <row r="26" ht="15.0" customHeight="1">
      <c r="A26" s="25">
        <v>25.0</v>
      </c>
      <c r="B26" s="55">
        <v>46191.0</v>
      </c>
      <c r="C26" s="25" t="s">
        <v>172</v>
      </c>
      <c r="D26" s="56" t="s">
        <v>181</v>
      </c>
      <c r="E26" s="56" t="s">
        <v>174</v>
      </c>
      <c r="F26" s="56" t="s">
        <v>242</v>
      </c>
      <c r="G26" s="25" t="s">
        <v>203</v>
      </c>
      <c r="H26" s="25" t="s">
        <v>243</v>
      </c>
      <c r="I26" s="57">
        <v>0.5069569754108154</v>
      </c>
      <c r="J26" s="57">
        <v>0.293125012524113</v>
      </c>
      <c r="K26" s="57">
        <v>0.19991801206507154</v>
      </c>
      <c r="L26" s="58" t="str">
        <f>IF(Matchday!E28="","",Matchday!E28)</f>
        <v/>
      </c>
      <c r="M26" s="58" t="str">
        <f>IF(Matchday!F28="","",Matchday!F28)</f>
        <v/>
      </c>
      <c r="N26" s="58" t="str">
        <f>IF(Matchday!G28="","",Matchday!G28)</f>
        <v/>
      </c>
      <c r="O26" s="59" t="str">
        <f t="shared" ref="O26:Q26" si="63">IF(L26="","",1/L26)</f>
        <v/>
      </c>
      <c r="P26" s="59" t="str">
        <f t="shared" si="63"/>
        <v/>
      </c>
      <c r="Q26" s="59" t="str">
        <f t="shared" si="63"/>
        <v/>
      </c>
      <c r="R26" s="59" t="str">
        <f t="shared" si="4"/>
        <v/>
      </c>
      <c r="S26" s="59" t="str">
        <f t="array" ref="S26">IF($R26="","",IF(Method!$B$56="proportional",O26/$R26,IF(Method!$B$56="power",IFERROR(INDEX(power_devig($L26,$M26,$N26),1,1),O26/$R26),IFERROR(INDEX(shin($L26,$M26,$N26),1,1),O26/$R26))))</f>
        <v/>
      </c>
      <c r="T26" s="59" t="str">
        <f t="array" ref="T26">IF($R26="","",IF(Method!$B$56="proportional",P26/$R26,IF(Method!$B$56="power",IFERROR(INDEX(power_devig($L26,$M26,$N26),2,1),P26/$R26),IFERROR(INDEX(shin($L26,$M26,$N26),2,1),P26/$R26))))</f>
        <v/>
      </c>
      <c r="U26" s="59" t="str">
        <f t="array" ref="U26">IF($R26="","",IF(Method!$B$56="proportional",Q26/$R26,IF(Method!$B$56="power",IFERROR(INDEX(power_devig($L26,$M26,$N26),3,1),Q26/$R26),IFERROR(INDEX(shin($L26,$M26,$N26),3,1),Q26/$R26))))</f>
        <v/>
      </c>
      <c r="V26" s="59" t="str">
        <f>IF(S26="","",Method!$B$4*I26+(1-Method!$B$4)*S26/($S26+$T26+$U26))</f>
        <v/>
      </c>
      <c r="W26" s="59" t="str">
        <f>IF(T26="","",Method!$B$4*J26+(1-Method!$B$4)*T26/($S26+$T26+$U26))</f>
        <v/>
      </c>
      <c r="X26" s="59" t="str">
        <f>IF(U26="","",Method!$B$4*K26+(1-Method!$B$4)*U26/($S26+$T26+$U26))</f>
        <v/>
      </c>
      <c r="Y26" s="60" t="str">
        <f t="shared" ref="Y26:AA26" si="64">IF(V26="","",V26*L26-1)</f>
        <v/>
      </c>
      <c r="Z26" s="60" t="str">
        <f t="shared" si="64"/>
        <v/>
      </c>
      <c r="AA26" s="60" t="str">
        <f t="shared" si="64"/>
        <v/>
      </c>
      <c r="AB26" s="56" t="str">
        <f t="shared" si="6"/>
        <v/>
      </c>
      <c r="AC26" s="56" t="str">
        <f t="shared" si="7"/>
        <v/>
      </c>
      <c r="AD26" s="61" t="str">
        <f t="shared" si="8"/>
        <v/>
      </c>
      <c r="AE26" s="28" t="str">
        <f t="shared" si="9"/>
        <v/>
      </c>
      <c r="AF26" s="60" t="str">
        <f t="shared" si="10"/>
        <v/>
      </c>
      <c r="AG26" s="60" t="str">
        <f t="shared" si="11"/>
        <v/>
      </c>
      <c r="AH26" s="62" t="str">
        <f>IF(AB26="","· enter odds",IF(AND(AF26&gt;=Method!$B$7,AG26&gt;=Method!$B$8),"BET","PASS"))</f>
        <v>· enter odds</v>
      </c>
      <c r="AI26" s="63">
        <f>IF(AH26&lt;&gt;"BET",0,ROUND(MIN(Method!$B$6,Method!$B$5*AL26)*100,1))</f>
        <v>0</v>
      </c>
      <c r="AJ26" s="64">
        <f>IF(OR(AH26&lt;&gt;"BET",Method!$B$55=TRUE()),0,IF(AI26*Method!$B$10/100&lt;Method!$B$9,0,ROUND(AI26*Method!$B$10/100,0)))</f>
        <v>0</v>
      </c>
      <c r="AK26" s="59" t="str">
        <f t="shared" si="12"/>
        <v/>
      </c>
      <c r="AL26" s="59" t="str">
        <f t="shared" si="13"/>
        <v/>
      </c>
      <c r="AM26" s="56" t="str">
        <f t="shared" si="14"/>
        <v/>
      </c>
      <c r="AN26" s="65" t="str">
        <f>IF(Matchday!N28="","",Matchday!N28)</f>
        <v/>
      </c>
      <c r="AO26" s="58" t="str">
        <f>IF(Matchday!P28="","",Matchday!P28)</f>
        <v/>
      </c>
      <c r="AP26" s="66" t="str">
        <f>IF(Matchday!Q28="","",Matchday!Q28)</f>
        <v/>
      </c>
      <c r="AQ26" s="65" t="str">
        <f>IF(Matchday!R28="","",Matchday!R28)</f>
        <v/>
      </c>
      <c r="AR26" s="67" t="str">
        <f t="shared" si="15"/>
        <v/>
      </c>
      <c r="AS26" s="67" t="str">
        <f t="shared" si="16"/>
        <v/>
      </c>
      <c r="AT26" s="26" t="str">
        <f>IF(AB26="","Type the 3 odds on the Matchday tab",IF(Method!$B$55=TRUE(),"🛑 PAUSED — drawdown "&amp;TEXT(Method!$B$51,"0.0%")&amp;" ≥ "&amp;TEXT(Method!$B$52,"0.0%")&amp;". Set Method!B54=Y to override.",IF(AH26="BET",IF(AJ26=0,"Edge found but stake rounds under £"&amp;Method!$B$9&amp;" — skip","Value found: EV "&amp;TEXT(AF26,"0.0%")&amp;", edge "&amp;TEXT(AG26,"0.0%")),IF(AF26&lt;Method!$B$7,"Price too short — EV "&amp;TEXT(AF26,"0.0%")&amp;" (need "&amp;TEXT(Method!$B$7,"0.0%")&amp;"+)","Model ≈ market — edge "&amp;TEXT(AG26,"0.0%")&amp;" (need "&amp;TEXT(Method!$B$8,"0.0%")&amp;"+)"))))</f>
        <v>Type the 3 odds on the Matchday tab</v>
      </c>
      <c r="AU26" s="26" t="str">
        <f t="shared" si="17"/>
        <v/>
      </c>
      <c r="AV26" s="25" t="str">
        <f>IF(Matchday!O28="","",Matchday!O28)</f>
        <v/>
      </c>
      <c r="AW26" s="68"/>
      <c r="AX26" s="68"/>
      <c r="AY26" s="68"/>
      <c r="AZ26" s="68" t="str">
        <f t="shared" si="18"/>
        <v>· enter odds</v>
      </c>
      <c r="BA26" s="69">
        <f>IF(AX26&lt;&gt;"",AX26,IF(AH26&lt;&gt;"BET",0,IF(AI26*Method!$B$10/100&lt;Method!$B$9,0,ROUND(AI26*Method!$B$10/100,0))))</f>
        <v>0</v>
      </c>
      <c r="BB26" s="70">
        <v>0.0</v>
      </c>
      <c r="BC26" s="70">
        <v>0.49122442086722384</v>
      </c>
      <c r="BD26" s="70">
        <v>0.2910616007796571</v>
      </c>
      <c r="BE26" s="70">
        <v>0.20457330976607427</v>
      </c>
      <c r="BG26" s="70">
        <v>320.0</v>
      </c>
      <c r="BH26" s="71" t="s">
        <v>244</v>
      </c>
      <c r="BI26" s="70">
        <v>2373.1</v>
      </c>
    </row>
    <row r="27" ht="15.0" customHeight="1">
      <c r="A27" s="25">
        <v>26.0</v>
      </c>
      <c r="B27" s="55">
        <v>46191.0</v>
      </c>
      <c r="C27" s="25" t="s">
        <v>187</v>
      </c>
      <c r="D27" s="56" t="s">
        <v>201</v>
      </c>
      <c r="E27" s="56" t="s">
        <v>189</v>
      </c>
      <c r="F27" s="56" t="s">
        <v>196</v>
      </c>
      <c r="G27" s="25" t="s">
        <v>191</v>
      </c>
      <c r="H27" s="25" t="s">
        <v>209</v>
      </c>
      <c r="I27" s="57">
        <v>0.6392239798591908</v>
      </c>
      <c r="J27" s="57">
        <v>0.23865206527385363</v>
      </c>
      <c r="K27" s="57">
        <v>0.12212395486695554</v>
      </c>
      <c r="L27" s="58" t="str">
        <f>IF(Matchday!E29="","",Matchday!E29)</f>
        <v/>
      </c>
      <c r="M27" s="58" t="str">
        <f>IF(Matchday!F29="","",Matchday!F29)</f>
        <v/>
      </c>
      <c r="N27" s="58" t="str">
        <f>IF(Matchday!G29="","",Matchday!G29)</f>
        <v/>
      </c>
      <c r="O27" s="59" t="str">
        <f t="shared" ref="O27:Q27" si="65">IF(L27="","",1/L27)</f>
        <v/>
      </c>
      <c r="P27" s="59" t="str">
        <f t="shared" si="65"/>
        <v/>
      </c>
      <c r="Q27" s="59" t="str">
        <f t="shared" si="65"/>
        <v/>
      </c>
      <c r="R27" s="59" t="str">
        <f t="shared" si="4"/>
        <v/>
      </c>
      <c r="S27" s="59" t="str">
        <f t="array" ref="S27">IF($R27="","",IF(Method!$B$56="proportional",O27/$R27,IF(Method!$B$56="power",IFERROR(INDEX(power_devig($L27,$M27,$N27),1,1),O27/$R27),IFERROR(INDEX(shin($L27,$M27,$N27),1,1),O27/$R27))))</f>
        <v/>
      </c>
      <c r="T27" s="59" t="str">
        <f t="array" ref="T27">IF($R27="","",IF(Method!$B$56="proportional",P27/$R27,IF(Method!$B$56="power",IFERROR(INDEX(power_devig($L27,$M27,$N27),2,1),P27/$R27),IFERROR(INDEX(shin($L27,$M27,$N27),2,1),P27/$R27))))</f>
        <v/>
      </c>
      <c r="U27" s="59" t="str">
        <f t="array" ref="U27">IF($R27="","",IF(Method!$B$56="proportional",Q27/$R27,IF(Method!$B$56="power",IFERROR(INDEX(power_devig($L27,$M27,$N27),3,1),Q27/$R27),IFERROR(INDEX(shin($L27,$M27,$N27),3,1),Q27/$R27))))</f>
        <v/>
      </c>
      <c r="V27" s="59" t="str">
        <f>IF(S27="","",Method!$B$4*I27+(1-Method!$B$4)*S27/($S27+$T27+$U27))</f>
        <v/>
      </c>
      <c r="W27" s="59" t="str">
        <f>IF(T27="","",Method!$B$4*J27+(1-Method!$B$4)*T27/($S27+$T27+$U27))</f>
        <v/>
      </c>
      <c r="X27" s="59" t="str">
        <f>IF(U27="","",Method!$B$4*K27+(1-Method!$B$4)*U27/($S27+$T27+$U27))</f>
        <v/>
      </c>
      <c r="Y27" s="60" t="str">
        <f t="shared" ref="Y27:AA27" si="66">IF(V27="","",V27*L27-1)</f>
        <v/>
      </c>
      <c r="Z27" s="60" t="str">
        <f t="shared" si="66"/>
        <v/>
      </c>
      <c r="AA27" s="60" t="str">
        <f t="shared" si="66"/>
        <v/>
      </c>
      <c r="AB27" s="56" t="str">
        <f t="shared" si="6"/>
        <v/>
      </c>
      <c r="AC27" s="56" t="str">
        <f t="shared" si="7"/>
        <v/>
      </c>
      <c r="AD27" s="61" t="str">
        <f t="shared" si="8"/>
        <v/>
      </c>
      <c r="AE27" s="28" t="str">
        <f t="shared" si="9"/>
        <v/>
      </c>
      <c r="AF27" s="60" t="str">
        <f t="shared" si="10"/>
        <v/>
      </c>
      <c r="AG27" s="60" t="str">
        <f t="shared" si="11"/>
        <v/>
      </c>
      <c r="AH27" s="62" t="str">
        <f>IF(AB27="","· enter odds",IF(AND(AF27&gt;=Method!$B$7,AG27&gt;=Method!$B$8),"BET","PASS"))</f>
        <v>· enter odds</v>
      </c>
      <c r="AI27" s="63">
        <f>IF(AH27&lt;&gt;"BET",0,ROUND(MIN(Method!$B$6,Method!$B$5*AL27)*100,1))</f>
        <v>0</v>
      </c>
      <c r="AJ27" s="64">
        <f>IF(OR(AH27&lt;&gt;"BET",Method!$B$55=TRUE()),0,IF(AI27*Method!$B$10/100&lt;Method!$B$9,0,ROUND(AI27*Method!$B$10/100,0)))</f>
        <v>0</v>
      </c>
      <c r="AK27" s="59" t="str">
        <f t="shared" si="12"/>
        <v/>
      </c>
      <c r="AL27" s="59" t="str">
        <f t="shared" si="13"/>
        <v/>
      </c>
      <c r="AM27" s="56" t="str">
        <f t="shared" si="14"/>
        <v/>
      </c>
      <c r="AN27" s="65" t="str">
        <f>IF(Matchday!N29="","",Matchday!N29)</f>
        <v/>
      </c>
      <c r="AO27" s="58" t="str">
        <f>IF(Matchday!P29="","",Matchday!P29)</f>
        <v/>
      </c>
      <c r="AP27" s="66" t="str">
        <f>IF(Matchday!Q29="","",Matchday!Q29)</f>
        <v/>
      </c>
      <c r="AQ27" s="65" t="str">
        <f>IF(Matchday!R29="","",Matchday!R29)</f>
        <v/>
      </c>
      <c r="AR27" s="67" t="str">
        <f t="shared" si="15"/>
        <v/>
      </c>
      <c r="AS27" s="67" t="str">
        <f t="shared" si="16"/>
        <v/>
      </c>
      <c r="AT27" s="26" t="str">
        <f>IF(AB27="","Type the 3 odds on the Matchday tab",IF(Method!$B$55=TRUE(),"🛑 PAUSED — drawdown "&amp;TEXT(Method!$B$51,"0.0%")&amp;" ≥ "&amp;TEXT(Method!$B$52,"0.0%")&amp;". Set Method!B54=Y to override.",IF(AH27="BET",IF(AJ27=0,"Edge found but stake rounds under £"&amp;Method!$B$9&amp;" — skip","Value found: EV "&amp;TEXT(AF27,"0.0%")&amp;", edge "&amp;TEXT(AG27,"0.0%")),IF(AF27&lt;Method!$B$7,"Price too short — EV "&amp;TEXT(AF27,"0.0%")&amp;" (need "&amp;TEXT(Method!$B$7,"0.0%")&amp;"+)","Model ≈ market — edge "&amp;TEXT(AG27,"0.0%")&amp;" (need "&amp;TEXT(Method!$B$8,"0.0%")&amp;"+)"))))</f>
        <v>Type the 3 odds on the Matchday tab</v>
      </c>
      <c r="AU27" s="26" t="str">
        <f t="shared" si="17"/>
        <v/>
      </c>
      <c r="AV27" s="25" t="str">
        <f>IF(Matchday!O29="","",Matchday!O29)</f>
        <v/>
      </c>
      <c r="AW27" s="68"/>
      <c r="AX27" s="68"/>
      <c r="AY27" s="68"/>
      <c r="AZ27" s="68" t="str">
        <f t="shared" si="18"/>
        <v>· enter odds</v>
      </c>
      <c r="BA27" s="69">
        <f>IF(AX27&lt;&gt;"",AX27,IF(AH27&lt;&gt;"BET",0,IF(AI27*Method!$B$10/100&lt;Method!$B$9,0,ROUND(AI27*Method!$B$10/100,0))))</f>
        <v>0</v>
      </c>
      <c r="BB27" s="70">
        <v>0.0</v>
      </c>
      <c r="BC27" s="70">
        <v>0.5895540621934428</v>
      </c>
      <c r="BD27" s="70">
        <v>0.2611668075540966</v>
      </c>
      <c r="BE27" s="70">
        <v>0.12575467676120253</v>
      </c>
      <c r="BG27" s="70">
        <v>30.0</v>
      </c>
      <c r="BH27" s="71" t="s">
        <v>199</v>
      </c>
      <c r="BI27" s="70">
        <v>504.6</v>
      </c>
    </row>
    <row r="28" ht="15.0" customHeight="1">
      <c r="A28" s="25">
        <v>27.0</v>
      </c>
      <c r="B28" s="55">
        <v>46191.0</v>
      </c>
      <c r="C28" s="25" t="s">
        <v>187</v>
      </c>
      <c r="D28" s="56" t="s">
        <v>188</v>
      </c>
      <c r="E28" s="56" t="s">
        <v>200</v>
      </c>
      <c r="F28" s="56" t="s">
        <v>217</v>
      </c>
      <c r="G28" s="25" t="s">
        <v>197</v>
      </c>
      <c r="H28" s="25" t="s">
        <v>198</v>
      </c>
      <c r="I28" s="57">
        <v>0.7344692783482685</v>
      </c>
      <c r="J28" s="57">
        <v>0.2019755083816098</v>
      </c>
      <c r="K28" s="57">
        <v>0.06355521327012163</v>
      </c>
      <c r="L28" s="58" t="str">
        <f>IF(Matchday!E30="","",Matchday!E30)</f>
        <v/>
      </c>
      <c r="M28" s="58" t="str">
        <f>IF(Matchday!F30="","",Matchday!F30)</f>
        <v/>
      </c>
      <c r="N28" s="58" t="str">
        <f>IF(Matchday!G30="","",Matchday!G30)</f>
        <v/>
      </c>
      <c r="O28" s="59" t="str">
        <f t="shared" ref="O28:Q28" si="67">IF(L28="","",1/L28)</f>
        <v/>
      </c>
      <c r="P28" s="59" t="str">
        <f t="shared" si="67"/>
        <v/>
      </c>
      <c r="Q28" s="59" t="str">
        <f t="shared" si="67"/>
        <v/>
      </c>
      <c r="R28" s="59" t="str">
        <f t="shared" si="4"/>
        <v/>
      </c>
      <c r="S28" s="59" t="str">
        <f t="array" ref="S28">IF($R28="","",IF(Method!$B$56="proportional",O28/$R28,IF(Method!$B$56="power",IFERROR(INDEX(power_devig($L28,$M28,$N28),1,1),O28/$R28),IFERROR(INDEX(shin($L28,$M28,$N28),1,1),O28/$R28))))</f>
        <v/>
      </c>
      <c r="T28" s="59" t="str">
        <f t="array" ref="T28">IF($R28="","",IF(Method!$B$56="proportional",P28/$R28,IF(Method!$B$56="power",IFERROR(INDEX(power_devig($L28,$M28,$N28),2,1),P28/$R28),IFERROR(INDEX(shin($L28,$M28,$N28),2,1),P28/$R28))))</f>
        <v/>
      </c>
      <c r="U28" s="59" t="str">
        <f t="array" ref="U28">IF($R28="","",IF(Method!$B$56="proportional",Q28/$R28,IF(Method!$B$56="power",IFERROR(INDEX(power_devig($L28,$M28,$N28),3,1),Q28/$R28),IFERROR(INDEX(shin($L28,$M28,$N28),3,1),Q28/$R28))))</f>
        <v/>
      </c>
      <c r="V28" s="59" t="str">
        <f>IF(S28="","",Method!$B$4*I28+(1-Method!$B$4)*S28/($S28+$T28+$U28))</f>
        <v/>
      </c>
      <c r="W28" s="59" t="str">
        <f>IF(T28="","",Method!$B$4*J28+(1-Method!$B$4)*T28/($S28+$T28+$U28))</f>
        <v/>
      </c>
      <c r="X28" s="59" t="str">
        <f>IF(U28="","",Method!$B$4*K28+(1-Method!$B$4)*U28/($S28+$T28+$U28))</f>
        <v/>
      </c>
      <c r="Y28" s="60" t="str">
        <f t="shared" ref="Y28:AA28" si="68">IF(V28="","",V28*L28-1)</f>
        <v/>
      </c>
      <c r="Z28" s="60" t="str">
        <f t="shared" si="68"/>
        <v/>
      </c>
      <c r="AA28" s="60" t="str">
        <f t="shared" si="68"/>
        <v/>
      </c>
      <c r="AB28" s="56" t="str">
        <f t="shared" si="6"/>
        <v/>
      </c>
      <c r="AC28" s="56" t="str">
        <f t="shared" si="7"/>
        <v/>
      </c>
      <c r="AD28" s="61" t="str">
        <f t="shared" si="8"/>
        <v/>
      </c>
      <c r="AE28" s="28" t="str">
        <f t="shared" si="9"/>
        <v/>
      </c>
      <c r="AF28" s="60" t="str">
        <f t="shared" si="10"/>
        <v/>
      </c>
      <c r="AG28" s="60" t="str">
        <f t="shared" si="11"/>
        <v/>
      </c>
      <c r="AH28" s="62" t="str">
        <f>IF(AB28="","· enter odds",IF(AND(AF28&gt;=Method!$B$7,AG28&gt;=Method!$B$8),"BET","PASS"))</f>
        <v>· enter odds</v>
      </c>
      <c r="AI28" s="63">
        <f>IF(AH28&lt;&gt;"BET",0,ROUND(MIN(Method!$B$6,Method!$B$5*AL28)*100,1))</f>
        <v>0</v>
      </c>
      <c r="AJ28" s="64">
        <f>IF(OR(AH28&lt;&gt;"BET",Method!$B$55=TRUE()),0,IF(AI28*Method!$B$10/100&lt;Method!$B$9,0,ROUND(AI28*Method!$B$10/100,0)))</f>
        <v>0</v>
      </c>
      <c r="AK28" s="59" t="str">
        <f t="shared" si="12"/>
        <v/>
      </c>
      <c r="AL28" s="59" t="str">
        <f t="shared" si="13"/>
        <v/>
      </c>
      <c r="AM28" s="56" t="str">
        <f t="shared" si="14"/>
        <v/>
      </c>
      <c r="AN28" s="65" t="str">
        <f>IF(Matchday!N30="","",Matchday!N30)</f>
        <v/>
      </c>
      <c r="AO28" s="58" t="str">
        <f>IF(Matchday!P30="","",Matchday!P30)</f>
        <v/>
      </c>
      <c r="AP28" s="66" t="str">
        <f>IF(Matchday!Q30="","",Matchday!Q30)</f>
        <v/>
      </c>
      <c r="AQ28" s="65" t="str">
        <f>IF(Matchday!R30="","",Matchday!R30)</f>
        <v/>
      </c>
      <c r="AR28" s="67" t="str">
        <f t="shared" si="15"/>
        <v/>
      </c>
      <c r="AS28" s="67" t="str">
        <f t="shared" si="16"/>
        <v/>
      </c>
      <c r="AT28" s="26" t="str">
        <f>IF(AB28="","Type the 3 odds on the Matchday tab",IF(Method!$B$55=TRUE(),"🛑 PAUSED — drawdown "&amp;TEXT(Method!$B$51,"0.0%")&amp;" ≥ "&amp;TEXT(Method!$B$52,"0.0%")&amp;". Set Method!B54=Y to override.",IF(AH28="BET",IF(AJ28=0,"Edge found but stake rounds under £"&amp;Method!$B$9&amp;" — skip","Value found: EV "&amp;TEXT(AF28,"0.0%")&amp;", edge "&amp;TEXT(AG28,"0.0%")),IF(AF28&lt;Method!$B$7,"Price too short — EV "&amp;TEXT(AF28,"0.0%")&amp;" (need "&amp;TEXT(Method!$B$7,"0.0%")&amp;"+)","Model ≈ market — edge "&amp;TEXT(AG28,"0.0%")&amp;" (need "&amp;TEXT(Method!$B$8,"0.0%")&amp;"+)"))))</f>
        <v>Type the 3 odds on the Matchday tab</v>
      </c>
      <c r="AU28" s="26" t="str">
        <f t="shared" si="17"/>
        <v/>
      </c>
      <c r="AV28" s="25" t="str">
        <f>IF(Matchday!O30="","",Matchday!O30)</f>
        <v/>
      </c>
      <c r="AW28" s="68"/>
      <c r="AX28" s="68"/>
      <c r="AY28" s="68"/>
      <c r="AZ28" s="68" t="str">
        <f t="shared" si="18"/>
        <v>· enter odds</v>
      </c>
      <c r="BA28" s="69">
        <f>IF(AX28&lt;&gt;"",AX28,IF(AH28&lt;&gt;"BET",0,IF(AI28*Method!$B$10/100&lt;Method!$B$9,0,ROUND(AI28*Method!$B$10/100,0))))</f>
        <v>0</v>
      </c>
      <c r="BB28" s="70">
        <v>0.0</v>
      </c>
      <c r="BC28" s="70">
        <v>0.6856697944484336</v>
      </c>
      <c r="BD28" s="70">
        <v>0.22566009303701312</v>
      </c>
      <c r="BE28" s="70">
        <v>0.0628691340840846</v>
      </c>
      <c r="BG28" s="70">
        <v>0.0</v>
      </c>
      <c r="BH28" s="71" t="s">
        <v>219</v>
      </c>
      <c r="BI28" s="70">
        <v>3356.8</v>
      </c>
    </row>
    <row r="29" ht="15.0" customHeight="1">
      <c r="A29" s="25">
        <v>28.0</v>
      </c>
      <c r="B29" s="55">
        <v>46191.0</v>
      </c>
      <c r="C29" s="25" t="s">
        <v>172</v>
      </c>
      <c r="D29" s="56" t="s">
        <v>173</v>
      </c>
      <c r="E29" s="56" t="s">
        <v>180</v>
      </c>
      <c r="F29" s="56" t="s">
        <v>182</v>
      </c>
      <c r="G29" s="25" t="s">
        <v>209</v>
      </c>
      <c r="H29" s="25" t="s">
        <v>279</v>
      </c>
      <c r="I29" s="57">
        <v>0.5485759061779082</v>
      </c>
      <c r="J29" s="57">
        <v>0.2823916016872466</v>
      </c>
      <c r="K29" s="57">
        <v>0.1690324921348454</v>
      </c>
      <c r="L29" s="58" t="str">
        <f>IF(Matchday!E31="","",Matchday!E31)</f>
        <v/>
      </c>
      <c r="M29" s="58" t="str">
        <f>IF(Matchday!F31="","",Matchday!F31)</f>
        <v/>
      </c>
      <c r="N29" s="58" t="str">
        <f>IF(Matchday!G31="","",Matchday!G31)</f>
        <v/>
      </c>
      <c r="O29" s="59" t="str">
        <f t="shared" ref="O29:Q29" si="69">IF(L29="","",1/L29)</f>
        <v/>
      </c>
      <c r="P29" s="59" t="str">
        <f t="shared" si="69"/>
        <v/>
      </c>
      <c r="Q29" s="59" t="str">
        <f t="shared" si="69"/>
        <v/>
      </c>
      <c r="R29" s="59" t="str">
        <f t="shared" si="4"/>
        <v/>
      </c>
      <c r="S29" s="59" t="str">
        <f t="array" ref="S29">IF($R29="","",IF(Method!$B$56="proportional",O29/$R29,IF(Method!$B$56="power",IFERROR(INDEX(power_devig($L29,$M29,$N29),1,1),O29/$R29),IFERROR(INDEX(shin($L29,$M29,$N29),1,1),O29/$R29))))</f>
        <v/>
      </c>
      <c r="T29" s="59" t="str">
        <f t="array" ref="T29">IF($R29="","",IF(Method!$B$56="proportional",P29/$R29,IF(Method!$B$56="power",IFERROR(INDEX(power_devig($L29,$M29,$N29),2,1),P29/$R29),IFERROR(INDEX(shin($L29,$M29,$N29),2,1),P29/$R29))))</f>
        <v/>
      </c>
      <c r="U29" s="59" t="str">
        <f t="array" ref="U29">IF($R29="","",IF(Method!$B$56="proportional",Q29/$R29,IF(Method!$B$56="power",IFERROR(INDEX(power_devig($L29,$M29,$N29),3,1),Q29/$R29),IFERROR(INDEX(shin($L29,$M29,$N29),3,1),Q29/$R29))))</f>
        <v/>
      </c>
      <c r="V29" s="59" t="str">
        <f>IF(S29="","",Method!$B$4*I29+(1-Method!$B$4)*S29/($S29+$T29+$U29))</f>
        <v/>
      </c>
      <c r="W29" s="59" t="str">
        <f>IF(T29="","",Method!$B$4*J29+(1-Method!$B$4)*T29/($S29+$T29+$U29))</f>
        <v/>
      </c>
      <c r="X29" s="59" t="str">
        <f>IF(U29="","",Method!$B$4*K29+(1-Method!$B$4)*U29/($S29+$T29+$U29))</f>
        <v/>
      </c>
      <c r="Y29" s="60" t="str">
        <f t="shared" ref="Y29:AA29" si="70">IF(V29="","",V29*L29-1)</f>
        <v/>
      </c>
      <c r="Z29" s="60" t="str">
        <f t="shared" si="70"/>
        <v/>
      </c>
      <c r="AA29" s="60" t="str">
        <f t="shared" si="70"/>
        <v/>
      </c>
      <c r="AB29" s="56" t="str">
        <f t="shared" si="6"/>
        <v/>
      </c>
      <c r="AC29" s="56" t="str">
        <f t="shared" si="7"/>
        <v/>
      </c>
      <c r="AD29" s="61" t="str">
        <f t="shared" si="8"/>
        <v/>
      </c>
      <c r="AE29" s="28" t="str">
        <f t="shared" si="9"/>
        <v/>
      </c>
      <c r="AF29" s="60" t="str">
        <f t="shared" si="10"/>
        <v/>
      </c>
      <c r="AG29" s="60" t="str">
        <f t="shared" si="11"/>
        <v/>
      </c>
      <c r="AH29" s="62" t="str">
        <f>IF(AB29="","· enter odds",IF(AND(AF29&gt;=Method!$B$7,AG29&gt;=Method!$B$8),"BET","PASS"))</f>
        <v>· enter odds</v>
      </c>
      <c r="AI29" s="63">
        <f>IF(AH29&lt;&gt;"BET",0,ROUND(MIN(Method!$B$6,Method!$B$5*AL29)*100,1))</f>
        <v>0</v>
      </c>
      <c r="AJ29" s="64">
        <f>IF(OR(AH29&lt;&gt;"BET",Method!$B$55=TRUE()),0,IF(AI29*Method!$B$10/100&lt;Method!$B$9,0,ROUND(AI29*Method!$B$10/100,0)))</f>
        <v>0</v>
      </c>
      <c r="AK29" s="59" t="str">
        <f t="shared" si="12"/>
        <v/>
      </c>
      <c r="AL29" s="59" t="str">
        <f t="shared" si="13"/>
        <v/>
      </c>
      <c r="AM29" s="56" t="str">
        <f t="shared" si="14"/>
        <v/>
      </c>
      <c r="AN29" s="65" t="str">
        <f>IF(Matchday!N31="","",Matchday!N31)</f>
        <v/>
      </c>
      <c r="AO29" s="58" t="str">
        <f>IF(Matchday!P31="","",Matchday!P31)</f>
        <v/>
      </c>
      <c r="AP29" s="66" t="str">
        <f>IF(Matchday!Q31="","",Matchday!Q31)</f>
        <v/>
      </c>
      <c r="AQ29" s="65" t="str">
        <f>IF(Matchday!R31="","",Matchday!R31)</f>
        <v/>
      </c>
      <c r="AR29" s="67" t="str">
        <f t="shared" si="15"/>
        <v/>
      </c>
      <c r="AS29" s="67" t="str">
        <f t="shared" si="16"/>
        <v/>
      </c>
      <c r="AT29" s="26" t="str">
        <f>IF(AB29="","Type the 3 odds on the Matchday tab",IF(Method!$B$55=TRUE(),"🛑 PAUSED — drawdown "&amp;TEXT(Method!$B$51,"0.0%")&amp;" ≥ "&amp;TEXT(Method!$B$52,"0.0%")&amp;". Set Method!B54=Y to override.",IF(AH29="BET",IF(AJ29=0,"Edge found but stake rounds under £"&amp;Method!$B$9&amp;" — skip","Value found: EV "&amp;TEXT(AF29,"0.0%")&amp;", edge "&amp;TEXT(AG29,"0.0%")),IF(AF29&lt;Method!$B$7,"Price too short — EV "&amp;TEXT(AF29,"0.0%")&amp;" (need "&amp;TEXT(Method!$B$7,"0.0%")&amp;"+)","Model ≈ market — edge "&amp;TEXT(AG29,"0.0%")&amp;" (need "&amp;TEXT(Method!$B$8,"0.0%")&amp;"+)"))))</f>
        <v>Type the 3 odds on the Matchday tab</v>
      </c>
      <c r="AU29" s="26" t="str">
        <f t="shared" si="17"/>
        <v/>
      </c>
      <c r="AV29" s="25" t="str">
        <f>IF(Matchday!O31="","",Matchday!O31)</f>
        <v/>
      </c>
      <c r="AW29" s="68"/>
      <c r="AX29" s="68"/>
      <c r="AY29" s="68"/>
      <c r="AZ29" s="68" t="str">
        <f t="shared" si="18"/>
        <v>· enter odds</v>
      </c>
      <c r="BA29" s="69">
        <f>IF(AX29&lt;&gt;"",AX29,IF(AH29&lt;&gt;"BET",0,IF(AI29*Method!$B$10/100&lt;Method!$B$9,0,ROUND(AI29*Method!$B$10/100,0))))</f>
        <v>0</v>
      </c>
      <c r="BB29" s="70">
        <v>0.0</v>
      </c>
      <c r="BC29" s="70">
        <v>0.5332875570832444</v>
      </c>
      <c r="BD29" s="70">
        <v>0.28700349552308047</v>
      </c>
      <c r="BE29" s="70">
        <v>0.17416831661512883</v>
      </c>
      <c r="BG29" s="70">
        <v>1560.0</v>
      </c>
      <c r="BH29" s="71" t="s">
        <v>186</v>
      </c>
      <c r="BI29" s="70">
        <v>475.9</v>
      </c>
    </row>
    <row r="30" ht="15.0" customHeight="1">
      <c r="A30" s="25">
        <v>29.0</v>
      </c>
      <c r="B30" s="55">
        <v>46192.0</v>
      </c>
      <c r="C30" s="25" t="s">
        <v>193</v>
      </c>
      <c r="D30" s="56" t="s">
        <v>194</v>
      </c>
      <c r="E30" s="56" t="s">
        <v>215</v>
      </c>
      <c r="F30" s="56" t="s">
        <v>248</v>
      </c>
      <c r="G30" s="25" t="s">
        <v>191</v>
      </c>
      <c r="H30" s="25" t="s">
        <v>209</v>
      </c>
      <c r="I30" s="57">
        <v>0.46587982107575837</v>
      </c>
      <c r="J30" s="57">
        <v>0.2817099533679577</v>
      </c>
      <c r="K30" s="57">
        <v>0.2524102255562841</v>
      </c>
      <c r="L30" s="58" t="str">
        <f>IF(Matchday!E32="","",Matchday!E32)</f>
        <v/>
      </c>
      <c r="M30" s="58" t="str">
        <f>IF(Matchday!F32="","",Matchday!F32)</f>
        <v/>
      </c>
      <c r="N30" s="58" t="str">
        <f>IF(Matchday!G32="","",Matchday!G32)</f>
        <v/>
      </c>
      <c r="O30" s="59" t="str">
        <f t="shared" ref="O30:Q30" si="71">IF(L30="","",1/L30)</f>
        <v/>
      </c>
      <c r="P30" s="59" t="str">
        <f t="shared" si="71"/>
        <v/>
      </c>
      <c r="Q30" s="59" t="str">
        <f t="shared" si="71"/>
        <v/>
      </c>
      <c r="R30" s="59" t="str">
        <f t="shared" si="4"/>
        <v/>
      </c>
      <c r="S30" s="59" t="str">
        <f t="array" ref="S30">IF($R30="","",IF(Method!$B$56="proportional",O30/$R30,IF(Method!$B$56="power",IFERROR(INDEX(power_devig($L30,$M30,$N30),1,1),O30/$R30),IFERROR(INDEX(shin($L30,$M30,$N30),1,1),O30/$R30))))</f>
        <v/>
      </c>
      <c r="T30" s="59" t="str">
        <f t="array" ref="T30">IF($R30="","",IF(Method!$B$56="proportional",P30/$R30,IF(Method!$B$56="power",IFERROR(INDEX(power_devig($L30,$M30,$N30),2,1),P30/$R30),IFERROR(INDEX(shin($L30,$M30,$N30),2,1),P30/$R30))))</f>
        <v/>
      </c>
      <c r="U30" s="59" t="str">
        <f t="array" ref="U30">IF($R30="","",IF(Method!$B$56="proportional",Q30/$R30,IF(Method!$B$56="power",IFERROR(INDEX(power_devig($L30,$M30,$N30),3,1),Q30/$R30),IFERROR(INDEX(shin($L30,$M30,$N30),3,1),Q30/$R30))))</f>
        <v/>
      </c>
      <c r="V30" s="59" t="str">
        <f>IF(S30="","",Method!$B$4*I30+(1-Method!$B$4)*S30/($S30+$T30+$U30))</f>
        <v/>
      </c>
      <c r="W30" s="59" t="str">
        <f>IF(T30="","",Method!$B$4*J30+(1-Method!$B$4)*T30/($S30+$T30+$U30))</f>
        <v/>
      </c>
      <c r="X30" s="59" t="str">
        <f>IF(U30="","",Method!$B$4*K30+(1-Method!$B$4)*U30/($S30+$T30+$U30))</f>
        <v/>
      </c>
      <c r="Y30" s="60" t="str">
        <f t="shared" ref="Y30:AA30" si="72">IF(V30="","",V30*L30-1)</f>
        <v/>
      </c>
      <c r="Z30" s="60" t="str">
        <f t="shared" si="72"/>
        <v/>
      </c>
      <c r="AA30" s="60" t="str">
        <f t="shared" si="72"/>
        <v/>
      </c>
      <c r="AB30" s="56" t="str">
        <f t="shared" si="6"/>
        <v/>
      </c>
      <c r="AC30" s="56" t="str">
        <f t="shared" si="7"/>
        <v/>
      </c>
      <c r="AD30" s="61" t="str">
        <f t="shared" si="8"/>
        <v/>
      </c>
      <c r="AE30" s="28" t="str">
        <f t="shared" si="9"/>
        <v/>
      </c>
      <c r="AF30" s="60" t="str">
        <f t="shared" si="10"/>
        <v/>
      </c>
      <c r="AG30" s="60" t="str">
        <f t="shared" si="11"/>
        <v/>
      </c>
      <c r="AH30" s="62" t="str">
        <f>IF(AB30="","· enter odds",IF(AND(AF30&gt;=Method!$B$7,AG30&gt;=Method!$B$8),"BET","PASS"))</f>
        <v>· enter odds</v>
      </c>
      <c r="AI30" s="63">
        <f>IF(AH30&lt;&gt;"BET",0,ROUND(MIN(Method!$B$6,Method!$B$5*AL30)*100,1))</f>
        <v>0</v>
      </c>
      <c r="AJ30" s="64">
        <f>IF(OR(AH30&lt;&gt;"BET",Method!$B$55=TRUE()),0,IF(AI30*Method!$B$10/100&lt;Method!$B$9,0,ROUND(AI30*Method!$B$10/100,0)))</f>
        <v>0</v>
      </c>
      <c r="AK30" s="59" t="str">
        <f t="shared" si="12"/>
        <v/>
      </c>
      <c r="AL30" s="59" t="str">
        <f t="shared" si="13"/>
        <v/>
      </c>
      <c r="AM30" s="56" t="str">
        <f t="shared" si="14"/>
        <v/>
      </c>
      <c r="AN30" s="65" t="str">
        <f>IF(Matchday!N32="","",Matchday!N32)</f>
        <v/>
      </c>
      <c r="AO30" s="58" t="str">
        <f>IF(Matchday!P32="","",Matchday!P32)</f>
        <v/>
      </c>
      <c r="AP30" s="66" t="str">
        <f>IF(Matchday!Q32="","",Matchday!Q32)</f>
        <v/>
      </c>
      <c r="AQ30" s="65" t="str">
        <f>IF(Matchday!R32="","",Matchday!R32)</f>
        <v/>
      </c>
      <c r="AR30" s="67" t="str">
        <f t="shared" si="15"/>
        <v/>
      </c>
      <c r="AS30" s="67" t="str">
        <f t="shared" si="16"/>
        <v/>
      </c>
      <c r="AT30" s="26" t="str">
        <f>IF(AB30="","Type the 3 odds on the Matchday tab",IF(Method!$B$55=TRUE(),"🛑 PAUSED — drawdown "&amp;TEXT(Method!$B$51,"0.0%")&amp;" ≥ "&amp;TEXT(Method!$B$52,"0.0%")&amp;". Set Method!B54=Y to override.",IF(AH30="BET",IF(AJ30=0,"Edge found but stake rounds under £"&amp;Method!$B$9&amp;" — skip","Value found: EV "&amp;TEXT(AF30,"0.0%")&amp;", edge "&amp;TEXT(AG30,"0.0%")),IF(AF30&lt;Method!$B$7,"Price too short — EV "&amp;TEXT(AF30,"0.0%")&amp;" (need "&amp;TEXT(Method!$B$7,"0.0%")&amp;"+)","Model ≈ market — edge "&amp;TEXT(AG30,"0.0%")&amp;" (need "&amp;TEXT(Method!$B$8,"0.0%")&amp;"+)"))))</f>
        <v>Type the 3 odds on the Matchday tab</v>
      </c>
      <c r="AU30" s="26" t="str">
        <f t="shared" si="17"/>
        <v/>
      </c>
      <c r="AV30" s="25" t="str">
        <f>IF(Matchday!O32="","",Matchday!O32)</f>
        <v/>
      </c>
      <c r="AW30" s="68"/>
      <c r="AX30" s="68"/>
      <c r="AY30" s="68"/>
      <c r="AZ30" s="68" t="str">
        <f t="shared" si="18"/>
        <v>· enter odds</v>
      </c>
      <c r="BA30" s="69">
        <f>IF(AX30&lt;&gt;"",AX30,IF(AH30&lt;&gt;"BET",0,IF(AI30*Method!$B$10/100&lt;Method!$B$9,0,ROUND(AI30*Method!$B$10/100,0))))</f>
        <v>0</v>
      </c>
      <c r="BB30" s="70">
        <v>0.0</v>
      </c>
      <c r="BC30" s="70">
        <v>0.44970884354902513</v>
      </c>
      <c r="BD30" s="70">
        <v>0.2867457768286519</v>
      </c>
      <c r="BE30" s="70">
        <v>0.25639216128025627</v>
      </c>
      <c r="BG30" s="70">
        <v>5.0</v>
      </c>
      <c r="BH30" s="71" t="s">
        <v>192</v>
      </c>
      <c r="BI30" s="70">
        <v>1553.1</v>
      </c>
    </row>
    <row r="31" ht="15.0" customHeight="1">
      <c r="A31" s="25">
        <v>30.0</v>
      </c>
      <c r="B31" s="55">
        <v>46192.0</v>
      </c>
      <c r="C31" s="25" t="s">
        <v>205</v>
      </c>
      <c r="D31" s="56" t="s">
        <v>211</v>
      </c>
      <c r="E31" s="56" t="s">
        <v>207</v>
      </c>
      <c r="F31" s="56" t="s">
        <v>212</v>
      </c>
      <c r="G31" s="25" t="s">
        <v>197</v>
      </c>
      <c r="H31" s="25" t="s">
        <v>209</v>
      </c>
      <c r="I31" s="57">
        <v>0.2452278830743432</v>
      </c>
      <c r="J31" s="57">
        <v>0.3046076391798182</v>
      </c>
      <c r="K31" s="57">
        <v>0.4501644777458387</v>
      </c>
      <c r="L31" s="58" t="str">
        <f>IF(Matchday!E33="","",Matchday!E33)</f>
        <v/>
      </c>
      <c r="M31" s="58" t="str">
        <f>IF(Matchday!F33="","",Matchday!F33)</f>
        <v/>
      </c>
      <c r="N31" s="58" t="str">
        <f>IF(Matchday!G33="","",Matchday!G33)</f>
        <v/>
      </c>
      <c r="O31" s="59" t="str">
        <f t="shared" ref="O31:Q31" si="73">IF(L31="","",1/L31)</f>
        <v/>
      </c>
      <c r="P31" s="59" t="str">
        <f t="shared" si="73"/>
        <v/>
      </c>
      <c r="Q31" s="59" t="str">
        <f t="shared" si="73"/>
        <v/>
      </c>
      <c r="R31" s="59" t="str">
        <f t="shared" si="4"/>
        <v/>
      </c>
      <c r="S31" s="59" t="str">
        <f t="array" ref="S31">IF($R31="","",IF(Method!$B$56="proportional",O31/$R31,IF(Method!$B$56="power",IFERROR(INDEX(power_devig($L31,$M31,$N31),1,1),O31/$R31),IFERROR(INDEX(shin($L31,$M31,$N31),1,1),O31/$R31))))</f>
        <v/>
      </c>
      <c r="T31" s="59" t="str">
        <f t="array" ref="T31">IF($R31="","",IF(Method!$B$56="proportional",P31/$R31,IF(Method!$B$56="power",IFERROR(INDEX(power_devig($L31,$M31,$N31),2,1),P31/$R31),IFERROR(INDEX(shin($L31,$M31,$N31),2,1),P31/$R31))))</f>
        <v/>
      </c>
      <c r="U31" s="59" t="str">
        <f t="array" ref="U31">IF($R31="","",IF(Method!$B$56="proportional",Q31/$R31,IF(Method!$B$56="power",IFERROR(INDEX(power_devig($L31,$M31,$N31),3,1),Q31/$R31),IFERROR(INDEX(shin($L31,$M31,$N31),3,1),Q31/$R31))))</f>
        <v/>
      </c>
      <c r="V31" s="59" t="str">
        <f>IF(S31="","",Method!$B$4*I31+(1-Method!$B$4)*S31/($S31+$T31+$U31))</f>
        <v/>
      </c>
      <c r="W31" s="59" t="str">
        <f>IF(T31="","",Method!$B$4*J31+(1-Method!$B$4)*T31/($S31+$T31+$U31))</f>
        <v/>
      </c>
      <c r="X31" s="59" t="str">
        <f>IF(U31="","",Method!$B$4*K31+(1-Method!$B$4)*U31/($S31+$T31+$U31))</f>
        <v/>
      </c>
      <c r="Y31" s="60" t="str">
        <f t="shared" ref="Y31:AA31" si="74">IF(V31="","",V31*L31-1)</f>
        <v/>
      </c>
      <c r="Z31" s="60" t="str">
        <f t="shared" si="74"/>
        <v/>
      </c>
      <c r="AA31" s="60" t="str">
        <f t="shared" si="74"/>
        <v/>
      </c>
      <c r="AB31" s="56" t="str">
        <f t="shared" si="6"/>
        <v/>
      </c>
      <c r="AC31" s="56" t="str">
        <f t="shared" si="7"/>
        <v/>
      </c>
      <c r="AD31" s="61" t="str">
        <f t="shared" si="8"/>
        <v/>
      </c>
      <c r="AE31" s="28" t="str">
        <f t="shared" si="9"/>
        <v/>
      </c>
      <c r="AF31" s="60" t="str">
        <f t="shared" si="10"/>
        <v/>
      </c>
      <c r="AG31" s="60" t="str">
        <f t="shared" si="11"/>
        <v/>
      </c>
      <c r="AH31" s="62" t="str">
        <f>IF(AB31="","· enter odds",IF(AND(AF31&gt;=Method!$B$7,AG31&gt;=Method!$B$8),"BET","PASS"))</f>
        <v>· enter odds</v>
      </c>
      <c r="AI31" s="63">
        <f>IF(AH31&lt;&gt;"BET",0,ROUND(MIN(Method!$B$6,Method!$B$5*AL31)*100,1))</f>
        <v>0</v>
      </c>
      <c r="AJ31" s="64">
        <f>IF(OR(AH31&lt;&gt;"BET",Method!$B$55=TRUE()),0,IF(AI31*Method!$B$10/100&lt;Method!$B$9,0,ROUND(AI31*Method!$B$10/100,0)))</f>
        <v>0</v>
      </c>
      <c r="AK31" s="59" t="str">
        <f t="shared" si="12"/>
        <v/>
      </c>
      <c r="AL31" s="59" t="str">
        <f t="shared" si="13"/>
        <v/>
      </c>
      <c r="AM31" s="56" t="str">
        <f t="shared" si="14"/>
        <v/>
      </c>
      <c r="AN31" s="65" t="str">
        <f>IF(Matchday!N33="","",Matchday!N33)</f>
        <v/>
      </c>
      <c r="AO31" s="58" t="str">
        <f>IF(Matchday!P33="","",Matchday!P33)</f>
        <v/>
      </c>
      <c r="AP31" s="66" t="str">
        <f>IF(Matchday!Q33="","",Matchday!Q33)</f>
        <v/>
      </c>
      <c r="AQ31" s="65" t="str">
        <f>IF(Matchday!R33="","",Matchday!R33)</f>
        <v/>
      </c>
      <c r="AR31" s="67" t="str">
        <f t="shared" si="15"/>
        <v/>
      </c>
      <c r="AS31" s="67" t="str">
        <f t="shared" si="16"/>
        <v/>
      </c>
      <c r="AT31" s="26" t="str">
        <f>IF(AB31="","Type the 3 odds on the Matchday tab",IF(Method!$B$55=TRUE(),"🛑 PAUSED — drawdown "&amp;TEXT(Method!$B$51,"0.0%")&amp;" ≥ "&amp;TEXT(Method!$B$52,"0.0%")&amp;". Set Method!B54=Y to override.",IF(AH31="BET",IF(AJ31=0,"Edge found but stake rounds under £"&amp;Method!$B$9&amp;" — skip","Value found: EV "&amp;TEXT(AF31,"0.0%")&amp;", edge "&amp;TEXT(AG31,"0.0%")),IF(AF31&lt;Method!$B$7,"Price too short — EV "&amp;TEXT(AF31,"0.0%")&amp;" (need "&amp;TEXT(Method!$B$7,"0.0%")&amp;"+)","Model ≈ market — edge "&amp;TEXT(AG31,"0.0%")&amp;" (need "&amp;TEXT(Method!$B$8,"0.0%")&amp;"+)"))))</f>
        <v>Type the 3 odds on the Matchday tab</v>
      </c>
      <c r="AU31" s="26" t="str">
        <f t="shared" si="17"/>
        <v/>
      </c>
      <c r="AV31" s="25" t="str">
        <f>IF(Matchday!O33="","",Matchday!O33)</f>
        <v/>
      </c>
      <c r="AW31" s="68"/>
      <c r="AX31" s="68"/>
      <c r="AY31" s="68"/>
      <c r="AZ31" s="68" t="str">
        <f t="shared" si="18"/>
        <v>· enter odds</v>
      </c>
      <c r="BA31" s="69">
        <f>IF(AX31&lt;&gt;"",AX31,IF(AH31&lt;&gt;"BET",0,IF(AI31*Method!$B$10/100&lt;Method!$B$9,0,ROUND(AI31*Method!$B$10/100,0))))</f>
        <v>0</v>
      </c>
      <c r="BB31" s="70">
        <v>0.0</v>
      </c>
      <c r="BC31" s="70">
        <v>0.2297356521291819</v>
      </c>
      <c r="BD31" s="70">
        <v>0.2954029707597173</v>
      </c>
      <c r="BE31" s="70">
        <v>0.4484544651409952</v>
      </c>
      <c r="BG31" s="70">
        <v>40.0</v>
      </c>
      <c r="BH31" s="71" t="s">
        <v>214</v>
      </c>
      <c r="BI31" s="70">
        <v>0.0</v>
      </c>
    </row>
    <row r="32" ht="15.0" customHeight="1">
      <c r="A32" s="25">
        <v>31.0</v>
      </c>
      <c r="B32" s="55">
        <v>46192.0</v>
      </c>
      <c r="C32" s="25" t="s">
        <v>205</v>
      </c>
      <c r="D32" s="56" t="s">
        <v>206</v>
      </c>
      <c r="E32" s="56" t="s">
        <v>210</v>
      </c>
      <c r="F32" s="56" t="s">
        <v>232</v>
      </c>
      <c r="G32" s="25" t="s">
        <v>213</v>
      </c>
      <c r="H32" s="25" t="s">
        <v>198</v>
      </c>
      <c r="I32" s="57">
        <v>0.7079961165446254</v>
      </c>
      <c r="J32" s="57">
        <v>0.2028169285473039</v>
      </c>
      <c r="K32" s="57">
        <v>0.0891869549080708</v>
      </c>
      <c r="L32" s="58" t="str">
        <f>IF(Matchday!E34="","",Matchday!E34)</f>
        <v/>
      </c>
      <c r="M32" s="58" t="str">
        <f>IF(Matchday!F34="","",Matchday!F34)</f>
        <v/>
      </c>
      <c r="N32" s="58" t="str">
        <f>IF(Matchday!G34="","",Matchday!G34)</f>
        <v/>
      </c>
      <c r="O32" s="59" t="str">
        <f t="shared" ref="O32:Q32" si="75">IF(L32="","",1/L32)</f>
        <v/>
      </c>
      <c r="P32" s="59" t="str">
        <f t="shared" si="75"/>
        <v/>
      </c>
      <c r="Q32" s="59" t="str">
        <f t="shared" si="75"/>
        <v/>
      </c>
      <c r="R32" s="59" t="str">
        <f t="shared" si="4"/>
        <v/>
      </c>
      <c r="S32" s="59" t="str">
        <f t="array" ref="S32">IF($R32="","",IF(Method!$B$56="proportional",O32/$R32,IF(Method!$B$56="power",IFERROR(INDEX(power_devig($L32,$M32,$N32),1,1),O32/$R32),IFERROR(INDEX(shin($L32,$M32,$N32),1,1),O32/$R32))))</f>
        <v/>
      </c>
      <c r="T32" s="59" t="str">
        <f t="array" ref="T32">IF($R32="","",IF(Method!$B$56="proportional",P32/$R32,IF(Method!$B$56="power",IFERROR(INDEX(power_devig($L32,$M32,$N32),2,1),P32/$R32),IFERROR(INDEX(shin($L32,$M32,$N32),2,1),P32/$R32))))</f>
        <v/>
      </c>
      <c r="U32" s="59" t="str">
        <f t="array" ref="U32">IF($R32="","",IF(Method!$B$56="proportional",Q32/$R32,IF(Method!$B$56="power",IFERROR(INDEX(power_devig($L32,$M32,$N32),3,1),Q32/$R32),IFERROR(INDEX(shin($L32,$M32,$N32),3,1),Q32/$R32))))</f>
        <v/>
      </c>
      <c r="V32" s="59" t="str">
        <f>IF(S32="","",Method!$B$4*I32+(1-Method!$B$4)*S32/($S32+$T32+$U32))</f>
        <v/>
      </c>
      <c r="W32" s="59" t="str">
        <f>IF(T32="","",Method!$B$4*J32+(1-Method!$B$4)*T32/($S32+$T32+$U32))</f>
        <v/>
      </c>
      <c r="X32" s="59" t="str">
        <f>IF(U32="","",Method!$B$4*K32+(1-Method!$B$4)*U32/($S32+$T32+$U32))</f>
        <v/>
      </c>
      <c r="Y32" s="60" t="str">
        <f t="shared" ref="Y32:AA32" si="76">IF(V32="","",V32*L32-1)</f>
        <v/>
      </c>
      <c r="Z32" s="60" t="str">
        <f t="shared" si="76"/>
        <v/>
      </c>
      <c r="AA32" s="60" t="str">
        <f t="shared" si="76"/>
        <v/>
      </c>
      <c r="AB32" s="56" t="str">
        <f t="shared" si="6"/>
        <v/>
      </c>
      <c r="AC32" s="56" t="str">
        <f t="shared" si="7"/>
        <v/>
      </c>
      <c r="AD32" s="61" t="str">
        <f t="shared" si="8"/>
        <v/>
      </c>
      <c r="AE32" s="28" t="str">
        <f t="shared" si="9"/>
        <v/>
      </c>
      <c r="AF32" s="60" t="str">
        <f t="shared" si="10"/>
        <v/>
      </c>
      <c r="AG32" s="60" t="str">
        <f t="shared" si="11"/>
        <v/>
      </c>
      <c r="AH32" s="62" t="str">
        <f>IF(AB32="","· enter odds",IF(AND(AF32&gt;=Method!$B$7,AG32&gt;=Method!$B$8),"BET","PASS"))</f>
        <v>· enter odds</v>
      </c>
      <c r="AI32" s="63">
        <f>IF(AH32&lt;&gt;"BET",0,ROUND(MIN(Method!$B$6,Method!$B$5*AL32)*100,1))</f>
        <v>0</v>
      </c>
      <c r="AJ32" s="64">
        <f>IF(OR(AH32&lt;&gt;"BET",Method!$B$55=TRUE()),0,IF(AI32*Method!$B$10/100&lt;Method!$B$9,0,ROUND(AI32*Method!$B$10/100,0)))</f>
        <v>0</v>
      </c>
      <c r="AK32" s="59" t="str">
        <f t="shared" si="12"/>
        <v/>
      </c>
      <c r="AL32" s="59" t="str">
        <f t="shared" si="13"/>
        <v/>
      </c>
      <c r="AM32" s="56" t="str">
        <f t="shared" si="14"/>
        <v/>
      </c>
      <c r="AN32" s="65" t="str">
        <f>IF(Matchday!N34="","",Matchday!N34)</f>
        <v/>
      </c>
      <c r="AO32" s="58" t="str">
        <f>IF(Matchday!P34="","",Matchday!P34)</f>
        <v/>
      </c>
      <c r="AP32" s="66" t="str">
        <f>IF(Matchday!Q34="","",Matchday!Q34)</f>
        <v/>
      </c>
      <c r="AQ32" s="65" t="str">
        <f>IF(Matchday!R34="","",Matchday!R34)</f>
        <v/>
      </c>
      <c r="AR32" s="67" t="str">
        <f t="shared" si="15"/>
        <v/>
      </c>
      <c r="AS32" s="67" t="str">
        <f t="shared" si="16"/>
        <v/>
      </c>
      <c r="AT32" s="26" t="str">
        <f>IF(AB32="","Type the 3 odds on the Matchday tab",IF(Method!$B$55=TRUE(),"🛑 PAUSED — drawdown "&amp;TEXT(Method!$B$51,"0.0%")&amp;" ≥ "&amp;TEXT(Method!$B$52,"0.0%")&amp;". Set Method!B54=Y to override.",IF(AH32="BET",IF(AJ32=0,"Edge found but stake rounds under £"&amp;Method!$B$9&amp;" — skip","Value found: EV "&amp;TEXT(AF32,"0.0%")&amp;", edge "&amp;TEXT(AG32,"0.0%")),IF(AF32&lt;Method!$B$7,"Price too short — EV "&amp;TEXT(AF32,"0.0%")&amp;" (need "&amp;TEXT(Method!$B$7,"0.0%")&amp;"+)","Model ≈ market — edge "&amp;TEXT(AG32,"0.0%")&amp;" (need "&amp;TEXT(Method!$B$8,"0.0%")&amp;"+)"))))</f>
        <v>Type the 3 odds on the Matchday tab</v>
      </c>
      <c r="AU32" s="26" t="str">
        <f t="shared" si="17"/>
        <v/>
      </c>
      <c r="AV32" s="25" t="str">
        <f>IF(Matchday!O34="","",Matchday!O34)</f>
        <v/>
      </c>
      <c r="AW32" s="68"/>
      <c r="AX32" s="68"/>
      <c r="AY32" s="68"/>
      <c r="AZ32" s="68" t="str">
        <f t="shared" si="18"/>
        <v>· enter odds</v>
      </c>
      <c r="BA32" s="69">
        <f>IF(AX32&lt;&gt;"",AX32,IF(AH32&lt;&gt;"BET",0,IF(AI32*Method!$B$10/100&lt;Method!$B$9,0,ROUND(AI32*Method!$B$10/100,0))))</f>
        <v>0</v>
      </c>
      <c r="BB32" s="70">
        <v>0.0</v>
      </c>
      <c r="BC32" s="70">
        <v>0.6578391277512353</v>
      </c>
      <c r="BD32" s="70">
        <v>0.22647467510642583</v>
      </c>
      <c r="BE32" s="70">
        <v>0.0903900597300139</v>
      </c>
      <c r="BG32" s="70">
        <v>12.0</v>
      </c>
      <c r="BH32" s="71" t="s">
        <v>186</v>
      </c>
      <c r="BI32" s="70">
        <v>137.4</v>
      </c>
    </row>
    <row r="33" ht="15.0" customHeight="1">
      <c r="A33" s="25">
        <v>32.0</v>
      </c>
      <c r="B33" s="55">
        <v>46192.0</v>
      </c>
      <c r="C33" s="25" t="s">
        <v>193</v>
      </c>
      <c r="D33" s="56" t="s">
        <v>216</v>
      </c>
      <c r="E33" s="56" t="s">
        <v>195</v>
      </c>
      <c r="F33" s="56" t="s">
        <v>202</v>
      </c>
      <c r="G33" s="25" t="s">
        <v>213</v>
      </c>
      <c r="H33" s="25" t="s">
        <v>218</v>
      </c>
      <c r="I33" s="57">
        <v>0.4394937279783724</v>
      </c>
      <c r="J33" s="57">
        <v>0.294064123434225</v>
      </c>
      <c r="K33" s="57">
        <v>0.2664421485874026</v>
      </c>
      <c r="L33" s="58" t="str">
        <f>IF(Matchday!E35="","",Matchday!E35)</f>
        <v/>
      </c>
      <c r="M33" s="58" t="str">
        <f>IF(Matchday!F35="","",Matchday!F35)</f>
        <v/>
      </c>
      <c r="N33" s="58" t="str">
        <f>IF(Matchday!G35="","",Matchday!G35)</f>
        <v/>
      </c>
      <c r="O33" s="59" t="str">
        <f t="shared" ref="O33:Q33" si="77">IF(L33="","",1/L33)</f>
        <v/>
      </c>
      <c r="P33" s="59" t="str">
        <f t="shared" si="77"/>
        <v/>
      </c>
      <c r="Q33" s="59" t="str">
        <f t="shared" si="77"/>
        <v/>
      </c>
      <c r="R33" s="59" t="str">
        <f t="shared" si="4"/>
        <v/>
      </c>
      <c r="S33" s="59" t="str">
        <f t="array" ref="S33">IF($R33="","",IF(Method!$B$56="proportional",O33/$R33,IF(Method!$B$56="power",IFERROR(INDEX(power_devig($L33,$M33,$N33),1,1),O33/$R33),IFERROR(INDEX(shin($L33,$M33,$N33),1,1),O33/$R33))))</f>
        <v/>
      </c>
      <c r="T33" s="59" t="str">
        <f t="array" ref="T33">IF($R33="","",IF(Method!$B$56="proportional",P33/$R33,IF(Method!$B$56="power",IFERROR(INDEX(power_devig($L33,$M33,$N33),2,1),P33/$R33),IFERROR(INDEX(shin($L33,$M33,$N33),2,1),P33/$R33))))</f>
        <v/>
      </c>
      <c r="U33" s="59" t="str">
        <f t="array" ref="U33">IF($R33="","",IF(Method!$B$56="proportional",Q33/$R33,IF(Method!$B$56="power",IFERROR(INDEX(power_devig($L33,$M33,$N33),3,1),Q33/$R33),IFERROR(INDEX(shin($L33,$M33,$N33),3,1),Q33/$R33))))</f>
        <v/>
      </c>
      <c r="V33" s="59" t="str">
        <f>IF(S33="","",Method!$B$4*I33+(1-Method!$B$4)*S33/($S33+$T33+$U33))</f>
        <v/>
      </c>
      <c r="W33" s="59" t="str">
        <f>IF(T33="","",Method!$B$4*J33+(1-Method!$B$4)*T33/($S33+$T33+$U33))</f>
        <v/>
      </c>
      <c r="X33" s="59" t="str">
        <f>IF(U33="","",Method!$B$4*K33+(1-Method!$B$4)*U33/($S33+$T33+$U33))</f>
        <v/>
      </c>
      <c r="Y33" s="60" t="str">
        <f t="shared" ref="Y33:AA33" si="78">IF(V33="","",V33*L33-1)</f>
        <v/>
      </c>
      <c r="Z33" s="60" t="str">
        <f t="shared" si="78"/>
        <v/>
      </c>
      <c r="AA33" s="60" t="str">
        <f t="shared" si="78"/>
        <v/>
      </c>
      <c r="AB33" s="56" t="str">
        <f t="shared" si="6"/>
        <v/>
      </c>
      <c r="AC33" s="56" t="str">
        <f t="shared" si="7"/>
        <v/>
      </c>
      <c r="AD33" s="61" t="str">
        <f t="shared" si="8"/>
        <v/>
      </c>
      <c r="AE33" s="28" t="str">
        <f t="shared" si="9"/>
        <v/>
      </c>
      <c r="AF33" s="60" t="str">
        <f t="shared" si="10"/>
        <v/>
      </c>
      <c r="AG33" s="60" t="str">
        <f t="shared" si="11"/>
        <v/>
      </c>
      <c r="AH33" s="62" t="str">
        <f>IF(AB33="","· enter odds",IF(AND(AF33&gt;=Method!$B$7,AG33&gt;=Method!$B$8),"BET","PASS"))</f>
        <v>· enter odds</v>
      </c>
      <c r="AI33" s="63">
        <f>IF(AH33&lt;&gt;"BET",0,ROUND(MIN(Method!$B$6,Method!$B$5*AL33)*100,1))</f>
        <v>0</v>
      </c>
      <c r="AJ33" s="64">
        <f>IF(OR(AH33&lt;&gt;"BET",Method!$B$55=TRUE()),0,IF(AI33*Method!$B$10/100&lt;Method!$B$9,0,ROUND(AI33*Method!$B$10/100,0)))</f>
        <v>0</v>
      </c>
      <c r="AK33" s="59" t="str">
        <f t="shared" si="12"/>
        <v/>
      </c>
      <c r="AL33" s="59" t="str">
        <f t="shared" si="13"/>
        <v/>
      </c>
      <c r="AM33" s="56" t="str">
        <f t="shared" si="14"/>
        <v/>
      </c>
      <c r="AN33" s="65" t="str">
        <f>IF(Matchday!N35="","",Matchday!N35)</f>
        <v/>
      </c>
      <c r="AO33" s="58" t="str">
        <f>IF(Matchday!P35="","",Matchday!P35)</f>
        <v/>
      </c>
      <c r="AP33" s="66" t="str">
        <f>IF(Matchday!Q35="","",Matchday!Q35)</f>
        <v/>
      </c>
      <c r="AQ33" s="65" t="str">
        <f>IF(Matchday!R35="","",Matchday!R35)</f>
        <v/>
      </c>
      <c r="AR33" s="67" t="str">
        <f t="shared" si="15"/>
        <v/>
      </c>
      <c r="AS33" s="67" t="str">
        <f t="shared" si="16"/>
        <v/>
      </c>
      <c r="AT33" s="26" t="str">
        <f>IF(AB33="","Type the 3 odds on the Matchday tab",IF(Method!$B$55=TRUE(),"🛑 PAUSED — drawdown "&amp;TEXT(Method!$B$51,"0.0%")&amp;" ≥ "&amp;TEXT(Method!$B$52,"0.0%")&amp;". Set Method!B54=Y to override.",IF(AH33="BET",IF(AJ33=0,"Edge found but stake rounds under £"&amp;Method!$B$9&amp;" — skip","Value found: EV "&amp;TEXT(AF33,"0.0%")&amp;", edge "&amp;TEXT(AG33,"0.0%")),IF(AF33&lt;Method!$B$7,"Price too short — EV "&amp;TEXT(AF33,"0.0%")&amp;" (need "&amp;TEXT(Method!$B$7,"0.0%")&amp;"+)","Model ≈ market — edge "&amp;TEXT(AG33,"0.0%")&amp;" (need "&amp;TEXT(Method!$B$8,"0.0%")&amp;"+)"))))</f>
        <v>Type the 3 odds on the Matchday tab</v>
      </c>
      <c r="AU33" s="26" t="str">
        <f t="shared" si="17"/>
        <v/>
      </c>
      <c r="AV33" s="25" t="str">
        <f>IF(Matchday!O35="","",Matchday!O35)</f>
        <v/>
      </c>
      <c r="AW33" s="68"/>
      <c r="AX33" s="68"/>
      <c r="AY33" s="68"/>
      <c r="AZ33" s="68" t="str">
        <f t="shared" si="18"/>
        <v>· enter odds</v>
      </c>
      <c r="BA33" s="69">
        <f>IF(AX33&lt;&gt;"",AX33,IF(AH33&lt;&gt;"BET",0,IF(AI33*Method!$B$10/100&lt;Method!$B$9,0,ROUND(AI33*Method!$B$10/100,0))))</f>
        <v>0</v>
      </c>
      <c r="BB33" s="70">
        <v>0.0</v>
      </c>
      <c r="BC33" s="70">
        <v>0.42396401052375343</v>
      </c>
      <c r="BD33" s="70">
        <v>0.29141666134509675</v>
      </c>
      <c r="BE33" s="70">
        <v>0.27153729903489743</v>
      </c>
      <c r="BG33" s="70">
        <v>8.0</v>
      </c>
      <c r="BH33" s="71" t="s">
        <v>204</v>
      </c>
      <c r="BI33" s="70">
        <v>1323.5</v>
      </c>
    </row>
    <row r="34" ht="15.0" customHeight="1">
      <c r="A34" s="25">
        <v>33.0</v>
      </c>
      <c r="B34" s="55">
        <v>46193.0</v>
      </c>
      <c r="C34" s="25" t="s">
        <v>225</v>
      </c>
      <c r="D34" s="56" t="s">
        <v>226</v>
      </c>
      <c r="E34" s="56" t="s">
        <v>235</v>
      </c>
      <c r="F34" s="56" t="s">
        <v>223</v>
      </c>
      <c r="G34" s="25" t="s">
        <v>176</v>
      </c>
      <c r="H34" s="25" t="s">
        <v>233</v>
      </c>
      <c r="I34" s="57">
        <v>0.6352495938492999</v>
      </c>
      <c r="J34" s="57">
        <v>0.2157863012842806</v>
      </c>
      <c r="K34" s="57">
        <v>0.14896410486641937</v>
      </c>
      <c r="L34" s="58" t="str">
        <f>IF(Matchday!E36="","",Matchday!E36)</f>
        <v/>
      </c>
      <c r="M34" s="58" t="str">
        <f>IF(Matchday!F36="","",Matchday!F36)</f>
        <v/>
      </c>
      <c r="N34" s="58" t="str">
        <f>IF(Matchday!G36="","",Matchday!G36)</f>
        <v/>
      </c>
      <c r="O34" s="59" t="str">
        <f t="shared" ref="O34:Q34" si="79">IF(L34="","",1/L34)</f>
        <v/>
      </c>
      <c r="P34" s="59" t="str">
        <f t="shared" si="79"/>
        <v/>
      </c>
      <c r="Q34" s="59" t="str">
        <f t="shared" si="79"/>
        <v/>
      </c>
      <c r="R34" s="59" t="str">
        <f t="shared" si="4"/>
        <v/>
      </c>
      <c r="S34" s="59" t="str">
        <f t="array" ref="S34">IF($R34="","",IF(Method!$B$56="proportional",O34/$R34,IF(Method!$B$56="power",IFERROR(INDEX(power_devig($L34,$M34,$N34),1,1),O34/$R34),IFERROR(INDEX(shin($L34,$M34,$N34),1,1),O34/$R34))))</f>
        <v/>
      </c>
      <c r="T34" s="59" t="str">
        <f t="array" ref="T34">IF($R34="","",IF(Method!$B$56="proportional",P34/$R34,IF(Method!$B$56="power",IFERROR(INDEX(power_devig($L34,$M34,$N34),2,1),P34/$R34),IFERROR(INDEX(shin($L34,$M34,$N34),2,1),P34/$R34))))</f>
        <v/>
      </c>
      <c r="U34" s="59" t="str">
        <f t="array" ref="U34">IF($R34="","",IF(Method!$B$56="proportional",Q34/$R34,IF(Method!$B$56="power",IFERROR(INDEX(power_devig($L34,$M34,$N34),3,1),Q34/$R34),IFERROR(INDEX(shin($L34,$M34,$N34),3,1),Q34/$R34))))</f>
        <v/>
      </c>
      <c r="V34" s="59" t="str">
        <f>IF(S34="","",Method!$B$4*I34+(1-Method!$B$4)*S34/($S34+$T34+$U34))</f>
        <v/>
      </c>
      <c r="W34" s="59" t="str">
        <f>IF(T34="","",Method!$B$4*J34+(1-Method!$B$4)*T34/($S34+$T34+$U34))</f>
        <v/>
      </c>
      <c r="X34" s="59" t="str">
        <f>IF(U34="","",Method!$B$4*K34+(1-Method!$B$4)*U34/($S34+$T34+$U34))</f>
        <v/>
      </c>
      <c r="Y34" s="60" t="str">
        <f t="shared" ref="Y34:AA34" si="80">IF(V34="","",V34*L34-1)</f>
        <v/>
      </c>
      <c r="Z34" s="60" t="str">
        <f t="shared" si="80"/>
        <v/>
      </c>
      <c r="AA34" s="60" t="str">
        <f t="shared" si="80"/>
        <v/>
      </c>
      <c r="AB34" s="56" t="str">
        <f t="shared" si="6"/>
        <v/>
      </c>
      <c r="AC34" s="56" t="str">
        <f t="shared" si="7"/>
        <v/>
      </c>
      <c r="AD34" s="61" t="str">
        <f t="shared" si="8"/>
        <v/>
      </c>
      <c r="AE34" s="28" t="str">
        <f t="shared" si="9"/>
        <v/>
      </c>
      <c r="AF34" s="60" t="str">
        <f t="shared" si="10"/>
        <v/>
      </c>
      <c r="AG34" s="60" t="str">
        <f t="shared" si="11"/>
        <v/>
      </c>
      <c r="AH34" s="62" t="str">
        <f>IF(AB34="","· enter odds",IF(AND(AF34&gt;=Method!$B$7,AG34&gt;=Method!$B$8),"BET","PASS"))</f>
        <v>· enter odds</v>
      </c>
      <c r="AI34" s="63">
        <f>IF(AH34&lt;&gt;"BET",0,ROUND(MIN(Method!$B$6,Method!$B$5*AL34)*100,1))</f>
        <v>0</v>
      </c>
      <c r="AJ34" s="64">
        <f>IF(OR(AH34&lt;&gt;"BET",Method!$B$55=TRUE()),0,IF(AI34*Method!$B$10/100&lt;Method!$B$9,0,ROUND(AI34*Method!$B$10/100,0)))</f>
        <v>0</v>
      </c>
      <c r="AK34" s="59" t="str">
        <f t="shared" si="12"/>
        <v/>
      </c>
      <c r="AL34" s="59" t="str">
        <f t="shared" si="13"/>
        <v/>
      </c>
      <c r="AM34" s="56" t="str">
        <f t="shared" si="14"/>
        <v/>
      </c>
      <c r="AN34" s="65" t="str">
        <f>IF(Matchday!N36="","",Matchday!N36)</f>
        <v/>
      </c>
      <c r="AO34" s="58" t="str">
        <f>IF(Matchday!P36="","",Matchday!P36)</f>
        <v/>
      </c>
      <c r="AP34" s="66" t="str">
        <f>IF(Matchday!Q36="","",Matchday!Q36)</f>
        <v/>
      </c>
      <c r="AQ34" s="65" t="str">
        <f>IF(Matchday!R36="","",Matchday!R36)</f>
        <v/>
      </c>
      <c r="AR34" s="67" t="str">
        <f t="shared" si="15"/>
        <v/>
      </c>
      <c r="AS34" s="67" t="str">
        <f t="shared" si="16"/>
        <v/>
      </c>
      <c r="AT34" s="26" t="str">
        <f>IF(AB34="","Type the 3 odds on the Matchday tab",IF(Method!$B$55=TRUE(),"🛑 PAUSED — drawdown "&amp;TEXT(Method!$B$51,"0.0%")&amp;" ≥ "&amp;TEXT(Method!$B$52,"0.0%")&amp;". Set Method!B54=Y to override.",IF(AH34="BET",IF(AJ34=0,"Edge found but stake rounds under £"&amp;Method!$B$9&amp;" — skip","Value found: EV "&amp;TEXT(AF34,"0.0%")&amp;", edge "&amp;TEXT(AG34,"0.0%")),IF(AF34&lt;Method!$B$7,"Price too short — EV "&amp;TEXT(AF34,"0.0%")&amp;" (need "&amp;TEXT(Method!$B$7,"0.0%")&amp;"+)","Model ≈ market — edge "&amp;TEXT(AG34,"0.0%")&amp;" (need "&amp;TEXT(Method!$B$8,"0.0%")&amp;"+)"))))</f>
        <v>Type the 3 odds on the Matchday tab</v>
      </c>
      <c r="AU34" s="26" t="str">
        <f t="shared" si="17"/>
        <v/>
      </c>
      <c r="AV34" s="25" t="str">
        <f>IF(Matchday!O36="","",Matchday!O36)</f>
        <v/>
      </c>
      <c r="AW34" s="68"/>
      <c r="AX34" s="68"/>
      <c r="AY34" s="68"/>
      <c r="AZ34" s="68" t="str">
        <f t="shared" si="18"/>
        <v>· enter odds</v>
      </c>
      <c r="BA34" s="69">
        <f>IF(AX34&lt;&gt;"",AX34,IF(AH34&lt;&gt;"BET",0,IF(AI34*Method!$B$10/100&lt;Method!$B$9,0,ROUND(AI34*Method!$B$10/100,0))))</f>
        <v>0</v>
      </c>
      <c r="BB34" s="70">
        <v>-8.0</v>
      </c>
      <c r="BC34" s="70">
        <v>0.5870899821622474</v>
      </c>
      <c r="BD34" s="70">
        <v>0.23903037428479834</v>
      </c>
      <c r="BE34" s="70">
        <v>0.15441215972266017</v>
      </c>
      <c r="BF34" s="71" t="s">
        <v>280</v>
      </c>
      <c r="BG34" s="70">
        <v>15.0</v>
      </c>
      <c r="BH34" s="71" t="s">
        <v>224</v>
      </c>
      <c r="BI34" s="70">
        <v>376.3</v>
      </c>
    </row>
    <row r="35" ht="15.0" customHeight="1">
      <c r="A35" s="25">
        <v>34.0</v>
      </c>
      <c r="B35" s="55">
        <v>46193.0</v>
      </c>
      <c r="C35" s="25" t="s">
        <v>220</v>
      </c>
      <c r="D35" s="56" t="s">
        <v>221</v>
      </c>
      <c r="E35" s="56" t="s">
        <v>230</v>
      </c>
      <c r="F35" s="56" t="s">
        <v>190</v>
      </c>
      <c r="G35" s="25" t="s">
        <v>281</v>
      </c>
      <c r="H35" s="25" t="s">
        <v>213</v>
      </c>
      <c r="I35" s="57">
        <v>0.5663703998701402</v>
      </c>
      <c r="J35" s="57">
        <v>0.26484153532157745</v>
      </c>
      <c r="K35" s="57">
        <v>0.16878806480828254</v>
      </c>
      <c r="L35" s="58" t="str">
        <f>IF(Matchday!E37="","",Matchday!E37)</f>
        <v/>
      </c>
      <c r="M35" s="58" t="str">
        <f>IF(Matchday!F37="","",Matchday!F37)</f>
        <v/>
      </c>
      <c r="N35" s="58" t="str">
        <f>IF(Matchday!G37="","",Matchday!G37)</f>
        <v/>
      </c>
      <c r="O35" s="59" t="str">
        <f t="shared" ref="O35:Q35" si="81">IF(L35="","",1/L35)</f>
        <v/>
      </c>
      <c r="P35" s="59" t="str">
        <f t="shared" si="81"/>
        <v/>
      </c>
      <c r="Q35" s="59" t="str">
        <f t="shared" si="81"/>
        <v/>
      </c>
      <c r="R35" s="59" t="str">
        <f t="shared" si="4"/>
        <v/>
      </c>
      <c r="S35" s="59" t="str">
        <f t="array" ref="S35">IF($R35="","",IF(Method!$B$56="proportional",O35/$R35,IF(Method!$B$56="power",IFERROR(INDEX(power_devig($L35,$M35,$N35),1,1),O35/$R35),IFERROR(INDEX(shin($L35,$M35,$N35),1,1),O35/$R35))))</f>
        <v/>
      </c>
      <c r="T35" s="59" t="str">
        <f t="array" ref="T35">IF($R35="","",IF(Method!$B$56="proportional",P35/$R35,IF(Method!$B$56="power",IFERROR(INDEX(power_devig($L35,$M35,$N35),2,1),P35/$R35),IFERROR(INDEX(shin($L35,$M35,$N35),2,1),P35/$R35))))</f>
        <v/>
      </c>
      <c r="U35" s="59" t="str">
        <f t="array" ref="U35">IF($R35="","",IF(Method!$B$56="proportional",Q35/$R35,IF(Method!$B$56="power",IFERROR(INDEX(power_devig($L35,$M35,$N35),3,1),Q35/$R35),IFERROR(INDEX(shin($L35,$M35,$N35),3,1),Q35/$R35))))</f>
        <v/>
      </c>
      <c r="V35" s="59" t="str">
        <f>IF(S35="","",Method!$B$4*I35+(1-Method!$B$4)*S35/($S35+$T35+$U35))</f>
        <v/>
      </c>
      <c r="W35" s="59" t="str">
        <f>IF(T35="","",Method!$B$4*J35+(1-Method!$B$4)*T35/($S35+$T35+$U35))</f>
        <v/>
      </c>
      <c r="X35" s="59" t="str">
        <f>IF(U35="","",Method!$B$4*K35+(1-Method!$B$4)*U35/($S35+$T35+$U35))</f>
        <v/>
      </c>
      <c r="Y35" s="60" t="str">
        <f t="shared" ref="Y35:AA35" si="82">IF(V35="","",V35*L35-1)</f>
        <v/>
      </c>
      <c r="Z35" s="60" t="str">
        <f t="shared" si="82"/>
        <v/>
      </c>
      <c r="AA35" s="60" t="str">
        <f t="shared" si="82"/>
        <v/>
      </c>
      <c r="AB35" s="56" t="str">
        <f t="shared" si="6"/>
        <v/>
      </c>
      <c r="AC35" s="56" t="str">
        <f t="shared" si="7"/>
        <v/>
      </c>
      <c r="AD35" s="61" t="str">
        <f t="shared" si="8"/>
        <v/>
      </c>
      <c r="AE35" s="28" t="str">
        <f t="shared" si="9"/>
        <v/>
      </c>
      <c r="AF35" s="60" t="str">
        <f t="shared" si="10"/>
        <v/>
      </c>
      <c r="AG35" s="60" t="str">
        <f t="shared" si="11"/>
        <v/>
      </c>
      <c r="AH35" s="62" t="str">
        <f>IF(AB35="","· enter odds",IF(AND(AF35&gt;=Method!$B$7,AG35&gt;=Method!$B$8),"BET","PASS"))</f>
        <v>· enter odds</v>
      </c>
      <c r="AI35" s="63">
        <f>IF(AH35&lt;&gt;"BET",0,ROUND(MIN(Method!$B$6,Method!$B$5*AL35)*100,1))</f>
        <v>0</v>
      </c>
      <c r="AJ35" s="64">
        <f>IF(OR(AH35&lt;&gt;"BET",Method!$B$55=TRUE()),0,IF(AI35*Method!$B$10/100&lt;Method!$B$9,0,ROUND(AI35*Method!$B$10/100,0)))</f>
        <v>0</v>
      </c>
      <c r="AK35" s="59" t="str">
        <f t="shared" si="12"/>
        <v/>
      </c>
      <c r="AL35" s="59" t="str">
        <f t="shared" si="13"/>
        <v/>
      </c>
      <c r="AM35" s="56" t="str">
        <f t="shared" si="14"/>
        <v/>
      </c>
      <c r="AN35" s="65" t="str">
        <f>IF(Matchday!N37="","",Matchday!N37)</f>
        <v/>
      </c>
      <c r="AO35" s="58" t="str">
        <f>IF(Matchday!P37="","",Matchday!P37)</f>
        <v/>
      </c>
      <c r="AP35" s="66" t="str">
        <f>IF(Matchday!Q37="","",Matchday!Q37)</f>
        <v/>
      </c>
      <c r="AQ35" s="65" t="str">
        <f>IF(Matchday!R37="","",Matchday!R37)</f>
        <v/>
      </c>
      <c r="AR35" s="67" t="str">
        <f t="shared" si="15"/>
        <v/>
      </c>
      <c r="AS35" s="67" t="str">
        <f t="shared" si="16"/>
        <v/>
      </c>
      <c r="AT35" s="26" t="str">
        <f>IF(AB35="","Type the 3 odds on the Matchday tab",IF(Method!$B$55=TRUE(),"🛑 PAUSED — drawdown "&amp;TEXT(Method!$B$51,"0.0%")&amp;" ≥ "&amp;TEXT(Method!$B$52,"0.0%")&amp;". Set Method!B54=Y to override.",IF(AH35="BET",IF(AJ35=0,"Edge found but stake rounds under £"&amp;Method!$B$9&amp;" — skip","Value found: EV "&amp;TEXT(AF35,"0.0%")&amp;", edge "&amp;TEXT(AG35,"0.0%")),IF(AF35&lt;Method!$B$7,"Price too short — EV "&amp;TEXT(AF35,"0.0%")&amp;" (need "&amp;TEXT(Method!$B$7,"0.0%")&amp;"+)","Model ≈ market — edge "&amp;TEXT(AG35,"0.0%")&amp;" (need "&amp;TEXT(Method!$B$8,"0.0%")&amp;"+)"))))</f>
        <v>Type the 3 odds on the Matchday tab</v>
      </c>
      <c r="AU35" s="26" t="str">
        <f t="shared" si="17"/>
        <v/>
      </c>
      <c r="AV35" s="25" t="str">
        <f>IF(Matchday!O37="","",Matchday!O37)</f>
        <v/>
      </c>
      <c r="AW35" s="68"/>
      <c r="AX35" s="68"/>
      <c r="AY35" s="68"/>
      <c r="AZ35" s="68" t="str">
        <f t="shared" si="18"/>
        <v>· enter odds</v>
      </c>
      <c r="BA35" s="69">
        <f>IF(AX35&lt;&gt;"",AX35,IF(AH35&lt;&gt;"BET",0,IF(AI35*Method!$B$10/100&lt;Method!$B$9,0,ROUND(AI35*Method!$B$10/100,0))))</f>
        <v>0</v>
      </c>
      <c r="BB35" s="70">
        <v>0.0</v>
      </c>
      <c r="BC35" s="70">
        <v>0.5443855629069225</v>
      </c>
      <c r="BD35" s="70">
        <v>0.2803681381651781</v>
      </c>
      <c r="BE35" s="70">
        <v>0.1739276921669461</v>
      </c>
      <c r="BG35" s="70">
        <v>76.0</v>
      </c>
      <c r="BH35" s="71" t="s">
        <v>192</v>
      </c>
      <c r="BI35" s="70">
        <v>2099.8</v>
      </c>
    </row>
    <row r="36" ht="15.0" customHeight="1">
      <c r="A36" s="25">
        <v>35.0</v>
      </c>
      <c r="B36" s="55">
        <v>46193.0</v>
      </c>
      <c r="C36" s="25" t="s">
        <v>220</v>
      </c>
      <c r="D36" s="56" t="s">
        <v>231</v>
      </c>
      <c r="E36" s="56" t="s">
        <v>222</v>
      </c>
      <c r="F36" s="56" t="s">
        <v>263</v>
      </c>
      <c r="G36" s="25" t="s">
        <v>233</v>
      </c>
      <c r="H36" s="25" t="s">
        <v>282</v>
      </c>
      <c r="I36" s="57">
        <v>0.7281506223469649</v>
      </c>
      <c r="J36" s="57">
        <v>0.1920817567417853</v>
      </c>
      <c r="K36" s="57">
        <v>0.07976762091124973</v>
      </c>
      <c r="L36" s="58" t="str">
        <f>IF(Matchday!E38="","",Matchday!E38)</f>
        <v/>
      </c>
      <c r="M36" s="58" t="str">
        <f>IF(Matchday!F38="","",Matchday!F38)</f>
        <v/>
      </c>
      <c r="N36" s="58" t="str">
        <f>IF(Matchday!G38="","",Matchday!G38)</f>
        <v/>
      </c>
      <c r="O36" s="59" t="str">
        <f t="shared" ref="O36:Q36" si="83">IF(L36="","",1/L36)</f>
        <v/>
      </c>
      <c r="P36" s="59" t="str">
        <f t="shared" si="83"/>
        <v/>
      </c>
      <c r="Q36" s="59" t="str">
        <f t="shared" si="83"/>
        <v/>
      </c>
      <c r="R36" s="59" t="str">
        <f t="shared" si="4"/>
        <v/>
      </c>
      <c r="S36" s="59" t="str">
        <f t="array" ref="S36">IF($R36="","",IF(Method!$B$56="proportional",O36/$R36,IF(Method!$B$56="power",IFERROR(INDEX(power_devig($L36,$M36,$N36),1,1),O36/$R36),IFERROR(INDEX(shin($L36,$M36,$N36),1,1),O36/$R36))))</f>
        <v/>
      </c>
      <c r="T36" s="59" t="str">
        <f t="array" ref="T36">IF($R36="","",IF(Method!$B$56="proportional",P36/$R36,IF(Method!$B$56="power",IFERROR(INDEX(power_devig($L36,$M36,$N36),2,1),P36/$R36),IFERROR(INDEX(shin($L36,$M36,$N36),2,1),P36/$R36))))</f>
        <v/>
      </c>
      <c r="U36" s="59" t="str">
        <f t="array" ref="U36">IF($R36="","",IF(Method!$B$56="proportional",Q36/$R36,IF(Method!$B$56="power",IFERROR(INDEX(power_devig($L36,$M36,$N36),3,1),Q36/$R36),IFERROR(INDEX(shin($L36,$M36,$N36),3,1),Q36/$R36))))</f>
        <v/>
      </c>
      <c r="V36" s="59" t="str">
        <f>IF(S36="","",Method!$B$4*I36+(1-Method!$B$4)*S36/($S36+$T36+$U36))</f>
        <v/>
      </c>
      <c r="W36" s="59" t="str">
        <f>IF(T36="","",Method!$B$4*J36+(1-Method!$B$4)*T36/($S36+$T36+$U36))</f>
        <v/>
      </c>
      <c r="X36" s="59" t="str">
        <f>IF(U36="","",Method!$B$4*K36+(1-Method!$B$4)*U36/($S36+$T36+$U36))</f>
        <v/>
      </c>
      <c r="Y36" s="60" t="str">
        <f t="shared" ref="Y36:AA36" si="84">IF(V36="","",V36*L36-1)</f>
        <v/>
      </c>
      <c r="Z36" s="60" t="str">
        <f t="shared" si="84"/>
        <v/>
      </c>
      <c r="AA36" s="60" t="str">
        <f t="shared" si="84"/>
        <v/>
      </c>
      <c r="AB36" s="56" t="str">
        <f t="shared" si="6"/>
        <v/>
      </c>
      <c r="AC36" s="56" t="str">
        <f t="shared" si="7"/>
        <v/>
      </c>
      <c r="AD36" s="61" t="str">
        <f t="shared" si="8"/>
        <v/>
      </c>
      <c r="AE36" s="28" t="str">
        <f t="shared" si="9"/>
        <v/>
      </c>
      <c r="AF36" s="60" t="str">
        <f t="shared" si="10"/>
        <v/>
      </c>
      <c r="AG36" s="60" t="str">
        <f t="shared" si="11"/>
        <v/>
      </c>
      <c r="AH36" s="62" t="str">
        <f>IF(AB36="","· enter odds",IF(AND(AF36&gt;=Method!$B$7,AG36&gt;=Method!$B$8),"BET","PASS"))</f>
        <v>· enter odds</v>
      </c>
      <c r="AI36" s="63">
        <f>IF(AH36&lt;&gt;"BET",0,ROUND(MIN(Method!$B$6,Method!$B$5*AL36)*100,1))</f>
        <v>0</v>
      </c>
      <c r="AJ36" s="64">
        <f>IF(OR(AH36&lt;&gt;"BET",Method!$B$55=TRUE()),0,IF(AI36*Method!$B$10/100&lt;Method!$B$9,0,ROUND(AI36*Method!$B$10/100,0)))</f>
        <v>0</v>
      </c>
      <c r="AK36" s="59" t="str">
        <f t="shared" si="12"/>
        <v/>
      </c>
      <c r="AL36" s="59" t="str">
        <f t="shared" si="13"/>
        <v/>
      </c>
      <c r="AM36" s="56" t="str">
        <f t="shared" si="14"/>
        <v/>
      </c>
      <c r="AN36" s="65" t="str">
        <f>IF(Matchday!N38="","",Matchday!N38)</f>
        <v/>
      </c>
      <c r="AO36" s="58" t="str">
        <f>IF(Matchday!P38="","",Matchday!P38)</f>
        <v/>
      </c>
      <c r="AP36" s="66" t="str">
        <f>IF(Matchday!Q38="","",Matchday!Q38)</f>
        <v/>
      </c>
      <c r="AQ36" s="65" t="str">
        <f>IF(Matchday!R38="","",Matchday!R38)</f>
        <v/>
      </c>
      <c r="AR36" s="67" t="str">
        <f t="shared" si="15"/>
        <v/>
      </c>
      <c r="AS36" s="67" t="str">
        <f t="shared" si="16"/>
        <v/>
      </c>
      <c r="AT36" s="26" t="str">
        <f>IF(AB36="","Type the 3 odds on the Matchday tab",IF(Method!$B$55=TRUE(),"🛑 PAUSED — drawdown "&amp;TEXT(Method!$B$51,"0.0%")&amp;" ≥ "&amp;TEXT(Method!$B$52,"0.0%")&amp;". Set Method!B54=Y to override.",IF(AH36="BET",IF(AJ36=0,"Edge found but stake rounds under £"&amp;Method!$B$9&amp;" — skip","Value found: EV "&amp;TEXT(AF36,"0.0%")&amp;", edge "&amp;TEXT(AG36,"0.0%")),IF(AF36&lt;Method!$B$7,"Price too short — EV "&amp;TEXT(AF36,"0.0%")&amp;" (need "&amp;TEXT(Method!$B$7,"0.0%")&amp;"+)","Model ≈ market — edge "&amp;TEXT(AG36,"0.0%")&amp;" (need "&amp;TEXT(Method!$B$8,"0.0%")&amp;"+)"))))</f>
        <v>Type the 3 odds on the Matchday tab</v>
      </c>
      <c r="AU36" s="26" t="str">
        <f t="shared" si="17"/>
        <v/>
      </c>
      <c r="AV36" s="25" t="str">
        <f>IF(Matchday!O38="","",Matchday!O38)</f>
        <v/>
      </c>
      <c r="AW36" s="68"/>
      <c r="AX36" s="68"/>
      <c r="AY36" s="68"/>
      <c r="AZ36" s="68" t="str">
        <f t="shared" si="18"/>
        <v>· enter odds</v>
      </c>
      <c r="BA36" s="69">
        <f>IF(AX36&lt;&gt;"",AX36,IF(AH36&lt;&gt;"BET",0,IF(AI36*Method!$B$10/100&lt;Method!$B$9,0,ROUND(AI36*Method!$B$10/100,0))))</f>
        <v>0</v>
      </c>
      <c r="BB36" s="70">
        <v>0.0</v>
      </c>
      <c r="BC36" s="70">
        <v>0.6790271270386672</v>
      </c>
      <c r="BD36" s="70">
        <v>0.21608191436527238</v>
      </c>
      <c r="BE36" s="70">
        <v>0.0802764750106328</v>
      </c>
      <c r="BG36" s="70">
        <v>270.0</v>
      </c>
      <c r="BH36" s="71" t="s">
        <v>264</v>
      </c>
      <c r="BI36" s="70">
        <v>1657.4</v>
      </c>
    </row>
    <row r="37" ht="15.0" customHeight="1">
      <c r="A37" s="25">
        <v>36.0</v>
      </c>
      <c r="B37" s="55">
        <v>46193.0</v>
      </c>
      <c r="C37" s="25" t="s">
        <v>225</v>
      </c>
      <c r="D37" s="56" t="s">
        <v>236</v>
      </c>
      <c r="E37" s="56" t="s">
        <v>227</v>
      </c>
      <c r="F37" s="56" t="s">
        <v>237</v>
      </c>
      <c r="G37" s="25" t="s">
        <v>283</v>
      </c>
      <c r="H37" s="25" t="s">
        <v>218</v>
      </c>
      <c r="I37" s="57">
        <v>0.1358556877059177</v>
      </c>
      <c r="J37" s="57">
        <v>0.25814021706337903</v>
      </c>
      <c r="K37" s="57">
        <v>0.6060040952307032</v>
      </c>
      <c r="L37" s="58" t="str">
        <f>IF(Matchday!E39="","",Matchday!E39)</f>
        <v/>
      </c>
      <c r="M37" s="58" t="str">
        <f>IF(Matchday!F39="","",Matchday!F39)</f>
        <v/>
      </c>
      <c r="N37" s="58" t="str">
        <f>IF(Matchday!G39="","",Matchday!G39)</f>
        <v/>
      </c>
      <c r="O37" s="59" t="str">
        <f t="shared" ref="O37:Q37" si="85">IF(L37="","",1/L37)</f>
        <v/>
      </c>
      <c r="P37" s="59" t="str">
        <f t="shared" si="85"/>
        <v/>
      </c>
      <c r="Q37" s="59" t="str">
        <f t="shared" si="85"/>
        <v/>
      </c>
      <c r="R37" s="59" t="str">
        <f t="shared" si="4"/>
        <v/>
      </c>
      <c r="S37" s="59" t="str">
        <f t="array" ref="S37">IF($R37="","",IF(Method!$B$56="proportional",O37/$R37,IF(Method!$B$56="power",IFERROR(INDEX(power_devig($L37,$M37,$N37),1,1),O37/$R37),IFERROR(INDEX(shin($L37,$M37,$N37),1,1),O37/$R37))))</f>
        <v/>
      </c>
      <c r="T37" s="59" t="str">
        <f t="array" ref="T37">IF($R37="","",IF(Method!$B$56="proportional",P37/$R37,IF(Method!$B$56="power",IFERROR(INDEX(power_devig($L37,$M37,$N37),2,1),P37/$R37),IFERROR(INDEX(shin($L37,$M37,$N37),2,1),P37/$R37))))</f>
        <v/>
      </c>
      <c r="U37" s="59" t="str">
        <f t="array" ref="U37">IF($R37="","",IF(Method!$B$56="proportional",Q37/$R37,IF(Method!$B$56="power",IFERROR(INDEX(power_devig($L37,$M37,$N37),3,1),Q37/$R37),IFERROR(INDEX(shin($L37,$M37,$N37),3,1),Q37/$R37))))</f>
        <v/>
      </c>
      <c r="V37" s="59" t="str">
        <f>IF(S37="","",Method!$B$4*I37+(1-Method!$B$4)*S37/($S37+$T37+$U37))</f>
        <v/>
      </c>
      <c r="W37" s="59" t="str">
        <f>IF(T37="","",Method!$B$4*J37+(1-Method!$B$4)*T37/($S37+$T37+$U37))</f>
        <v/>
      </c>
      <c r="X37" s="59" t="str">
        <f>IF(U37="","",Method!$B$4*K37+(1-Method!$B$4)*U37/($S37+$T37+$U37))</f>
        <v/>
      </c>
      <c r="Y37" s="60" t="str">
        <f t="shared" ref="Y37:AA37" si="86">IF(V37="","",V37*L37-1)</f>
        <v/>
      </c>
      <c r="Z37" s="60" t="str">
        <f t="shared" si="86"/>
        <v/>
      </c>
      <c r="AA37" s="60" t="str">
        <f t="shared" si="86"/>
        <v/>
      </c>
      <c r="AB37" s="56" t="str">
        <f t="shared" si="6"/>
        <v/>
      </c>
      <c r="AC37" s="56" t="str">
        <f t="shared" si="7"/>
        <v/>
      </c>
      <c r="AD37" s="61" t="str">
        <f t="shared" si="8"/>
        <v/>
      </c>
      <c r="AE37" s="28" t="str">
        <f t="shared" si="9"/>
        <v/>
      </c>
      <c r="AF37" s="60" t="str">
        <f t="shared" si="10"/>
        <v/>
      </c>
      <c r="AG37" s="60" t="str">
        <f t="shared" si="11"/>
        <v/>
      </c>
      <c r="AH37" s="62" t="str">
        <f>IF(AB37="","· enter odds",IF(AND(AF37&gt;=Method!$B$7,AG37&gt;=Method!$B$8),"BET","PASS"))</f>
        <v>· enter odds</v>
      </c>
      <c r="AI37" s="63">
        <f>IF(AH37&lt;&gt;"BET",0,ROUND(MIN(Method!$B$6,Method!$B$5*AL37)*100,1))</f>
        <v>0</v>
      </c>
      <c r="AJ37" s="64">
        <f>IF(OR(AH37&lt;&gt;"BET",Method!$B$55=TRUE()),0,IF(AI37*Method!$B$10/100&lt;Method!$B$9,0,ROUND(AI37*Method!$B$10/100,0)))</f>
        <v>0</v>
      </c>
      <c r="AK37" s="59" t="str">
        <f t="shared" si="12"/>
        <v/>
      </c>
      <c r="AL37" s="59" t="str">
        <f t="shared" si="13"/>
        <v/>
      </c>
      <c r="AM37" s="56" t="str">
        <f t="shared" si="14"/>
        <v/>
      </c>
      <c r="AN37" s="65" t="str">
        <f>IF(Matchday!N39="","",Matchday!N39)</f>
        <v/>
      </c>
      <c r="AO37" s="58" t="str">
        <f>IF(Matchday!P39="","",Matchday!P39)</f>
        <v/>
      </c>
      <c r="AP37" s="66" t="str">
        <f>IF(Matchday!Q39="","",Matchday!Q39)</f>
        <v/>
      </c>
      <c r="AQ37" s="65" t="str">
        <f>IF(Matchday!R39="","",Matchday!R39)</f>
        <v/>
      </c>
      <c r="AR37" s="67" t="str">
        <f t="shared" si="15"/>
        <v/>
      </c>
      <c r="AS37" s="67" t="str">
        <f t="shared" si="16"/>
        <v/>
      </c>
      <c r="AT37" s="26" t="str">
        <f>IF(AB37="","Type the 3 odds on the Matchday tab",IF(Method!$B$55=TRUE(),"🛑 PAUSED — drawdown "&amp;TEXT(Method!$B$51,"0.0%")&amp;" ≥ "&amp;TEXT(Method!$B$52,"0.0%")&amp;". Set Method!B54=Y to override.",IF(AH37="BET",IF(AJ37=0,"Edge found but stake rounds under £"&amp;Method!$B$9&amp;" — skip","Value found: EV "&amp;TEXT(AF37,"0.0%")&amp;", edge "&amp;TEXT(AG37,"0.0%")),IF(AF37&lt;Method!$B$7,"Price too short — EV "&amp;TEXT(AF37,"0.0%")&amp;" (need "&amp;TEXT(Method!$B$7,"0.0%")&amp;"+)","Model ≈ market — edge "&amp;TEXT(AG37,"0.0%")&amp;" (need "&amp;TEXT(Method!$B$8,"0.0%")&amp;"+)"))))</f>
        <v>Type the 3 odds on the Matchday tab</v>
      </c>
      <c r="AU37" s="26" t="str">
        <f t="shared" si="17"/>
        <v/>
      </c>
      <c r="AV37" s="25" t="str">
        <f>IF(Matchday!O39="","",Matchday!O39)</f>
        <v/>
      </c>
      <c r="AW37" s="68"/>
      <c r="AX37" s="68"/>
      <c r="AY37" s="68"/>
      <c r="AZ37" s="68" t="str">
        <f t="shared" si="18"/>
        <v>· enter odds</v>
      </c>
      <c r="BA37" s="69">
        <f>IF(AX37&lt;&gt;"",AX37,IF(AH37&lt;&gt;"BET",0,IF(AI37*Method!$B$10/100&lt;Method!$B$9,0,ROUND(AI37*Method!$B$10/100,0))))</f>
        <v>0</v>
      </c>
      <c r="BB37" s="70">
        <v>0.0</v>
      </c>
      <c r="BC37" s="70">
        <v>0.11861038208793538</v>
      </c>
      <c r="BD37" s="70">
        <v>0.27783449296488616</v>
      </c>
      <c r="BE37" s="70">
        <v>0.591399590604738</v>
      </c>
      <c r="BG37" s="70">
        <v>540.0</v>
      </c>
      <c r="BH37" s="71" t="s">
        <v>239</v>
      </c>
      <c r="BI37" s="70">
        <v>0.0</v>
      </c>
    </row>
    <row r="38" ht="15.0" customHeight="1">
      <c r="A38" s="25">
        <v>37.0</v>
      </c>
      <c r="B38" s="55">
        <v>46194.0</v>
      </c>
      <c r="C38" s="25" t="s">
        <v>178</v>
      </c>
      <c r="D38" s="56" t="s">
        <v>240</v>
      </c>
      <c r="E38" s="56" t="s">
        <v>249</v>
      </c>
      <c r="F38" s="56" t="s">
        <v>242</v>
      </c>
      <c r="G38" s="25" t="s">
        <v>203</v>
      </c>
      <c r="H38" s="25" t="s">
        <v>243</v>
      </c>
      <c r="I38" s="57">
        <v>0.7537602544048767</v>
      </c>
      <c r="J38" s="57">
        <v>0.17298980477627843</v>
      </c>
      <c r="K38" s="57">
        <v>0.07324994081884494</v>
      </c>
      <c r="L38" s="58" t="str">
        <f>IF(Matchday!E40="","",Matchday!E40)</f>
        <v/>
      </c>
      <c r="M38" s="58" t="str">
        <f>IF(Matchday!F40="","",Matchday!F40)</f>
        <v/>
      </c>
      <c r="N38" s="58" t="str">
        <f>IF(Matchday!G40="","",Matchday!G40)</f>
        <v/>
      </c>
      <c r="O38" s="59" t="str">
        <f t="shared" ref="O38:Q38" si="87">IF(L38="","",1/L38)</f>
        <v/>
      </c>
      <c r="P38" s="59" t="str">
        <f t="shared" si="87"/>
        <v/>
      </c>
      <c r="Q38" s="59" t="str">
        <f t="shared" si="87"/>
        <v/>
      </c>
      <c r="R38" s="59" t="str">
        <f t="shared" si="4"/>
        <v/>
      </c>
      <c r="S38" s="59" t="str">
        <f t="array" ref="S38">IF($R38="","",IF(Method!$B$56="proportional",O38/$R38,IF(Method!$B$56="power",IFERROR(INDEX(power_devig($L38,$M38,$N38),1,1),O38/$R38),IFERROR(INDEX(shin($L38,$M38,$N38),1,1),O38/$R38))))</f>
        <v/>
      </c>
      <c r="T38" s="59" t="str">
        <f t="array" ref="T38">IF($R38="","",IF(Method!$B$56="proportional",P38/$R38,IF(Method!$B$56="power",IFERROR(INDEX(power_devig($L38,$M38,$N38),2,1),P38/$R38),IFERROR(INDEX(shin($L38,$M38,$N38),2,1),P38/$R38))))</f>
        <v/>
      </c>
      <c r="U38" s="59" t="str">
        <f t="array" ref="U38">IF($R38="","",IF(Method!$B$56="proportional",Q38/$R38,IF(Method!$B$56="power",IFERROR(INDEX(power_devig($L38,$M38,$N38),3,1),Q38/$R38),IFERROR(INDEX(shin($L38,$M38,$N38),3,1),Q38/$R38))))</f>
        <v/>
      </c>
      <c r="V38" s="59" t="str">
        <f>IF(S38="","",Method!$B$4*I38+(1-Method!$B$4)*S38/($S38+$T38+$U38))</f>
        <v/>
      </c>
      <c r="W38" s="59" t="str">
        <f>IF(T38="","",Method!$B$4*J38+(1-Method!$B$4)*T38/($S38+$T38+$U38))</f>
        <v/>
      </c>
      <c r="X38" s="59" t="str">
        <f>IF(U38="","",Method!$B$4*K38+(1-Method!$B$4)*U38/($S38+$T38+$U38))</f>
        <v/>
      </c>
      <c r="Y38" s="60" t="str">
        <f t="shared" ref="Y38:AA38" si="88">IF(V38="","",V38*L38-1)</f>
        <v/>
      </c>
      <c r="Z38" s="60" t="str">
        <f t="shared" si="88"/>
        <v/>
      </c>
      <c r="AA38" s="60" t="str">
        <f t="shared" si="88"/>
        <v/>
      </c>
      <c r="AB38" s="56" t="str">
        <f t="shared" si="6"/>
        <v/>
      </c>
      <c r="AC38" s="56" t="str">
        <f t="shared" si="7"/>
        <v/>
      </c>
      <c r="AD38" s="61" t="str">
        <f t="shared" si="8"/>
        <v/>
      </c>
      <c r="AE38" s="28" t="str">
        <f t="shared" si="9"/>
        <v/>
      </c>
      <c r="AF38" s="60" t="str">
        <f t="shared" si="10"/>
        <v/>
      </c>
      <c r="AG38" s="60" t="str">
        <f t="shared" si="11"/>
        <v/>
      </c>
      <c r="AH38" s="62" t="str">
        <f>IF(AB38="","· enter odds",IF(AND(AF38&gt;=Method!$B$7,AG38&gt;=Method!$B$8),"BET","PASS"))</f>
        <v>· enter odds</v>
      </c>
      <c r="AI38" s="63">
        <f>IF(AH38&lt;&gt;"BET",0,ROUND(MIN(Method!$B$6,Method!$B$5*AL38)*100,1))</f>
        <v>0</v>
      </c>
      <c r="AJ38" s="64">
        <f>IF(OR(AH38&lt;&gt;"BET",Method!$B$55=TRUE()),0,IF(AI38*Method!$B$10/100&lt;Method!$B$9,0,ROUND(AI38*Method!$B$10/100,0)))</f>
        <v>0</v>
      </c>
      <c r="AK38" s="59" t="str">
        <f t="shared" si="12"/>
        <v/>
      </c>
      <c r="AL38" s="59" t="str">
        <f t="shared" si="13"/>
        <v/>
      </c>
      <c r="AM38" s="56" t="str">
        <f t="shared" si="14"/>
        <v/>
      </c>
      <c r="AN38" s="65" t="str">
        <f>IF(Matchday!N40="","",Matchday!N40)</f>
        <v/>
      </c>
      <c r="AO38" s="58" t="str">
        <f>IF(Matchday!P40="","",Matchday!P40)</f>
        <v/>
      </c>
      <c r="AP38" s="66" t="str">
        <f>IF(Matchday!Q40="","",Matchday!Q40)</f>
        <v/>
      </c>
      <c r="AQ38" s="65" t="str">
        <f>IF(Matchday!R40="","",Matchday!R40)</f>
        <v/>
      </c>
      <c r="AR38" s="67" t="str">
        <f t="shared" si="15"/>
        <v/>
      </c>
      <c r="AS38" s="67" t="str">
        <f t="shared" si="16"/>
        <v/>
      </c>
      <c r="AT38" s="26" t="str">
        <f>IF(AB38="","Type the 3 odds on the Matchday tab",IF(Method!$B$55=TRUE(),"🛑 PAUSED — drawdown "&amp;TEXT(Method!$B$51,"0.0%")&amp;" ≥ "&amp;TEXT(Method!$B$52,"0.0%")&amp;". Set Method!B54=Y to override.",IF(AH38="BET",IF(AJ38=0,"Edge found but stake rounds under £"&amp;Method!$B$9&amp;" — skip","Value found: EV "&amp;TEXT(AF38,"0.0%")&amp;", edge "&amp;TEXT(AG38,"0.0%")),IF(AF38&lt;Method!$B$7,"Price too short — EV "&amp;TEXT(AF38,"0.0%")&amp;" (need "&amp;TEXT(Method!$B$7,"0.0%")&amp;"+)","Model ≈ market — edge "&amp;TEXT(AG38,"0.0%")&amp;" (need "&amp;TEXT(Method!$B$8,"0.0%")&amp;"+)"))))</f>
        <v>Type the 3 odds on the Matchday tab</v>
      </c>
      <c r="AU38" s="26" t="str">
        <f t="shared" si="17"/>
        <v/>
      </c>
      <c r="AV38" s="25" t="str">
        <f>IF(Matchday!O40="","",Matchday!O40)</f>
        <v/>
      </c>
      <c r="AW38" s="68"/>
      <c r="AX38" s="68"/>
      <c r="AY38" s="68"/>
      <c r="AZ38" s="68" t="str">
        <f t="shared" si="18"/>
        <v>· enter odds</v>
      </c>
      <c r="BA38" s="69">
        <f>IF(AX38&lt;&gt;"",AX38,IF(AH38&lt;&gt;"BET",0,IF(AI38*Method!$B$10/100&lt;Method!$B$9,0,ROUND(AI38*Method!$B$10/100,0))))</f>
        <v>0</v>
      </c>
      <c r="BB38" s="70">
        <v>-5.0</v>
      </c>
      <c r="BC38" s="70">
        <v>0.7087555999235573</v>
      </c>
      <c r="BD38" s="70">
        <v>0.19759892290004896</v>
      </c>
      <c r="BE38" s="70">
        <v>0.07327841019940456</v>
      </c>
      <c r="BF38" s="71" t="s">
        <v>284</v>
      </c>
      <c r="BG38" s="70">
        <v>320.0</v>
      </c>
      <c r="BH38" s="71" t="s">
        <v>244</v>
      </c>
      <c r="BI38" s="70">
        <v>0.0</v>
      </c>
    </row>
    <row r="39" ht="15.0" customHeight="1">
      <c r="A39" s="25">
        <v>38.0</v>
      </c>
      <c r="B39" s="55">
        <v>46194.0</v>
      </c>
      <c r="C39" s="25" t="s">
        <v>245</v>
      </c>
      <c r="D39" s="56" t="s">
        <v>246</v>
      </c>
      <c r="E39" s="56" t="s">
        <v>253</v>
      </c>
      <c r="F39" s="56" t="s">
        <v>196</v>
      </c>
      <c r="G39" s="25" t="s">
        <v>191</v>
      </c>
      <c r="H39" s="25" t="s">
        <v>209</v>
      </c>
      <c r="I39" s="57">
        <v>0.4239152769487099</v>
      </c>
      <c r="J39" s="57">
        <v>0.2857311913890991</v>
      </c>
      <c r="K39" s="57">
        <v>0.290353531662191</v>
      </c>
      <c r="L39" s="58" t="str">
        <f>IF(Matchday!E41="","",Matchday!E41)</f>
        <v/>
      </c>
      <c r="M39" s="58" t="str">
        <f>IF(Matchday!F41="","",Matchday!F41)</f>
        <v/>
      </c>
      <c r="N39" s="58" t="str">
        <f>IF(Matchday!G41="","",Matchday!G41)</f>
        <v/>
      </c>
      <c r="O39" s="59" t="str">
        <f t="shared" ref="O39:Q39" si="89">IF(L39="","",1/L39)</f>
        <v/>
      </c>
      <c r="P39" s="59" t="str">
        <f t="shared" si="89"/>
        <v/>
      </c>
      <c r="Q39" s="59" t="str">
        <f t="shared" si="89"/>
        <v/>
      </c>
      <c r="R39" s="59" t="str">
        <f t="shared" si="4"/>
        <v/>
      </c>
      <c r="S39" s="59" t="str">
        <f t="array" ref="S39">IF($R39="","",IF(Method!$B$56="proportional",O39/$R39,IF(Method!$B$56="power",IFERROR(INDEX(power_devig($L39,$M39,$N39),1,1),O39/$R39),IFERROR(INDEX(shin($L39,$M39,$N39),1,1),O39/$R39))))</f>
        <v/>
      </c>
      <c r="T39" s="59" t="str">
        <f t="array" ref="T39">IF($R39="","",IF(Method!$B$56="proportional",P39/$R39,IF(Method!$B$56="power",IFERROR(INDEX(power_devig($L39,$M39,$N39),2,1),P39/$R39),IFERROR(INDEX(shin($L39,$M39,$N39),2,1),P39/$R39))))</f>
        <v/>
      </c>
      <c r="U39" s="59" t="str">
        <f t="array" ref="U39">IF($R39="","",IF(Method!$B$56="proportional",Q39/$R39,IF(Method!$B$56="power",IFERROR(INDEX(power_devig($L39,$M39,$N39),3,1),Q39/$R39),IFERROR(INDEX(shin($L39,$M39,$N39),3,1),Q39/$R39))))</f>
        <v/>
      </c>
      <c r="V39" s="59" t="str">
        <f>IF(S39="","",Method!$B$4*I39+(1-Method!$B$4)*S39/($S39+$T39+$U39))</f>
        <v/>
      </c>
      <c r="W39" s="59" t="str">
        <f>IF(T39="","",Method!$B$4*J39+(1-Method!$B$4)*T39/($S39+$T39+$U39))</f>
        <v/>
      </c>
      <c r="X39" s="59" t="str">
        <f>IF(U39="","",Method!$B$4*K39+(1-Method!$B$4)*U39/($S39+$T39+$U39))</f>
        <v/>
      </c>
      <c r="Y39" s="60" t="str">
        <f t="shared" ref="Y39:AA39" si="90">IF(V39="","",V39*L39-1)</f>
        <v/>
      </c>
      <c r="Z39" s="60" t="str">
        <f t="shared" si="90"/>
        <v/>
      </c>
      <c r="AA39" s="60" t="str">
        <f t="shared" si="90"/>
        <v/>
      </c>
      <c r="AB39" s="56" t="str">
        <f t="shared" si="6"/>
        <v/>
      </c>
      <c r="AC39" s="56" t="str">
        <f t="shared" si="7"/>
        <v/>
      </c>
      <c r="AD39" s="61" t="str">
        <f t="shared" si="8"/>
        <v/>
      </c>
      <c r="AE39" s="28" t="str">
        <f t="shared" si="9"/>
        <v/>
      </c>
      <c r="AF39" s="60" t="str">
        <f t="shared" si="10"/>
        <v/>
      </c>
      <c r="AG39" s="60" t="str">
        <f t="shared" si="11"/>
        <v/>
      </c>
      <c r="AH39" s="62" t="str">
        <f>IF(AB39="","· enter odds",IF(AND(AF39&gt;=Method!$B$7,AG39&gt;=Method!$B$8),"BET","PASS"))</f>
        <v>· enter odds</v>
      </c>
      <c r="AI39" s="63">
        <f>IF(AH39&lt;&gt;"BET",0,ROUND(MIN(Method!$B$6,Method!$B$5*AL39)*100,1))</f>
        <v>0</v>
      </c>
      <c r="AJ39" s="64">
        <f>IF(OR(AH39&lt;&gt;"BET",Method!$B$55=TRUE()),0,IF(AI39*Method!$B$10/100&lt;Method!$B$9,0,ROUND(AI39*Method!$B$10/100,0)))</f>
        <v>0</v>
      </c>
      <c r="AK39" s="59" t="str">
        <f t="shared" si="12"/>
        <v/>
      </c>
      <c r="AL39" s="59" t="str">
        <f t="shared" si="13"/>
        <v/>
      </c>
      <c r="AM39" s="56" t="str">
        <f t="shared" si="14"/>
        <v/>
      </c>
      <c r="AN39" s="65" t="str">
        <f>IF(Matchday!N41="","",Matchday!N41)</f>
        <v/>
      </c>
      <c r="AO39" s="58" t="str">
        <f>IF(Matchday!P41="","",Matchday!P41)</f>
        <v/>
      </c>
      <c r="AP39" s="66" t="str">
        <f>IF(Matchday!Q41="","",Matchday!Q41)</f>
        <v/>
      </c>
      <c r="AQ39" s="65" t="str">
        <f>IF(Matchday!R41="","",Matchday!R41)</f>
        <v/>
      </c>
      <c r="AR39" s="67" t="str">
        <f t="shared" si="15"/>
        <v/>
      </c>
      <c r="AS39" s="67" t="str">
        <f t="shared" si="16"/>
        <v/>
      </c>
      <c r="AT39" s="26" t="str">
        <f>IF(AB39="","Type the 3 odds on the Matchday tab",IF(Method!$B$55=TRUE(),"🛑 PAUSED — drawdown "&amp;TEXT(Method!$B$51,"0.0%")&amp;" ≥ "&amp;TEXT(Method!$B$52,"0.0%")&amp;". Set Method!B54=Y to override.",IF(AH39="BET",IF(AJ39=0,"Edge found but stake rounds under £"&amp;Method!$B$9&amp;" — skip","Value found: EV "&amp;TEXT(AF39,"0.0%")&amp;", edge "&amp;TEXT(AG39,"0.0%")),IF(AF39&lt;Method!$B$7,"Price too short — EV "&amp;TEXT(AF39,"0.0%")&amp;" (need "&amp;TEXT(Method!$B$7,"0.0%")&amp;"+)","Model ≈ market — edge "&amp;TEXT(AG39,"0.0%")&amp;" (need "&amp;TEXT(Method!$B$8,"0.0%")&amp;"+)"))))</f>
        <v>Type the 3 odds on the Matchday tab</v>
      </c>
      <c r="AU39" s="26" t="str">
        <f t="shared" si="17"/>
        <v/>
      </c>
      <c r="AV39" s="25" t="str">
        <f>IF(Matchday!O41="","",Matchday!O41)</f>
        <v/>
      </c>
      <c r="AW39" s="68"/>
      <c r="AX39" s="68"/>
      <c r="AY39" s="68"/>
      <c r="AZ39" s="68" t="str">
        <f t="shared" si="18"/>
        <v>· enter odds</v>
      </c>
      <c r="BA39" s="69">
        <f>IF(AX39&lt;&gt;"",AX39,IF(AH39&lt;&gt;"BET",0,IF(AI39*Method!$B$10/100&lt;Method!$B$9,0,ROUND(AI39*Method!$B$10/100,0))))</f>
        <v>0</v>
      </c>
      <c r="BB39" s="70">
        <v>0.0</v>
      </c>
      <c r="BC39" s="70">
        <v>0.4094903503526383</v>
      </c>
      <c r="BD39" s="70">
        <v>0.2882661329763444</v>
      </c>
      <c r="BE39" s="70">
        <v>0.2973456782405521</v>
      </c>
      <c r="BG39" s="70">
        <v>30.0</v>
      </c>
      <c r="BH39" s="71" t="s">
        <v>199</v>
      </c>
      <c r="BI39" s="70">
        <v>1553.1</v>
      </c>
    </row>
    <row r="40" ht="15.0" customHeight="1">
      <c r="A40" s="25">
        <v>39.0</v>
      </c>
      <c r="B40" s="55">
        <v>46194.0</v>
      </c>
      <c r="C40" s="25" t="s">
        <v>178</v>
      </c>
      <c r="D40" s="56" t="s">
        <v>250</v>
      </c>
      <c r="E40" s="56" t="s">
        <v>241</v>
      </c>
      <c r="F40" s="56" t="s">
        <v>251</v>
      </c>
      <c r="G40" s="25" t="s">
        <v>197</v>
      </c>
      <c r="H40" s="25" t="s">
        <v>209</v>
      </c>
      <c r="I40" s="57">
        <v>0.6247398260748012</v>
      </c>
      <c r="J40" s="57">
        <v>0.2462428689442284</v>
      </c>
      <c r="K40" s="57">
        <v>0.12901730498097047</v>
      </c>
      <c r="L40" s="58" t="str">
        <f>IF(Matchday!E42="","",Matchday!E42)</f>
        <v/>
      </c>
      <c r="M40" s="58" t="str">
        <f>IF(Matchday!F42="","",Matchday!F42)</f>
        <v/>
      </c>
      <c r="N40" s="58" t="str">
        <f>IF(Matchday!G42="","",Matchday!G42)</f>
        <v/>
      </c>
      <c r="O40" s="59" t="str">
        <f t="shared" ref="O40:Q40" si="91">IF(L40="","",1/L40)</f>
        <v/>
      </c>
      <c r="P40" s="59" t="str">
        <f t="shared" si="91"/>
        <v/>
      </c>
      <c r="Q40" s="59" t="str">
        <f t="shared" si="91"/>
        <v/>
      </c>
      <c r="R40" s="59" t="str">
        <f t="shared" si="4"/>
        <v/>
      </c>
      <c r="S40" s="59" t="str">
        <f t="array" ref="S40">IF($R40="","",IF(Method!$B$56="proportional",O40/$R40,IF(Method!$B$56="power",IFERROR(INDEX(power_devig($L40,$M40,$N40),1,1),O40/$R40),IFERROR(INDEX(shin($L40,$M40,$N40),1,1),O40/$R40))))</f>
        <v/>
      </c>
      <c r="T40" s="59" t="str">
        <f t="array" ref="T40">IF($R40="","",IF(Method!$B$56="proportional",P40/$R40,IF(Method!$B$56="power",IFERROR(INDEX(power_devig($L40,$M40,$N40),2,1),P40/$R40),IFERROR(INDEX(shin($L40,$M40,$N40),2,1),P40/$R40))))</f>
        <v/>
      </c>
      <c r="U40" s="59" t="str">
        <f t="array" ref="U40">IF($R40="","",IF(Method!$B$56="proportional",Q40/$R40,IF(Method!$B$56="power",IFERROR(INDEX(power_devig($L40,$M40,$N40),3,1),Q40/$R40),IFERROR(INDEX(shin($L40,$M40,$N40),3,1),Q40/$R40))))</f>
        <v/>
      </c>
      <c r="V40" s="59" t="str">
        <f>IF(S40="","",Method!$B$4*I40+(1-Method!$B$4)*S40/($S40+$T40+$U40))</f>
        <v/>
      </c>
      <c r="W40" s="59" t="str">
        <f>IF(T40="","",Method!$B$4*J40+(1-Method!$B$4)*T40/($S40+$T40+$U40))</f>
        <v/>
      </c>
      <c r="X40" s="59" t="str">
        <f>IF(U40="","",Method!$B$4*K40+(1-Method!$B$4)*U40/($S40+$T40+$U40))</f>
        <v/>
      </c>
      <c r="Y40" s="60" t="str">
        <f t="shared" ref="Y40:AA40" si="92">IF(V40="","",V40*L40-1)</f>
        <v/>
      </c>
      <c r="Z40" s="60" t="str">
        <f t="shared" si="92"/>
        <v/>
      </c>
      <c r="AA40" s="60" t="str">
        <f t="shared" si="92"/>
        <v/>
      </c>
      <c r="AB40" s="56" t="str">
        <f t="shared" si="6"/>
        <v/>
      </c>
      <c r="AC40" s="56" t="str">
        <f t="shared" si="7"/>
        <v/>
      </c>
      <c r="AD40" s="61" t="str">
        <f t="shared" si="8"/>
        <v/>
      </c>
      <c r="AE40" s="28" t="str">
        <f t="shared" si="9"/>
        <v/>
      </c>
      <c r="AF40" s="60" t="str">
        <f t="shared" si="10"/>
        <v/>
      </c>
      <c r="AG40" s="60" t="str">
        <f t="shared" si="11"/>
        <v/>
      </c>
      <c r="AH40" s="62" t="str">
        <f>IF(AB40="","· enter odds",IF(AND(AF40&gt;=Method!$B$7,AG40&gt;=Method!$B$8),"BET","PASS"))</f>
        <v>· enter odds</v>
      </c>
      <c r="AI40" s="63">
        <f>IF(AH40&lt;&gt;"BET",0,ROUND(MIN(Method!$B$6,Method!$B$5*AL40)*100,1))</f>
        <v>0</v>
      </c>
      <c r="AJ40" s="64">
        <f>IF(OR(AH40&lt;&gt;"BET",Method!$B$55=TRUE()),0,IF(AI40*Method!$B$10/100&lt;Method!$B$9,0,ROUND(AI40*Method!$B$10/100,0)))</f>
        <v>0</v>
      </c>
      <c r="AK40" s="59" t="str">
        <f t="shared" si="12"/>
        <v/>
      </c>
      <c r="AL40" s="59" t="str">
        <f t="shared" si="13"/>
        <v/>
      </c>
      <c r="AM40" s="56" t="str">
        <f t="shared" si="14"/>
        <v/>
      </c>
      <c r="AN40" s="65" t="str">
        <f>IF(Matchday!N42="","",Matchday!N42)</f>
        <v/>
      </c>
      <c r="AO40" s="58" t="str">
        <f>IF(Matchday!P42="","",Matchday!P42)</f>
        <v/>
      </c>
      <c r="AP40" s="66" t="str">
        <f>IF(Matchday!Q42="","",Matchday!Q42)</f>
        <v/>
      </c>
      <c r="AQ40" s="65" t="str">
        <f>IF(Matchday!R42="","",Matchday!R42)</f>
        <v/>
      </c>
      <c r="AR40" s="67" t="str">
        <f t="shared" si="15"/>
        <v/>
      </c>
      <c r="AS40" s="67" t="str">
        <f t="shared" si="16"/>
        <v/>
      </c>
      <c r="AT40" s="26" t="str">
        <f>IF(AB40="","Type the 3 odds on the Matchday tab",IF(Method!$B$55=TRUE(),"🛑 PAUSED — drawdown "&amp;TEXT(Method!$B$51,"0.0%")&amp;" ≥ "&amp;TEXT(Method!$B$52,"0.0%")&amp;". Set Method!B54=Y to override.",IF(AH40="BET",IF(AJ40=0,"Edge found but stake rounds under £"&amp;Method!$B$9&amp;" — skip","Value found: EV "&amp;TEXT(AF40,"0.0%")&amp;", edge "&amp;TEXT(AG40,"0.0%")),IF(AF40&lt;Method!$B$7,"Price too short — EV "&amp;TEXT(AF40,"0.0%")&amp;" (need "&amp;TEXT(Method!$B$7,"0.0%")&amp;"+)","Model ≈ market — edge "&amp;TEXT(AG40,"0.0%")&amp;" (need "&amp;TEXT(Method!$B$8,"0.0%")&amp;"+)"))))</f>
        <v>Type the 3 odds on the Matchday tab</v>
      </c>
      <c r="AU40" s="26" t="str">
        <f t="shared" si="17"/>
        <v/>
      </c>
      <c r="AV40" s="25" t="str">
        <f>IF(Matchday!O42="","",Matchday!O42)</f>
        <v/>
      </c>
      <c r="AW40" s="68"/>
      <c r="AX40" s="68"/>
      <c r="AY40" s="68"/>
      <c r="AZ40" s="68" t="str">
        <f t="shared" si="18"/>
        <v>· enter odds</v>
      </c>
      <c r="BA40" s="69">
        <f>IF(AX40&lt;&gt;"",AX40,IF(AH40&lt;&gt;"BET",0,IF(AI40*Method!$B$10/100&lt;Method!$B$9,0,ROUND(AI40*Method!$B$10/100,0))))</f>
        <v>0</v>
      </c>
      <c r="BB40" s="70">
        <v>0.0</v>
      </c>
      <c r="BC40" s="70">
        <v>0.5805740300526149</v>
      </c>
      <c r="BD40" s="70">
        <v>0.26851549351911486</v>
      </c>
      <c r="BE40" s="70">
        <v>0.13315610030154773</v>
      </c>
      <c r="BG40" s="70">
        <v>2.0</v>
      </c>
      <c r="BH40" s="71" t="s">
        <v>252</v>
      </c>
      <c r="BI40" s="70">
        <v>0.0</v>
      </c>
    </row>
    <row r="41" ht="15.0" customHeight="1">
      <c r="A41" s="25">
        <v>40.0</v>
      </c>
      <c r="B41" s="55">
        <v>46194.0</v>
      </c>
      <c r="C41" s="25" t="s">
        <v>245</v>
      </c>
      <c r="D41" s="56" t="s">
        <v>254</v>
      </c>
      <c r="E41" s="56" t="s">
        <v>247</v>
      </c>
      <c r="F41" s="56" t="s">
        <v>217</v>
      </c>
      <c r="G41" s="25" t="s">
        <v>213</v>
      </c>
      <c r="H41" s="25" t="s">
        <v>218</v>
      </c>
      <c r="I41" s="57">
        <v>0.31009365492400653</v>
      </c>
      <c r="J41" s="57">
        <v>0.3023916491804321</v>
      </c>
      <c r="K41" s="57">
        <v>0.38751469589556164</v>
      </c>
      <c r="L41" s="58" t="str">
        <f>IF(Matchday!E43="","",Matchday!E43)</f>
        <v/>
      </c>
      <c r="M41" s="58" t="str">
        <f>IF(Matchday!F43="","",Matchday!F43)</f>
        <v/>
      </c>
      <c r="N41" s="58" t="str">
        <f>IF(Matchday!G43="","",Matchday!G43)</f>
        <v/>
      </c>
      <c r="O41" s="59" t="str">
        <f t="shared" ref="O41:Q41" si="93">IF(L41="","",1/L41)</f>
        <v/>
      </c>
      <c r="P41" s="59" t="str">
        <f t="shared" si="93"/>
        <v/>
      </c>
      <c r="Q41" s="59" t="str">
        <f t="shared" si="93"/>
        <v/>
      </c>
      <c r="R41" s="59" t="str">
        <f t="shared" si="4"/>
        <v/>
      </c>
      <c r="S41" s="59" t="str">
        <f t="array" ref="S41">IF($R41="","",IF(Method!$B$56="proportional",O41/$R41,IF(Method!$B$56="power",IFERROR(INDEX(power_devig($L41,$M41,$N41),1,1),O41/$R41),IFERROR(INDEX(shin($L41,$M41,$N41),1,1),O41/$R41))))</f>
        <v/>
      </c>
      <c r="T41" s="59" t="str">
        <f t="array" ref="T41">IF($R41="","",IF(Method!$B$56="proportional",P41/$R41,IF(Method!$B$56="power",IFERROR(INDEX(power_devig($L41,$M41,$N41),2,1),P41/$R41),IFERROR(INDEX(shin($L41,$M41,$N41),2,1),P41/$R41))))</f>
        <v/>
      </c>
      <c r="U41" s="59" t="str">
        <f t="array" ref="U41">IF($R41="","",IF(Method!$B$56="proportional",Q41/$R41,IF(Method!$B$56="power",IFERROR(INDEX(power_devig($L41,$M41,$N41),3,1),Q41/$R41),IFERROR(INDEX(shin($L41,$M41,$N41),3,1),Q41/$R41))))</f>
        <v/>
      </c>
      <c r="V41" s="59" t="str">
        <f>IF(S41="","",Method!$B$4*I41+(1-Method!$B$4)*S41/($S41+$T41+$U41))</f>
        <v/>
      </c>
      <c r="W41" s="59" t="str">
        <f>IF(T41="","",Method!$B$4*J41+(1-Method!$B$4)*T41/($S41+$T41+$U41))</f>
        <v/>
      </c>
      <c r="X41" s="59" t="str">
        <f>IF(U41="","",Method!$B$4*K41+(1-Method!$B$4)*U41/($S41+$T41+$U41))</f>
        <v/>
      </c>
      <c r="Y41" s="60" t="str">
        <f t="shared" ref="Y41:AA41" si="94">IF(V41="","",V41*L41-1)</f>
        <v/>
      </c>
      <c r="Z41" s="60" t="str">
        <f t="shared" si="94"/>
        <v/>
      </c>
      <c r="AA41" s="60" t="str">
        <f t="shared" si="94"/>
        <v/>
      </c>
      <c r="AB41" s="56" t="str">
        <f t="shared" si="6"/>
        <v/>
      </c>
      <c r="AC41" s="56" t="str">
        <f t="shared" si="7"/>
        <v/>
      </c>
      <c r="AD41" s="61" t="str">
        <f t="shared" si="8"/>
        <v/>
      </c>
      <c r="AE41" s="28" t="str">
        <f t="shared" si="9"/>
        <v/>
      </c>
      <c r="AF41" s="60" t="str">
        <f t="shared" si="10"/>
        <v/>
      </c>
      <c r="AG41" s="60" t="str">
        <f t="shared" si="11"/>
        <v/>
      </c>
      <c r="AH41" s="62" t="str">
        <f>IF(AB41="","· enter odds",IF(AND(AF41&gt;=Method!$B$7,AG41&gt;=Method!$B$8),"BET","PASS"))</f>
        <v>· enter odds</v>
      </c>
      <c r="AI41" s="63">
        <f>IF(AH41&lt;&gt;"BET",0,ROUND(MIN(Method!$B$6,Method!$B$5*AL41)*100,1))</f>
        <v>0</v>
      </c>
      <c r="AJ41" s="64">
        <f>IF(OR(AH41&lt;&gt;"BET",Method!$B$55=TRUE()),0,IF(AI41*Method!$B$10/100&lt;Method!$B$9,0,ROUND(AI41*Method!$B$10/100,0)))</f>
        <v>0</v>
      </c>
      <c r="AK41" s="59" t="str">
        <f t="shared" si="12"/>
        <v/>
      </c>
      <c r="AL41" s="59" t="str">
        <f t="shared" si="13"/>
        <v/>
      </c>
      <c r="AM41" s="56" t="str">
        <f t="shared" si="14"/>
        <v/>
      </c>
      <c r="AN41" s="65" t="str">
        <f>IF(Matchday!N43="","",Matchday!N43)</f>
        <v/>
      </c>
      <c r="AO41" s="58" t="str">
        <f>IF(Matchday!P43="","",Matchday!P43)</f>
        <v/>
      </c>
      <c r="AP41" s="66" t="str">
        <f>IF(Matchday!Q43="","",Matchday!Q43)</f>
        <v/>
      </c>
      <c r="AQ41" s="65" t="str">
        <f>IF(Matchday!R43="","",Matchday!R43)</f>
        <v/>
      </c>
      <c r="AR41" s="67" t="str">
        <f t="shared" si="15"/>
        <v/>
      </c>
      <c r="AS41" s="67" t="str">
        <f t="shared" si="16"/>
        <v/>
      </c>
      <c r="AT41" s="26" t="str">
        <f>IF(AB41="","Type the 3 odds on the Matchday tab",IF(Method!$B$55=TRUE(),"🛑 PAUSED — drawdown "&amp;TEXT(Method!$B$51,"0.0%")&amp;" ≥ "&amp;TEXT(Method!$B$52,"0.0%")&amp;". Set Method!B54=Y to override.",IF(AH41="BET",IF(AJ41=0,"Edge found but stake rounds under £"&amp;Method!$B$9&amp;" — skip","Value found: EV "&amp;TEXT(AF41,"0.0%")&amp;", edge "&amp;TEXT(AG41,"0.0%")),IF(AF41&lt;Method!$B$7,"Price too short — EV "&amp;TEXT(AF41,"0.0%")&amp;" (need "&amp;TEXT(Method!$B$7,"0.0%")&amp;"+)","Model ≈ market — edge "&amp;TEXT(AG41,"0.0%")&amp;" (need "&amp;TEXT(Method!$B$8,"0.0%")&amp;"+)"))))</f>
        <v>Type the 3 odds on the Matchday tab</v>
      </c>
      <c r="AU41" s="26" t="str">
        <f t="shared" si="17"/>
        <v/>
      </c>
      <c r="AV41" s="25" t="str">
        <f>IF(Matchday!O43="","",Matchday!O43)</f>
        <v/>
      </c>
      <c r="AW41" s="68"/>
      <c r="AX41" s="68"/>
      <c r="AY41" s="68"/>
      <c r="AZ41" s="68" t="str">
        <f t="shared" si="18"/>
        <v>· enter odds</v>
      </c>
      <c r="BA41" s="69">
        <f>IF(AX41&lt;&gt;"",AX41,IF(AH41&lt;&gt;"BET",0,IF(AI41*Method!$B$10/100&lt;Method!$B$9,0,ROUND(AI41*Method!$B$10/100,0))))</f>
        <v>0</v>
      </c>
      <c r="BB41" s="70">
        <v>0.0</v>
      </c>
      <c r="BC41" s="70">
        <v>0.2986059621557834</v>
      </c>
      <c r="BD41" s="70">
        <v>0.29456514569164644</v>
      </c>
      <c r="BE41" s="70">
        <v>0.39380470694872566</v>
      </c>
      <c r="BG41" s="70">
        <v>0.0</v>
      </c>
      <c r="BH41" s="71" t="s">
        <v>219</v>
      </c>
      <c r="BI41" s="70">
        <v>1748.5</v>
      </c>
    </row>
    <row r="42" ht="15.0" customHeight="1">
      <c r="A42" s="25">
        <v>41.0</v>
      </c>
      <c r="B42" s="55">
        <v>46195.0</v>
      </c>
      <c r="C42" s="25" t="s">
        <v>260</v>
      </c>
      <c r="D42" s="56" t="s">
        <v>261</v>
      </c>
      <c r="E42" s="56" t="s">
        <v>265</v>
      </c>
      <c r="F42" s="56" t="s">
        <v>228</v>
      </c>
      <c r="G42" s="25" t="s">
        <v>176</v>
      </c>
      <c r="H42" s="25" t="s">
        <v>233</v>
      </c>
      <c r="I42" s="57">
        <v>0.6830811322041056</v>
      </c>
      <c r="J42" s="57">
        <v>0.20595235031425121</v>
      </c>
      <c r="K42" s="57">
        <v>0.11096651748164316</v>
      </c>
      <c r="L42" s="58" t="str">
        <f>IF(Matchday!E44="","",Matchday!E44)</f>
        <v/>
      </c>
      <c r="M42" s="58" t="str">
        <f>IF(Matchday!F44="","",Matchday!F44)</f>
        <v/>
      </c>
      <c r="N42" s="58" t="str">
        <f>IF(Matchday!G44="","",Matchday!G44)</f>
        <v/>
      </c>
      <c r="O42" s="59" t="str">
        <f t="shared" ref="O42:Q42" si="95">IF(L42="","",1/L42)</f>
        <v/>
      </c>
      <c r="P42" s="59" t="str">
        <f t="shared" si="95"/>
        <v/>
      </c>
      <c r="Q42" s="59" t="str">
        <f t="shared" si="95"/>
        <v/>
      </c>
      <c r="R42" s="59" t="str">
        <f t="shared" si="4"/>
        <v/>
      </c>
      <c r="S42" s="59" t="str">
        <f t="array" ref="S42">IF($R42="","",IF(Method!$B$56="proportional",O42/$R42,IF(Method!$B$56="power",IFERROR(INDEX(power_devig($L42,$M42,$N42),1,1),O42/$R42),IFERROR(INDEX(shin($L42,$M42,$N42),1,1),O42/$R42))))</f>
        <v/>
      </c>
      <c r="T42" s="59" t="str">
        <f t="array" ref="T42">IF($R42="","",IF(Method!$B$56="proportional",P42/$R42,IF(Method!$B$56="power",IFERROR(INDEX(power_devig($L42,$M42,$N42),2,1),P42/$R42),IFERROR(INDEX(shin($L42,$M42,$N42),2,1),P42/$R42))))</f>
        <v/>
      </c>
      <c r="U42" s="59" t="str">
        <f t="array" ref="U42">IF($R42="","",IF(Method!$B$56="proportional",Q42/$R42,IF(Method!$B$56="power",IFERROR(INDEX(power_devig($L42,$M42,$N42),3,1),Q42/$R42),IFERROR(INDEX(shin($L42,$M42,$N42),3,1),Q42/$R42))))</f>
        <v/>
      </c>
      <c r="V42" s="59" t="str">
        <f>IF(S42="","",Method!$B$4*I42+(1-Method!$B$4)*S42/($S42+$T42+$U42))</f>
        <v/>
      </c>
      <c r="W42" s="59" t="str">
        <f>IF(T42="","",Method!$B$4*J42+(1-Method!$B$4)*T42/($S42+$T42+$U42))</f>
        <v/>
      </c>
      <c r="X42" s="59" t="str">
        <f>IF(U42="","",Method!$B$4*K42+(1-Method!$B$4)*U42/($S42+$T42+$U42))</f>
        <v/>
      </c>
      <c r="Y42" s="60" t="str">
        <f t="shared" ref="Y42:AA42" si="96">IF(V42="","",V42*L42-1)</f>
        <v/>
      </c>
      <c r="Z42" s="60" t="str">
        <f t="shared" si="96"/>
        <v/>
      </c>
      <c r="AA42" s="60" t="str">
        <f t="shared" si="96"/>
        <v/>
      </c>
      <c r="AB42" s="56" t="str">
        <f t="shared" si="6"/>
        <v/>
      </c>
      <c r="AC42" s="56" t="str">
        <f t="shared" si="7"/>
        <v/>
      </c>
      <c r="AD42" s="61" t="str">
        <f t="shared" si="8"/>
        <v/>
      </c>
      <c r="AE42" s="28" t="str">
        <f t="shared" si="9"/>
        <v/>
      </c>
      <c r="AF42" s="60" t="str">
        <f t="shared" si="10"/>
        <v/>
      </c>
      <c r="AG42" s="60" t="str">
        <f t="shared" si="11"/>
        <v/>
      </c>
      <c r="AH42" s="62" t="str">
        <f>IF(AB42="","· enter odds",IF(AND(AF42&gt;=Method!$B$7,AG42&gt;=Method!$B$8),"BET","PASS"))</f>
        <v>· enter odds</v>
      </c>
      <c r="AI42" s="63">
        <f>IF(AH42&lt;&gt;"BET",0,ROUND(MIN(Method!$B$6,Method!$B$5*AL42)*100,1))</f>
        <v>0</v>
      </c>
      <c r="AJ42" s="64">
        <f>IF(OR(AH42&lt;&gt;"BET",Method!$B$55=TRUE()),0,IF(AI42*Method!$B$10/100&lt;Method!$B$9,0,ROUND(AI42*Method!$B$10/100,0)))</f>
        <v>0</v>
      </c>
      <c r="AK42" s="59" t="str">
        <f t="shared" si="12"/>
        <v/>
      </c>
      <c r="AL42" s="59" t="str">
        <f t="shared" si="13"/>
        <v/>
      </c>
      <c r="AM42" s="56" t="str">
        <f t="shared" si="14"/>
        <v/>
      </c>
      <c r="AN42" s="65" t="str">
        <f>IF(Matchday!N44="","",Matchday!N44)</f>
        <v/>
      </c>
      <c r="AO42" s="58" t="str">
        <f>IF(Matchday!P44="","",Matchday!P44)</f>
        <v/>
      </c>
      <c r="AP42" s="66" t="str">
        <f>IF(Matchday!Q44="","",Matchday!Q44)</f>
        <v/>
      </c>
      <c r="AQ42" s="65" t="str">
        <f>IF(Matchday!R44="","",Matchday!R44)</f>
        <v/>
      </c>
      <c r="AR42" s="67" t="str">
        <f t="shared" si="15"/>
        <v/>
      </c>
      <c r="AS42" s="67" t="str">
        <f t="shared" si="16"/>
        <v/>
      </c>
      <c r="AT42" s="26" t="str">
        <f>IF(AB42="","Type the 3 odds on the Matchday tab",IF(Method!$B$55=TRUE(),"🛑 PAUSED — drawdown "&amp;TEXT(Method!$B$51,"0.0%")&amp;" ≥ "&amp;TEXT(Method!$B$52,"0.0%")&amp;". Set Method!B54=Y to override.",IF(AH42="BET",IF(AJ42=0,"Edge found but stake rounds under £"&amp;Method!$B$9&amp;" — skip","Value found: EV "&amp;TEXT(AF42,"0.0%")&amp;", edge "&amp;TEXT(AG42,"0.0%")),IF(AF42&lt;Method!$B$7,"Price too short — EV "&amp;TEXT(AF42,"0.0%")&amp;" (need "&amp;TEXT(Method!$B$7,"0.0%")&amp;"+)","Model ≈ market — edge "&amp;TEXT(AG42,"0.0%")&amp;" (need "&amp;TEXT(Method!$B$8,"0.0%")&amp;"+)"))))</f>
        <v>Type the 3 odds on the Matchday tab</v>
      </c>
      <c r="AU42" s="26" t="str">
        <f t="shared" si="17"/>
        <v/>
      </c>
      <c r="AV42" s="25" t="str">
        <f>IF(Matchday!O44="","",Matchday!O44)</f>
        <v/>
      </c>
      <c r="AW42" s="68"/>
      <c r="AX42" s="68"/>
      <c r="AY42" s="68"/>
      <c r="AZ42" s="68" t="str">
        <f t="shared" si="18"/>
        <v>· enter odds</v>
      </c>
      <c r="BA42" s="69">
        <f>IF(AX42&lt;&gt;"",AX42,IF(AH42&lt;&gt;"BET",0,IF(AI42*Method!$B$10/100&lt;Method!$B$9,0,ROUND(AI42*Method!$B$10/100,0))))</f>
        <v>0</v>
      </c>
      <c r="BB42" s="70">
        <v>-4.0</v>
      </c>
      <c r="BC42" s="70">
        <v>0.6316465395711753</v>
      </c>
      <c r="BD42" s="70">
        <v>0.2295100888694116</v>
      </c>
      <c r="BE42" s="70">
        <v>0.11377488198105887</v>
      </c>
      <c r="BF42" s="71" t="s">
        <v>285</v>
      </c>
      <c r="BG42" s="70">
        <v>175.0</v>
      </c>
      <c r="BH42" s="71" t="s">
        <v>229</v>
      </c>
      <c r="BI42" s="70">
        <v>739.0</v>
      </c>
    </row>
    <row r="43" ht="15.0" customHeight="1">
      <c r="A43" s="25">
        <v>42.0</v>
      </c>
      <c r="B43" s="55">
        <v>46195.0</v>
      </c>
      <c r="C43" s="25" t="s">
        <v>255</v>
      </c>
      <c r="D43" s="56" t="s">
        <v>256</v>
      </c>
      <c r="E43" s="56" t="s">
        <v>258</v>
      </c>
      <c r="F43" s="56" t="s">
        <v>232</v>
      </c>
      <c r="G43" s="25" t="s">
        <v>243</v>
      </c>
      <c r="H43" s="25" t="s">
        <v>283</v>
      </c>
      <c r="I43" s="57">
        <v>0.6567712051390481</v>
      </c>
      <c r="J43" s="57">
        <v>0.2111118362836063</v>
      </c>
      <c r="K43" s="57">
        <v>0.1321169585773458</v>
      </c>
      <c r="L43" s="58" t="str">
        <f>IF(Matchday!E45="","",Matchday!E45)</f>
        <v/>
      </c>
      <c r="M43" s="58" t="str">
        <f>IF(Matchday!F45="","",Matchday!F45)</f>
        <v/>
      </c>
      <c r="N43" s="58" t="str">
        <f>IF(Matchday!G45="","",Matchday!G45)</f>
        <v/>
      </c>
      <c r="O43" s="59" t="str">
        <f t="shared" ref="O43:Q43" si="97">IF(L43="","",1/L43)</f>
        <v/>
      </c>
      <c r="P43" s="59" t="str">
        <f t="shared" si="97"/>
        <v/>
      </c>
      <c r="Q43" s="59" t="str">
        <f t="shared" si="97"/>
        <v/>
      </c>
      <c r="R43" s="59" t="str">
        <f t="shared" si="4"/>
        <v/>
      </c>
      <c r="S43" s="59" t="str">
        <f t="array" ref="S43">IF($R43="","",IF(Method!$B$56="proportional",O43/$R43,IF(Method!$B$56="power",IFERROR(INDEX(power_devig($L43,$M43,$N43),1,1),O43/$R43),IFERROR(INDEX(shin($L43,$M43,$N43),1,1),O43/$R43))))</f>
        <v/>
      </c>
      <c r="T43" s="59" t="str">
        <f t="array" ref="T43">IF($R43="","",IF(Method!$B$56="proportional",P43/$R43,IF(Method!$B$56="power",IFERROR(INDEX(power_devig($L43,$M43,$N43),2,1),P43/$R43),IFERROR(INDEX(shin($L43,$M43,$N43),2,1),P43/$R43))))</f>
        <v/>
      </c>
      <c r="U43" s="59" t="str">
        <f t="array" ref="U43">IF($R43="","",IF(Method!$B$56="proportional",Q43/$R43,IF(Method!$B$56="power",IFERROR(INDEX(power_devig($L43,$M43,$N43),3,1),Q43/$R43),IFERROR(INDEX(shin($L43,$M43,$N43),3,1),Q43/$R43))))</f>
        <v/>
      </c>
      <c r="V43" s="59" t="str">
        <f>IF(S43="","",Method!$B$4*I43+(1-Method!$B$4)*S43/($S43+$T43+$U43))</f>
        <v/>
      </c>
      <c r="W43" s="59" t="str">
        <f>IF(T43="","",Method!$B$4*J43+(1-Method!$B$4)*T43/($S43+$T43+$U43))</f>
        <v/>
      </c>
      <c r="X43" s="59" t="str">
        <f>IF(U43="","",Method!$B$4*K43+(1-Method!$B$4)*U43/($S43+$T43+$U43))</f>
        <v/>
      </c>
      <c r="Y43" s="60" t="str">
        <f t="shared" ref="Y43:AA43" si="98">IF(V43="","",V43*L43-1)</f>
        <v/>
      </c>
      <c r="Z43" s="60" t="str">
        <f t="shared" si="98"/>
        <v/>
      </c>
      <c r="AA43" s="60" t="str">
        <f t="shared" si="98"/>
        <v/>
      </c>
      <c r="AB43" s="56" t="str">
        <f t="shared" si="6"/>
        <v/>
      </c>
      <c r="AC43" s="56" t="str">
        <f t="shared" si="7"/>
        <v/>
      </c>
      <c r="AD43" s="61" t="str">
        <f t="shared" si="8"/>
        <v/>
      </c>
      <c r="AE43" s="28" t="str">
        <f t="shared" si="9"/>
        <v/>
      </c>
      <c r="AF43" s="60" t="str">
        <f t="shared" si="10"/>
        <v/>
      </c>
      <c r="AG43" s="60" t="str">
        <f t="shared" si="11"/>
        <v/>
      </c>
      <c r="AH43" s="62" t="str">
        <f>IF(AB43="","· enter odds",IF(AND(AF43&gt;=Method!$B$7,AG43&gt;=Method!$B$8),"BET","PASS"))</f>
        <v>· enter odds</v>
      </c>
      <c r="AI43" s="63">
        <f>IF(AH43&lt;&gt;"BET",0,ROUND(MIN(Method!$B$6,Method!$B$5*AL43)*100,1))</f>
        <v>0</v>
      </c>
      <c r="AJ43" s="64">
        <f>IF(OR(AH43&lt;&gt;"BET",Method!$B$55=TRUE()),0,IF(AI43*Method!$B$10/100&lt;Method!$B$9,0,ROUND(AI43*Method!$B$10/100,0)))</f>
        <v>0</v>
      </c>
      <c r="AK43" s="59" t="str">
        <f t="shared" si="12"/>
        <v/>
      </c>
      <c r="AL43" s="59" t="str">
        <f t="shared" si="13"/>
        <v/>
      </c>
      <c r="AM43" s="56" t="str">
        <f t="shared" si="14"/>
        <v/>
      </c>
      <c r="AN43" s="65" t="str">
        <f>IF(Matchday!N45="","",Matchday!N45)</f>
        <v/>
      </c>
      <c r="AO43" s="58" t="str">
        <f>IF(Matchday!P45="","",Matchday!P45)</f>
        <v/>
      </c>
      <c r="AP43" s="66" t="str">
        <f>IF(Matchday!Q45="","",Matchday!Q45)</f>
        <v/>
      </c>
      <c r="AQ43" s="65" t="str">
        <f>IF(Matchday!R45="","",Matchday!R45)</f>
        <v/>
      </c>
      <c r="AR43" s="67" t="str">
        <f t="shared" si="15"/>
        <v/>
      </c>
      <c r="AS43" s="67" t="str">
        <f t="shared" si="16"/>
        <v/>
      </c>
      <c r="AT43" s="26" t="str">
        <f>IF(AB43="","Type the 3 odds on the Matchday tab",IF(Method!$B$55=TRUE(),"🛑 PAUSED — drawdown "&amp;TEXT(Method!$B$51,"0.0%")&amp;" ≥ "&amp;TEXT(Method!$B$52,"0.0%")&amp;". Set Method!B54=Y to override.",IF(AH43="BET",IF(AJ43=0,"Edge found but stake rounds under £"&amp;Method!$B$9&amp;" — skip","Value found: EV "&amp;TEXT(AF43,"0.0%")&amp;", edge "&amp;TEXT(AG43,"0.0%")),IF(AF43&lt;Method!$B$7,"Price too short — EV "&amp;TEXT(AF43,"0.0%")&amp;" (need "&amp;TEXT(Method!$B$7,"0.0%")&amp;"+)","Model ≈ market — edge "&amp;TEXT(AG43,"0.0%")&amp;" (need "&amp;TEXT(Method!$B$8,"0.0%")&amp;"+)"))))</f>
        <v>Type the 3 odds on the Matchday tab</v>
      </c>
      <c r="AU43" s="26" t="str">
        <f t="shared" si="17"/>
        <v/>
      </c>
      <c r="AV43" s="25" t="str">
        <f>IF(Matchday!O45="","",Matchday!O45)</f>
        <v/>
      </c>
      <c r="AW43" s="68"/>
      <c r="AX43" s="68"/>
      <c r="AY43" s="68"/>
      <c r="AZ43" s="68" t="str">
        <f t="shared" si="18"/>
        <v>· enter odds</v>
      </c>
      <c r="BA43" s="69">
        <f>IF(AX43&lt;&gt;"",AX43,IF(AH43&lt;&gt;"BET",0,IF(AI43*Method!$B$10/100&lt;Method!$B$9,0,ROUND(AI43*Method!$B$10/100,0))))</f>
        <v>0</v>
      </c>
      <c r="BB43" s="70">
        <v>0.0</v>
      </c>
      <c r="BC43" s="70">
        <v>0.6039874780504451</v>
      </c>
      <c r="BD43" s="70">
        <v>0.23450500690130383</v>
      </c>
      <c r="BE43" s="70">
        <v>0.13648421344184575</v>
      </c>
      <c r="BG43" s="70">
        <v>12.0</v>
      </c>
      <c r="BH43" s="71" t="s">
        <v>186</v>
      </c>
      <c r="BI43" s="70">
        <v>137.4</v>
      </c>
    </row>
    <row r="44" ht="15.0" customHeight="1">
      <c r="A44" s="25">
        <v>43.0</v>
      </c>
      <c r="B44" s="55">
        <v>46195.0</v>
      </c>
      <c r="C44" s="25" t="s">
        <v>255</v>
      </c>
      <c r="D44" s="56" t="s">
        <v>259</v>
      </c>
      <c r="E44" s="56" t="s">
        <v>257</v>
      </c>
      <c r="F44" s="56" t="s">
        <v>208</v>
      </c>
      <c r="G44" s="25" t="s">
        <v>177</v>
      </c>
      <c r="H44" s="25" t="s">
        <v>282</v>
      </c>
      <c r="I44" s="57">
        <v>0.46418220029802826</v>
      </c>
      <c r="J44" s="57">
        <v>0.2791024332830906</v>
      </c>
      <c r="K44" s="57">
        <v>0.25671536641888115</v>
      </c>
      <c r="L44" s="58" t="str">
        <f>IF(Matchday!E46="","",Matchday!E46)</f>
        <v/>
      </c>
      <c r="M44" s="58" t="str">
        <f>IF(Matchday!F46="","",Matchday!F46)</f>
        <v/>
      </c>
      <c r="N44" s="58" t="str">
        <f>IF(Matchday!G46="","",Matchday!G46)</f>
        <v/>
      </c>
      <c r="O44" s="59" t="str">
        <f t="shared" ref="O44:Q44" si="99">IF(L44="","",1/L44)</f>
        <v/>
      </c>
      <c r="P44" s="59" t="str">
        <f t="shared" si="99"/>
        <v/>
      </c>
      <c r="Q44" s="59" t="str">
        <f t="shared" si="99"/>
        <v/>
      </c>
      <c r="R44" s="59" t="str">
        <f t="shared" si="4"/>
        <v/>
      </c>
      <c r="S44" s="59" t="str">
        <f t="array" ref="S44">IF($R44="","",IF(Method!$B$56="proportional",O44/$R44,IF(Method!$B$56="power",IFERROR(INDEX(power_devig($L44,$M44,$N44),1,1),O44/$R44),IFERROR(INDEX(shin($L44,$M44,$N44),1,1),O44/$R44))))</f>
        <v/>
      </c>
      <c r="T44" s="59" t="str">
        <f t="array" ref="T44">IF($R44="","",IF(Method!$B$56="proportional",P44/$R44,IF(Method!$B$56="power",IFERROR(INDEX(power_devig($L44,$M44,$N44),2,1),P44/$R44),IFERROR(INDEX(shin($L44,$M44,$N44),2,1),P44/$R44))))</f>
        <v/>
      </c>
      <c r="U44" s="59" t="str">
        <f t="array" ref="U44">IF($R44="","",IF(Method!$B$56="proportional",Q44/$R44,IF(Method!$B$56="power",IFERROR(INDEX(power_devig($L44,$M44,$N44),3,1),Q44/$R44),IFERROR(INDEX(shin($L44,$M44,$N44),3,1),Q44/$R44))))</f>
        <v/>
      </c>
      <c r="V44" s="59" t="str">
        <f>IF(S44="","",Method!$B$4*I44+(1-Method!$B$4)*S44/($S44+$T44+$U44))</f>
        <v/>
      </c>
      <c r="W44" s="59" t="str">
        <f>IF(T44="","",Method!$B$4*J44+(1-Method!$B$4)*T44/($S44+$T44+$U44))</f>
        <v/>
      </c>
      <c r="X44" s="59" t="str">
        <f>IF(U44="","",Method!$B$4*K44+(1-Method!$B$4)*U44/($S44+$T44+$U44))</f>
        <v/>
      </c>
      <c r="Y44" s="60" t="str">
        <f t="shared" ref="Y44:AA44" si="100">IF(V44="","",V44*L44-1)</f>
        <v/>
      </c>
      <c r="Z44" s="60" t="str">
        <f t="shared" si="100"/>
        <v/>
      </c>
      <c r="AA44" s="60" t="str">
        <f t="shared" si="100"/>
        <v/>
      </c>
      <c r="AB44" s="56" t="str">
        <f t="shared" si="6"/>
        <v/>
      </c>
      <c r="AC44" s="56" t="str">
        <f t="shared" si="7"/>
        <v/>
      </c>
      <c r="AD44" s="61" t="str">
        <f t="shared" si="8"/>
        <v/>
      </c>
      <c r="AE44" s="28" t="str">
        <f t="shared" si="9"/>
        <v/>
      </c>
      <c r="AF44" s="60" t="str">
        <f t="shared" si="10"/>
        <v/>
      </c>
      <c r="AG44" s="60" t="str">
        <f t="shared" si="11"/>
        <v/>
      </c>
      <c r="AH44" s="62" t="str">
        <f>IF(AB44="","· enter odds",IF(AND(AF44&gt;=Method!$B$7,AG44&gt;=Method!$B$8),"BET","PASS"))</f>
        <v>· enter odds</v>
      </c>
      <c r="AI44" s="63">
        <f>IF(AH44&lt;&gt;"BET",0,ROUND(MIN(Method!$B$6,Method!$B$5*AL44)*100,1))</f>
        <v>0</v>
      </c>
      <c r="AJ44" s="64">
        <f>IF(OR(AH44&lt;&gt;"BET",Method!$B$55=TRUE()),0,IF(AI44*Method!$B$10/100&lt;Method!$B$9,0,ROUND(AI44*Method!$B$10/100,0)))</f>
        <v>0</v>
      </c>
      <c r="AK44" s="59" t="str">
        <f t="shared" si="12"/>
        <v/>
      </c>
      <c r="AL44" s="59" t="str">
        <f t="shared" si="13"/>
        <v/>
      </c>
      <c r="AM44" s="56" t="str">
        <f t="shared" si="14"/>
        <v/>
      </c>
      <c r="AN44" s="65" t="str">
        <f>IF(Matchday!N46="","",Matchday!N46)</f>
        <v/>
      </c>
      <c r="AO44" s="58" t="str">
        <f>IF(Matchday!P46="","",Matchday!P46)</f>
        <v/>
      </c>
      <c r="AP44" s="66" t="str">
        <f>IF(Matchday!Q46="","",Matchday!Q46)</f>
        <v/>
      </c>
      <c r="AQ44" s="65" t="str">
        <f>IF(Matchday!R46="","",Matchday!R46)</f>
        <v/>
      </c>
      <c r="AR44" s="67" t="str">
        <f t="shared" si="15"/>
        <v/>
      </c>
      <c r="AS44" s="67" t="str">
        <f t="shared" si="16"/>
        <v/>
      </c>
      <c r="AT44" s="26" t="str">
        <f>IF(AB44="","Type the 3 odds on the Matchday tab",IF(Method!$B$55=TRUE(),"🛑 PAUSED — drawdown "&amp;TEXT(Method!$B$51,"0.0%")&amp;" ≥ "&amp;TEXT(Method!$B$52,"0.0%")&amp;". Set Method!B54=Y to override.",IF(AH44="BET",IF(AJ44=0,"Edge found but stake rounds under £"&amp;Method!$B$9&amp;" — skip","Value found: EV "&amp;TEXT(AF44,"0.0%")&amp;", edge "&amp;TEXT(AG44,"0.0%")),IF(AF44&lt;Method!$B$7,"Price too short — EV "&amp;TEXT(AF44,"0.0%")&amp;" (need "&amp;TEXT(Method!$B$7,"0.0%")&amp;"+)","Model ≈ market — edge "&amp;TEXT(AG44,"0.0%")&amp;" (need "&amp;TEXT(Method!$B$8,"0.0%")&amp;"+)"))))</f>
        <v>Type the 3 odds on the Matchday tab</v>
      </c>
      <c r="AU44" s="26" t="str">
        <f t="shared" si="17"/>
        <v/>
      </c>
      <c r="AV44" s="25" t="str">
        <f>IF(Matchday!O46="","",Matchday!O46)</f>
        <v/>
      </c>
      <c r="AW44" s="68"/>
      <c r="AX44" s="68"/>
      <c r="AY44" s="68"/>
      <c r="AZ44" s="68" t="str">
        <f t="shared" si="18"/>
        <v>· enter odds</v>
      </c>
      <c r="BA44" s="69">
        <f>IF(AX44&lt;&gt;"",AX44,IF(AH44&lt;&gt;"BET",0,IF(AI44*Method!$B$10/100&lt;Method!$B$9,0,ROUND(AI44*Method!$B$10/100,0))))</f>
        <v>0</v>
      </c>
      <c r="BB44" s="70">
        <v>0.0</v>
      </c>
      <c r="BC44" s="70">
        <v>0.44799310379548807</v>
      </c>
      <c r="BD44" s="70">
        <v>0.2857599214352588</v>
      </c>
      <c r="BE44" s="70">
        <v>0.2610388480724065</v>
      </c>
      <c r="BG44" s="70">
        <v>7.0</v>
      </c>
      <c r="BH44" s="71" t="s">
        <v>186</v>
      </c>
      <c r="BI44" s="70">
        <v>273.9</v>
      </c>
    </row>
    <row r="45" ht="15.0" customHeight="1">
      <c r="A45" s="25">
        <v>44.0</v>
      </c>
      <c r="B45" s="55">
        <v>46195.0</v>
      </c>
      <c r="C45" s="25" t="s">
        <v>260</v>
      </c>
      <c r="D45" s="56" t="s">
        <v>266</v>
      </c>
      <c r="E45" s="56" t="s">
        <v>262</v>
      </c>
      <c r="F45" s="56" t="s">
        <v>202</v>
      </c>
      <c r="G45" s="25" t="s">
        <v>209</v>
      </c>
      <c r="H45" s="25" t="s">
        <v>286</v>
      </c>
      <c r="I45" s="57">
        <v>0.29125500129617865</v>
      </c>
      <c r="J45" s="57">
        <v>0.28137242052229944</v>
      </c>
      <c r="K45" s="57">
        <v>0.42737257818152197</v>
      </c>
      <c r="L45" s="58" t="str">
        <f>IF(Matchday!E47="","",Matchday!E47)</f>
        <v/>
      </c>
      <c r="M45" s="58" t="str">
        <f>IF(Matchday!F47="","",Matchday!F47)</f>
        <v/>
      </c>
      <c r="N45" s="58" t="str">
        <f>IF(Matchday!G47="","",Matchday!G47)</f>
        <v/>
      </c>
      <c r="O45" s="59" t="str">
        <f t="shared" ref="O45:Q45" si="101">IF(L45="","",1/L45)</f>
        <v/>
      </c>
      <c r="P45" s="59" t="str">
        <f t="shared" si="101"/>
        <v/>
      </c>
      <c r="Q45" s="59" t="str">
        <f t="shared" si="101"/>
        <v/>
      </c>
      <c r="R45" s="59" t="str">
        <f t="shared" si="4"/>
        <v/>
      </c>
      <c r="S45" s="59" t="str">
        <f t="array" ref="S45">IF($R45="","",IF(Method!$B$56="proportional",O45/$R45,IF(Method!$B$56="power",IFERROR(INDEX(power_devig($L45,$M45,$N45),1,1),O45/$R45),IFERROR(INDEX(shin($L45,$M45,$N45),1,1),O45/$R45))))</f>
        <v/>
      </c>
      <c r="T45" s="59" t="str">
        <f t="array" ref="T45">IF($R45="","",IF(Method!$B$56="proportional",P45/$R45,IF(Method!$B$56="power",IFERROR(INDEX(power_devig($L45,$M45,$N45),2,1),P45/$R45),IFERROR(INDEX(shin($L45,$M45,$N45),2,1),P45/$R45))))</f>
        <v/>
      </c>
      <c r="U45" s="59" t="str">
        <f t="array" ref="U45">IF($R45="","",IF(Method!$B$56="proportional",Q45/$R45,IF(Method!$B$56="power",IFERROR(INDEX(power_devig($L45,$M45,$N45),3,1),Q45/$R45),IFERROR(INDEX(shin($L45,$M45,$N45),3,1),Q45/$R45))))</f>
        <v/>
      </c>
      <c r="V45" s="59" t="str">
        <f>IF(S45="","",Method!$B$4*I45+(1-Method!$B$4)*S45/($S45+$T45+$U45))</f>
        <v/>
      </c>
      <c r="W45" s="59" t="str">
        <f>IF(T45="","",Method!$B$4*J45+(1-Method!$B$4)*T45/($S45+$T45+$U45))</f>
        <v/>
      </c>
      <c r="X45" s="59" t="str">
        <f>IF(U45="","",Method!$B$4*K45+(1-Method!$B$4)*U45/($S45+$T45+$U45))</f>
        <v/>
      </c>
      <c r="Y45" s="60" t="str">
        <f t="shared" ref="Y45:AA45" si="102">IF(V45="","",V45*L45-1)</f>
        <v/>
      </c>
      <c r="Z45" s="60" t="str">
        <f t="shared" si="102"/>
        <v/>
      </c>
      <c r="AA45" s="60" t="str">
        <f t="shared" si="102"/>
        <v/>
      </c>
      <c r="AB45" s="56" t="str">
        <f t="shared" si="6"/>
        <v/>
      </c>
      <c r="AC45" s="56" t="str">
        <f t="shared" si="7"/>
        <v/>
      </c>
      <c r="AD45" s="61" t="str">
        <f t="shared" si="8"/>
        <v/>
      </c>
      <c r="AE45" s="28" t="str">
        <f t="shared" si="9"/>
        <v/>
      </c>
      <c r="AF45" s="60" t="str">
        <f t="shared" si="10"/>
        <v/>
      </c>
      <c r="AG45" s="60" t="str">
        <f t="shared" si="11"/>
        <v/>
      </c>
      <c r="AH45" s="62" t="str">
        <f>IF(AB45="","· enter odds",IF(AND(AF45&gt;=Method!$B$7,AG45&gt;=Method!$B$8),"BET","PASS"))</f>
        <v>· enter odds</v>
      </c>
      <c r="AI45" s="63">
        <f>IF(AH45&lt;&gt;"BET",0,ROUND(MIN(Method!$B$6,Method!$B$5*AL45)*100,1))</f>
        <v>0</v>
      </c>
      <c r="AJ45" s="64">
        <f>IF(OR(AH45&lt;&gt;"BET",Method!$B$55=TRUE()),0,IF(AI45*Method!$B$10/100&lt;Method!$B$9,0,ROUND(AI45*Method!$B$10/100,0)))</f>
        <v>0</v>
      </c>
      <c r="AK45" s="59" t="str">
        <f t="shared" si="12"/>
        <v/>
      </c>
      <c r="AL45" s="59" t="str">
        <f t="shared" si="13"/>
        <v/>
      </c>
      <c r="AM45" s="56" t="str">
        <f t="shared" si="14"/>
        <v/>
      </c>
      <c r="AN45" s="65" t="str">
        <f>IF(Matchday!N47="","",Matchday!N47)</f>
        <v/>
      </c>
      <c r="AO45" s="58" t="str">
        <f>IF(Matchday!P47="","",Matchday!P47)</f>
        <v/>
      </c>
      <c r="AP45" s="66" t="str">
        <f>IF(Matchday!Q47="","",Matchday!Q47)</f>
        <v/>
      </c>
      <c r="AQ45" s="65" t="str">
        <f>IF(Matchday!R47="","",Matchday!R47)</f>
        <v/>
      </c>
      <c r="AR45" s="67" t="str">
        <f t="shared" si="15"/>
        <v/>
      </c>
      <c r="AS45" s="67" t="str">
        <f t="shared" si="16"/>
        <v/>
      </c>
      <c r="AT45" s="26" t="str">
        <f>IF(AB45="","Type the 3 odds on the Matchday tab",IF(Method!$B$55=TRUE(),"🛑 PAUSED — drawdown "&amp;TEXT(Method!$B$51,"0.0%")&amp;" ≥ "&amp;TEXT(Method!$B$52,"0.0%")&amp;". Set Method!B54=Y to override.",IF(AH45="BET",IF(AJ45=0,"Edge found but stake rounds under £"&amp;Method!$B$9&amp;" — skip","Value found: EV "&amp;TEXT(AF45,"0.0%")&amp;", edge "&amp;TEXT(AG45,"0.0%")),IF(AF45&lt;Method!$B$7,"Price too short — EV "&amp;TEXT(AF45,"0.0%")&amp;" (need "&amp;TEXT(Method!$B$7,"0.0%")&amp;"+)","Model ≈ market — edge "&amp;TEXT(AG45,"0.0%")&amp;" (need "&amp;TEXT(Method!$B$8,"0.0%")&amp;"+)"))))</f>
        <v>Type the 3 odds on the Matchday tab</v>
      </c>
      <c r="AU45" s="26" t="str">
        <f t="shared" si="17"/>
        <v/>
      </c>
      <c r="AV45" s="25" t="str">
        <f>IF(Matchday!O47="","",Matchday!O47)</f>
        <v/>
      </c>
      <c r="AW45" s="68"/>
      <c r="AX45" s="68"/>
      <c r="AY45" s="68"/>
      <c r="AZ45" s="68" t="str">
        <f t="shared" si="18"/>
        <v>· enter odds</v>
      </c>
      <c r="BA45" s="69">
        <f>IF(AX45&lt;&gt;"",AX45,IF(AH45&lt;&gt;"BET",0,IF(AI45*Method!$B$10/100&lt;Method!$B$9,0,ROUND(AI45*Method!$B$10/100,0))))</f>
        <v>0</v>
      </c>
      <c r="BB45" s="70">
        <v>0.0</v>
      </c>
      <c r="BC45" s="70">
        <v>0.2785851942484232</v>
      </c>
      <c r="BD45" s="70">
        <v>0.2866181618667305</v>
      </c>
      <c r="BE45" s="70">
        <v>0.4286191358338611</v>
      </c>
      <c r="BG45" s="70">
        <v>8.0</v>
      </c>
      <c r="BH45" s="71" t="s">
        <v>204</v>
      </c>
      <c r="BI45" s="70">
        <v>0.0</v>
      </c>
    </row>
    <row r="46" ht="15.0" customHeight="1">
      <c r="A46" s="25">
        <v>45.0</v>
      </c>
      <c r="B46" s="55">
        <v>46196.0</v>
      </c>
      <c r="C46" s="25" t="s">
        <v>267</v>
      </c>
      <c r="D46" s="56" t="s">
        <v>268</v>
      </c>
      <c r="E46" s="56" t="s">
        <v>277</v>
      </c>
      <c r="F46" s="56" t="s">
        <v>223</v>
      </c>
      <c r="G46" s="25" t="s">
        <v>176</v>
      </c>
      <c r="H46" s="25" t="s">
        <v>233</v>
      </c>
      <c r="I46" s="57">
        <v>0.5677465449270428</v>
      </c>
      <c r="J46" s="57">
        <v>0.2624732540977214</v>
      </c>
      <c r="K46" s="57">
        <v>0.169780200975236</v>
      </c>
      <c r="L46" s="58" t="str">
        <f>IF(Matchday!E48="","",Matchday!E48)</f>
        <v/>
      </c>
      <c r="M46" s="58" t="str">
        <f>IF(Matchday!F48="","",Matchday!F48)</f>
        <v/>
      </c>
      <c r="N46" s="58" t="str">
        <f>IF(Matchday!G48="","",Matchday!G48)</f>
        <v/>
      </c>
      <c r="O46" s="59" t="str">
        <f t="shared" ref="O46:Q46" si="103">IF(L46="","",1/L46)</f>
        <v/>
      </c>
      <c r="P46" s="59" t="str">
        <f t="shared" si="103"/>
        <v/>
      </c>
      <c r="Q46" s="59" t="str">
        <f t="shared" si="103"/>
        <v/>
      </c>
      <c r="R46" s="59" t="str">
        <f t="shared" si="4"/>
        <v/>
      </c>
      <c r="S46" s="59" t="str">
        <f t="array" ref="S46">IF($R46="","",IF(Method!$B$56="proportional",O46/$R46,IF(Method!$B$56="power",IFERROR(INDEX(power_devig($L46,$M46,$N46),1,1),O46/$R46),IFERROR(INDEX(shin($L46,$M46,$N46),1,1),O46/$R46))))</f>
        <v/>
      </c>
      <c r="T46" s="59" t="str">
        <f t="array" ref="T46">IF($R46="","",IF(Method!$B$56="proportional",P46/$R46,IF(Method!$B$56="power",IFERROR(INDEX(power_devig($L46,$M46,$N46),2,1),P46/$R46),IFERROR(INDEX(shin($L46,$M46,$N46),2,1),P46/$R46))))</f>
        <v/>
      </c>
      <c r="U46" s="59" t="str">
        <f t="array" ref="U46">IF($R46="","",IF(Method!$B$56="proportional",Q46/$R46,IF(Method!$B$56="power",IFERROR(INDEX(power_devig($L46,$M46,$N46),3,1),Q46/$R46),IFERROR(INDEX(shin($L46,$M46,$N46),3,1),Q46/$R46))))</f>
        <v/>
      </c>
      <c r="V46" s="59" t="str">
        <f>IF(S46="","",Method!$B$4*I46+(1-Method!$B$4)*S46/($S46+$T46+$U46))</f>
        <v/>
      </c>
      <c r="W46" s="59" t="str">
        <f>IF(T46="","",Method!$B$4*J46+(1-Method!$B$4)*T46/($S46+$T46+$U46))</f>
        <v/>
      </c>
      <c r="X46" s="59" t="str">
        <f>IF(U46="","",Method!$B$4*K46+(1-Method!$B$4)*U46/($S46+$T46+$U46))</f>
        <v/>
      </c>
      <c r="Y46" s="60" t="str">
        <f t="shared" ref="Y46:AA46" si="104">IF(V46="","",V46*L46-1)</f>
        <v/>
      </c>
      <c r="Z46" s="60" t="str">
        <f t="shared" si="104"/>
        <v/>
      </c>
      <c r="AA46" s="60" t="str">
        <f t="shared" si="104"/>
        <v/>
      </c>
      <c r="AB46" s="56" t="str">
        <f t="shared" si="6"/>
        <v/>
      </c>
      <c r="AC46" s="56" t="str">
        <f t="shared" si="7"/>
        <v/>
      </c>
      <c r="AD46" s="61" t="str">
        <f t="shared" si="8"/>
        <v/>
      </c>
      <c r="AE46" s="28" t="str">
        <f t="shared" si="9"/>
        <v/>
      </c>
      <c r="AF46" s="60" t="str">
        <f t="shared" si="10"/>
        <v/>
      </c>
      <c r="AG46" s="60" t="str">
        <f t="shared" si="11"/>
        <v/>
      </c>
      <c r="AH46" s="62" t="str">
        <f>IF(AB46="","· enter odds",IF(AND(AF46&gt;=Method!$B$7,AG46&gt;=Method!$B$8),"BET","PASS"))</f>
        <v>· enter odds</v>
      </c>
      <c r="AI46" s="63">
        <f>IF(AH46&lt;&gt;"BET",0,ROUND(MIN(Method!$B$6,Method!$B$5*AL46)*100,1))</f>
        <v>0</v>
      </c>
      <c r="AJ46" s="64">
        <f>IF(OR(AH46&lt;&gt;"BET",Method!$B$55=TRUE()),0,IF(AI46*Method!$B$10/100&lt;Method!$B$9,0,ROUND(AI46*Method!$B$10/100,0)))</f>
        <v>0</v>
      </c>
      <c r="AK46" s="59" t="str">
        <f t="shared" si="12"/>
        <v/>
      </c>
      <c r="AL46" s="59" t="str">
        <f t="shared" si="13"/>
        <v/>
      </c>
      <c r="AM46" s="56" t="str">
        <f t="shared" si="14"/>
        <v/>
      </c>
      <c r="AN46" s="65" t="str">
        <f>IF(Matchday!N48="","",Matchday!N48)</f>
        <v/>
      </c>
      <c r="AO46" s="58" t="str">
        <f>IF(Matchday!P48="","",Matchday!P48)</f>
        <v/>
      </c>
      <c r="AP46" s="66" t="str">
        <f>IF(Matchday!Q48="","",Matchday!Q48)</f>
        <v/>
      </c>
      <c r="AQ46" s="65" t="str">
        <f>IF(Matchday!R48="","",Matchday!R48)</f>
        <v/>
      </c>
      <c r="AR46" s="67" t="str">
        <f t="shared" si="15"/>
        <v/>
      </c>
      <c r="AS46" s="67" t="str">
        <f t="shared" si="16"/>
        <v/>
      </c>
      <c r="AT46" s="26" t="str">
        <f>IF(AB46="","Type the 3 odds on the Matchday tab",IF(Method!$B$55=TRUE(),"🛑 PAUSED — drawdown "&amp;TEXT(Method!$B$51,"0.0%")&amp;" ≥ "&amp;TEXT(Method!$B$52,"0.0%")&amp;". Set Method!B54=Y to override.",IF(AH46="BET",IF(AJ46=0,"Edge found but stake rounds under £"&amp;Method!$B$9&amp;" — skip","Value found: EV "&amp;TEXT(AF46,"0.0%")&amp;", edge "&amp;TEXT(AG46,"0.0%")),IF(AF46&lt;Method!$B$7,"Price too short — EV "&amp;TEXT(AF46,"0.0%")&amp;" (need "&amp;TEXT(Method!$B$7,"0.0%")&amp;"+)","Model ≈ market — edge "&amp;TEXT(AG46,"0.0%")&amp;" (need "&amp;TEXT(Method!$B$8,"0.0%")&amp;"+)"))))</f>
        <v>Type the 3 odds on the Matchday tab</v>
      </c>
      <c r="AU46" s="26" t="str">
        <f t="shared" si="17"/>
        <v/>
      </c>
      <c r="AV46" s="25" t="str">
        <f>IF(Matchday!O48="","",Matchday!O48)</f>
        <v/>
      </c>
      <c r="AW46" s="68"/>
      <c r="AX46" s="68"/>
      <c r="AY46" s="68"/>
      <c r="AZ46" s="68" t="str">
        <f t="shared" si="18"/>
        <v>· enter odds</v>
      </c>
      <c r="BA46" s="69">
        <f>IF(AX46&lt;&gt;"",AX46,IF(AH46&lt;&gt;"BET",0,IF(AI46*Method!$B$10/100&lt;Method!$B$9,0,ROUND(AI46*Method!$B$10/100,0))))</f>
        <v>0</v>
      </c>
      <c r="BB46" s="70">
        <v>-5.0</v>
      </c>
      <c r="BC46" s="70">
        <v>0.5452387592361928</v>
      </c>
      <c r="BD46" s="70">
        <v>0.27947273458567734</v>
      </c>
      <c r="BE46" s="70">
        <v>0.17490439236267447</v>
      </c>
      <c r="BF46" s="71" t="s">
        <v>287</v>
      </c>
      <c r="BG46" s="70">
        <v>15.0</v>
      </c>
      <c r="BH46" s="71" t="s">
        <v>224</v>
      </c>
      <c r="BI46" s="70">
        <v>0.0</v>
      </c>
    </row>
    <row r="47" ht="15.0" customHeight="1">
      <c r="A47" s="25">
        <v>46.0</v>
      </c>
      <c r="B47" s="55">
        <v>46196.0</v>
      </c>
      <c r="C47" s="25" t="s">
        <v>271</v>
      </c>
      <c r="D47" s="56" t="s">
        <v>272</v>
      </c>
      <c r="E47" s="56" t="s">
        <v>275</v>
      </c>
      <c r="F47" s="56" t="s">
        <v>212</v>
      </c>
      <c r="G47" s="25" t="s">
        <v>281</v>
      </c>
      <c r="H47" s="25" t="s">
        <v>213</v>
      </c>
      <c r="I47" s="57">
        <v>0.6910103314089016</v>
      </c>
      <c r="J47" s="57">
        <v>0.21301086593660454</v>
      </c>
      <c r="K47" s="57">
        <v>0.09597880265449404</v>
      </c>
      <c r="L47" s="58" t="str">
        <f>IF(Matchday!E49="","",Matchday!E49)</f>
        <v/>
      </c>
      <c r="M47" s="58" t="str">
        <f>IF(Matchday!F49="","",Matchday!F49)</f>
        <v/>
      </c>
      <c r="N47" s="58" t="str">
        <f>IF(Matchday!G49="","",Matchday!G49)</f>
        <v/>
      </c>
      <c r="O47" s="59" t="str">
        <f t="shared" ref="O47:Q47" si="105">IF(L47="","",1/L47)</f>
        <v/>
      </c>
      <c r="P47" s="59" t="str">
        <f t="shared" si="105"/>
        <v/>
      </c>
      <c r="Q47" s="59" t="str">
        <f t="shared" si="105"/>
        <v/>
      </c>
      <c r="R47" s="59" t="str">
        <f t="shared" si="4"/>
        <v/>
      </c>
      <c r="S47" s="59" t="str">
        <f t="array" ref="S47">IF($R47="","",IF(Method!$B$56="proportional",O47/$R47,IF(Method!$B$56="power",IFERROR(INDEX(power_devig($L47,$M47,$N47),1,1),O47/$R47),IFERROR(INDEX(shin($L47,$M47,$N47),1,1),O47/$R47))))</f>
        <v/>
      </c>
      <c r="T47" s="59" t="str">
        <f t="array" ref="T47">IF($R47="","",IF(Method!$B$56="proportional",P47/$R47,IF(Method!$B$56="power",IFERROR(INDEX(power_devig($L47,$M47,$N47),2,1),P47/$R47),IFERROR(INDEX(shin($L47,$M47,$N47),2,1),P47/$R47))))</f>
        <v/>
      </c>
      <c r="U47" s="59" t="str">
        <f t="array" ref="U47">IF($R47="","",IF(Method!$B$56="proportional",Q47/$R47,IF(Method!$B$56="power",IFERROR(INDEX(power_devig($L47,$M47,$N47),3,1),Q47/$R47),IFERROR(INDEX(shin($L47,$M47,$N47),3,1),Q47/$R47))))</f>
        <v/>
      </c>
      <c r="V47" s="59" t="str">
        <f>IF(S47="","",Method!$B$4*I47+(1-Method!$B$4)*S47/($S47+$T47+$U47))</f>
        <v/>
      </c>
      <c r="W47" s="59" t="str">
        <f>IF(T47="","",Method!$B$4*J47+(1-Method!$B$4)*T47/($S47+$T47+$U47))</f>
        <v/>
      </c>
      <c r="X47" s="59" t="str">
        <f>IF(U47="","",Method!$B$4*K47+(1-Method!$B$4)*U47/($S47+$T47+$U47))</f>
        <v/>
      </c>
      <c r="Y47" s="60" t="str">
        <f t="shared" ref="Y47:AA47" si="106">IF(V47="","",V47*L47-1)</f>
        <v/>
      </c>
      <c r="Z47" s="60" t="str">
        <f t="shared" si="106"/>
        <v/>
      </c>
      <c r="AA47" s="60" t="str">
        <f t="shared" si="106"/>
        <v/>
      </c>
      <c r="AB47" s="56" t="str">
        <f t="shared" si="6"/>
        <v/>
      </c>
      <c r="AC47" s="56" t="str">
        <f t="shared" si="7"/>
        <v/>
      </c>
      <c r="AD47" s="61" t="str">
        <f t="shared" si="8"/>
        <v/>
      </c>
      <c r="AE47" s="28" t="str">
        <f t="shared" si="9"/>
        <v/>
      </c>
      <c r="AF47" s="60" t="str">
        <f t="shared" si="10"/>
        <v/>
      </c>
      <c r="AG47" s="60" t="str">
        <f t="shared" si="11"/>
        <v/>
      </c>
      <c r="AH47" s="62" t="str">
        <f>IF(AB47="","· enter odds",IF(AND(AF47&gt;=Method!$B$7,AG47&gt;=Method!$B$8),"BET","PASS"))</f>
        <v>· enter odds</v>
      </c>
      <c r="AI47" s="63">
        <f>IF(AH47&lt;&gt;"BET",0,ROUND(MIN(Method!$B$6,Method!$B$5*AL47)*100,1))</f>
        <v>0</v>
      </c>
      <c r="AJ47" s="64">
        <f>IF(OR(AH47&lt;&gt;"BET",Method!$B$55=TRUE()),0,IF(AI47*Method!$B$10/100&lt;Method!$B$9,0,ROUND(AI47*Method!$B$10/100,0)))</f>
        <v>0</v>
      </c>
      <c r="AK47" s="59" t="str">
        <f t="shared" si="12"/>
        <v/>
      </c>
      <c r="AL47" s="59" t="str">
        <f t="shared" si="13"/>
        <v/>
      </c>
      <c r="AM47" s="56" t="str">
        <f t="shared" si="14"/>
        <v/>
      </c>
      <c r="AN47" s="65" t="str">
        <f>IF(Matchday!N49="","",Matchday!N49)</f>
        <v/>
      </c>
      <c r="AO47" s="58" t="str">
        <f>IF(Matchday!P49="","",Matchday!P49)</f>
        <v/>
      </c>
      <c r="AP47" s="66" t="str">
        <f>IF(Matchday!Q49="","",Matchday!Q49)</f>
        <v/>
      </c>
      <c r="AQ47" s="65" t="str">
        <f>IF(Matchday!R49="","",Matchday!R49)</f>
        <v/>
      </c>
      <c r="AR47" s="67" t="str">
        <f t="shared" si="15"/>
        <v/>
      </c>
      <c r="AS47" s="67" t="str">
        <f t="shared" si="16"/>
        <v/>
      </c>
      <c r="AT47" s="26" t="str">
        <f>IF(AB47="","Type the 3 odds on the Matchday tab",IF(Method!$B$55=TRUE(),"🛑 PAUSED — drawdown "&amp;TEXT(Method!$B$51,"0.0%")&amp;" ≥ "&amp;TEXT(Method!$B$52,"0.0%")&amp;". Set Method!B54=Y to override.",IF(AH47="BET",IF(AJ47=0,"Edge found but stake rounds under £"&amp;Method!$B$9&amp;" — skip","Value found: EV "&amp;TEXT(AF47,"0.0%")&amp;", edge "&amp;TEXT(AG47,"0.0%")),IF(AF47&lt;Method!$B$7,"Price too short — EV "&amp;TEXT(AF47,"0.0%")&amp;" (need "&amp;TEXT(Method!$B$7,"0.0%")&amp;"+)","Model ≈ market — edge "&amp;TEXT(AG47,"0.0%")&amp;" (need "&amp;TEXT(Method!$B$8,"0.0%")&amp;"+)"))))</f>
        <v>Type the 3 odds on the Matchday tab</v>
      </c>
      <c r="AU47" s="26" t="str">
        <f t="shared" si="17"/>
        <v/>
      </c>
      <c r="AV47" s="25" t="str">
        <f>IF(Matchday!O49="","",Matchday!O49)</f>
        <v/>
      </c>
      <c r="AW47" s="68"/>
      <c r="AX47" s="68"/>
      <c r="AY47" s="68"/>
      <c r="AZ47" s="68" t="str">
        <f t="shared" si="18"/>
        <v>· enter odds</v>
      </c>
      <c r="BA47" s="69">
        <f>IF(AX47&lt;&gt;"",AX47,IF(AH47&lt;&gt;"BET",0,IF(AI47*Method!$B$10/100&lt;Method!$B$9,0,ROUND(AI47*Method!$B$10/100,0))))</f>
        <v>0</v>
      </c>
      <c r="BB47" s="70">
        <v>0.0</v>
      </c>
      <c r="BC47" s="70">
        <v>0.6399823364767795</v>
      </c>
      <c r="BD47" s="70">
        <v>0.2363434647463679</v>
      </c>
      <c r="BE47" s="70">
        <v>0.09768249968466157</v>
      </c>
      <c r="BG47" s="70">
        <v>40.0</v>
      </c>
      <c r="BH47" s="71" t="s">
        <v>214</v>
      </c>
      <c r="BI47" s="70">
        <v>2493.6</v>
      </c>
    </row>
    <row r="48" ht="15.0" customHeight="1">
      <c r="A48" s="25">
        <v>47.0</v>
      </c>
      <c r="B48" s="55">
        <v>46196.0</v>
      </c>
      <c r="C48" s="25" t="s">
        <v>271</v>
      </c>
      <c r="D48" s="56" t="s">
        <v>276</v>
      </c>
      <c r="E48" s="56" t="s">
        <v>273</v>
      </c>
      <c r="F48" s="56" t="s">
        <v>190</v>
      </c>
      <c r="G48" s="25" t="s">
        <v>233</v>
      </c>
      <c r="H48" s="25" t="s">
        <v>234</v>
      </c>
      <c r="I48" s="57">
        <v>0.23009284512645495</v>
      </c>
      <c r="J48" s="57">
        <v>0.274301569862282</v>
      </c>
      <c r="K48" s="57">
        <v>0.49560558501126317</v>
      </c>
      <c r="L48" s="58" t="str">
        <f>IF(Matchday!E50="","",Matchday!E50)</f>
        <v/>
      </c>
      <c r="M48" s="58" t="str">
        <f>IF(Matchday!F50="","",Matchday!F50)</f>
        <v/>
      </c>
      <c r="N48" s="58" t="str">
        <f>IF(Matchday!G50="","",Matchday!G50)</f>
        <v/>
      </c>
      <c r="O48" s="59" t="str">
        <f t="shared" ref="O48:Q48" si="107">IF(L48="","",1/L48)</f>
        <v/>
      </c>
      <c r="P48" s="59" t="str">
        <f t="shared" si="107"/>
        <v/>
      </c>
      <c r="Q48" s="59" t="str">
        <f t="shared" si="107"/>
        <v/>
      </c>
      <c r="R48" s="59" t="str">
        <f t="shared" si="4"/>
        <v/>
      </c>
      <c r="S48" s="59" t="str">
        <f t="array" ref="S48">IF($R48="","",IF(Method!$B$56="proportional",O48/$R48,IF(Method!$B$56="power",IFERROR(INDEX(power_devig($L48,$M48,$N48),1,1),O48/$R48),IFERROR(INDEX(shin($L48,$M48,$N48),1,1),O48/$R48))))</f>
        <v/>
      </c>
      <c r="T48" s="59" t="str">
        <f t="array" ref="T48">IF($R48="","",IF(Method!$B$56="proportional",P48/$R48,IF(Method!$B$56="power",IFERROR(INDEX(power_devig($L48,$M48,$N48),2,1),P48/$R48),IFERROR(INDEX(shin($L48,$M48,$N48),2,1),P48/$R48))))</f>
        <v/>
      </c>
      <c r="U48" s="59" t="str">
        <f t="array" ref="U48">IF($R48="","",IF(Method!$B$56="proportional",Q48/$R48,IF(Method!$B$56="power",IFERROR(INDEX(power_devig($L48,$M48,$N48),3,1),Q48/$R48),IFERROR(INDEX(shin($L48,$M48,$N48),3,1),Q48/$R48))))</f>
        <v/>
      </c>
      <c r="V48" s="59" t="str">
        <f>IF(S48="","",Method!$B$4*I48+(1-Method!$B$4)*S48/($S48+$T48+$U48))</f>
        <v/>
      </c>
      <c r="W48" s="59" t="str">
        <f>IF(T48="","",Method!$B$4*J48+(1-Method!$B$4)*T48/($S48+$T48+$U48))</f>
        <v/>
      </c>
      <c r="X48" s="59" t="str">
        <f>IF(U48="","",Method!$B$4*K48+(1-Method!$B$4)*U48/($S48+$T48+$U48))</f>
        <v/>
      </c>
      <c r="Y48" s="60" t="str">
        <f t="shared" ref="Y48:AA48" si="108">IF(V48="","",V48*L48-1)</f>
        <v/>
      </c>
      <c r="Z48" s="60" t="str">
        <f t="shared" si="108"/>
        <v/>
      </c>
      <c r="AA48" s="60" t="str">
        <f t="shared" si="108"/>
        <v/>
      </c>
      <c r="AB48" s="56" t="str">
        <f t="shared" si="6"/>
        <v/>
      </c>
      <c r="AC48" s="56" t="str">
        <f t="shared" si="7"/>
        <v/>
      </c>
      <c r="AD48" s="61" t="str">
        <f t="shared" si="8"/>
        <v/>
      </c>
      <c r="AE48" s="28" t="str">
        <f t="shared" si="9"/>
        <v/>
      </c>
      <c r="AF48" s="60" t="str">
        <f t="shared" si="10"/>
        <v/>
      </c>
      <c r="AG48" s="60" t="str">
        <f t="shared" si="11"/>
        <v/>
      </c>
      <c r="AH48" s="62" t="str">
        <f>IF(AB48="","· enter odds",IF(AND(AF48&gt;=Method!$B$7,AG48&gt;=Method!$B$8),"BET","PASS"))</f>
        <v>· enter odds</v>
      </c>
      <c r="AI48" s="63">
        <f>IF(AH48&lt;&gt;"BET",0,ROUND(MIN(Method!$B$6,Method!$B$5*AL48)*100,1))</f>
        <v>0</v>
      </c>
      <c r="AJ48" s="64">
        <f>IF(OR(AH48&lt;&gt;"BET",Method!$B$55=TRUE()),0,IF(AI48*Method!$B$10/100&lt;Method!$B$9,0,ROUND(AI48*Method!$B$10/100,0)))</f>
        <v>0</v>
      </c>
      <c r="AK48" s="59" t="str">
        <f t="shared" si="12"/>
        <v/>
      </c>
      <c r="AL48" s="59" t="str">
        <f t="shared" si="13"/>
        <v/>
      </c>
      <c r="AM48" s="56" t="str">
        <f t="shared" si="14"/>
        <v/>
      </c>
      <c r="AN48" s="65" t="str">
        <f>IF(Matchday!N50="","",Matchday!N50)</f>
        <v/>
      </c>
      <c r="AO48" s="58" t="str">
        <f>IF(Matchday!P50="","",Matchday!P50)</f>
        <v/>
      </c>
      <c r="AP48" s="66" t="str">
        <f>IF(Matchday!Q50="","",Matchday!Q50)</f>
        <v/>
      </c>
      <c r="AQ48" s="65" t="str">
        <f>IF(Matchday!R50="","",Matchday!R50)</f>
        <v/>
      </c>
      <c r="AR48" s="67" t="str">
        <f t="shared" si="15"/>
        <v/>
      </c>
      <c r="AS48" s="67" t="str">
        <f t="shared" si="16"/>
        <v/>
      </c>
      <c r="AT48" s="26" t="str">
        <f>IF(AB48="","Type the 3 odds on the Matchday tab",IF(Method!$B$55=TRUE(),"🛑 PAUSED — drawdown "&amp;TEXT(Method!$B$51,"0.0%")&amp;" ≥ "&amp;TEXT(Method!$B$52,"0.0%")&amp;". Set Method!B54=Y to override.",IF(AH48="BET",IF(AJ48=0,"Edge found but stake rounds under £"&amp;Method!$B$9&amp;" — skip","Value found: EV "&amp;TEXT(AF48,"0.0%")&amp;", edge "&amp;TEXT(AG48,"0.0%")),IF(AF48&lt;Method!$B$7,"Price too short — EV "&amp;TEXT(AF48,"0.0%")&amp;" (need "&amp;TEXT(Method!$B$7,"0.0%")&amp;"+)","Model ≈ market — edge "&amp;TEXT(AG48,"0.0%")&amp;" (need "&amp;TEXT(Method!$B$8,"0.0%")&amp;"+)"))))</f>
        <v>Type the 3 odds on the Matchday tab</v>
      </c>
      <c r="AU48" s="26" t="str">
        <f t="shared" si="17"/>
        <v/>
      </c>
      <c r="AV48" s="25" t="str">
        <f>IF(Matchday!O50="","",Matchday!O50)</f>
        <v/>
      </c>
      <c r="AW48" s="68"/>
      <c r="AX48" s="68"/>
      <c r="AY48" s="68"/>
      <c r="AZ48" s="68" t="str">
        <f t="shared" si="18"/>
        <v>· enter odds</v>
      </c>
      <c r="BA48" s="69">
        <f>IF(AX48&lt;&gt;"",AX48,IF(AH48&lt;&gt;"BET",0,IF(AI48*Method!$B$10/100&lt;Method!$B$9,0,ROUND(AI48*Method!$B$10/100,0))))</f>
        <v>0</v>
      </c>
      <c r="BB48" s="70">
        <v>0.0</v>
      </c>
      <c r="BC48" s="70">
        <v>0.21389691066030636</v>
      </c>
      <c r="BD48" s="70">
        <v>0.28394480326078503</v>
      </c>
      <c r="BE48" s="70">
        <v>0.4856593677225338</v>
      </c>
      <c r="BG48" s="70">
        <v>76.0</v>
      </c>
      <c r="BH48" s="71" t="s">
        <v>192</v>
      </c>
      <c r="BI48" s="70">
        <v>0.0</v>
      </c>
    </row>
    <row r="49" ht="15.0" customHeight="1">
      <c r="A49" s="25">
        <v>48.0</v>
      </c>
      <c r="B49" s="55">
        <v>46196.0</v>
      </c>
      <c r="C49" s="25" t="s">
        <v>267</v>
      </c>
      <c r="D49" s="56" t="s">
        <v>278</v>
      </c>
      <c r="E49" s="56" t="s">
        <v>269</v>
      </c>
      <c r="F49" s="56" t="s">
        <v>182</v>
      </c>
      <c r="G49" s="25" t="s">
        <v>283</v>
      </c>
      <c r="H49" s="25" t="s">
        <v>218</v>
      </c>
      <c r="I49" s="57">
        <v>0.6611685635681352</v>
      </c>
      <c r="J49" s="57">
        <v>0.2257259889630096</v>
      </c>
      <c r="K49" s="57">
        <v>0.11310544746885516</v>
      </c>
      <c r="L49" s="58" t="str">
        <f>IF(Matchday!E51="","",Matchday!E51)</f>
        <v/>
      </c>
      <c r="M49" s="58" t="str">
        <f>IF(Matchday!F51="","",Matchday!F51)</f>
        <v/>
      </c>
      <c r="N49" s="58" t="str">
        <f>IF(Matchday!G51="","",Matchday!G51)</f>
        <v/>
      </c>
      <c r="O49" s="59" t="str">
        <f t="shared" ref="O49:Q49" si="109">IF(L49="","",1/L49)</f>
        <v/>
      </c>
      <c r="P49" s="59" t="str">
        <f t="shared" si="109"/>
        <v/>
      </c>
      <c r="Q49" s="59" t="str">
        <f t="shared" si="109"/>
        <v/>
      </c>
      <c r="R49" s="59" t="str">
        <f t="shared" si="4"/>
        <v/>
      </c>
      <c r="S49" s="59" t="str">
        <f t="array" ref="S49">IF($R49="","",IF(Method!$B$56="proportional",O49/$R49,IF(Method!$B$56="power",IFERROR(INDEX(power_devig($L49,$M49,$N49),1,1),O49/$R49),IFERROR(INDEX(shin($L49,$M49,$N49),1,1),O49/$R49))))</f>
        <v/>
      </c>
      <c r="T49" s="59" t="str">
        <f t="array" ref="T49">IF($R49="","",IF(Method!$B$56="proportional",P49/$R49,IF(Method!$B$56="power",IFERROR(INDEX(power_devig($L49,$M49,$N49),2,1),P49/$R49),IFERROR(INDEX(shin($L49,$M49,$N49),2,1),P49/$R49))))</f>
        <v/>
      </c>
      <c r="U49" s="59" t="str">
        <f t="array" ref="U49">IF($R49="","",IF(Method!$B$56="proportional",Q49/$R49,IF(Method!$B$56="power",IFERROR(INDEX(power_devig($L49,$M49,$N49),3,1),Q49/$R49),IFERROR(INDEX(shin($L49,$M49,$N49),3,1),Q49/$R49))))</f>
        <v/>
      </c>
      <c r="V49" s="59" t="str">
        <f>IF(S49="","",Method!$B$4*I49+(1-Method!$B$4)*S49/($S49+$T49+$U49))</f>
        <v/>
      </c>
      <c r="W49" s="59" t="str">
        <f>IF(T49="","",Method!$B$4*J49+(1-Method!$B$4)*T49/($S49+$T49+$U49))</f>
        <v/>
      </c>
      <c r="X49" s="59" t="str">
        <f>IF(U49="","",Method!$B$4*K49+(1-Method!$B$4)*U49/($S49+$T49+$U49))</f>
        <v/>
      </c>
      <c r="Y49" s="60" t="str">
        <f t="shared" ref="Y49:AA49" si="110">IF(V49="","",V49*L49-1)</f>
        <v/>
      </c>
      <c r="Z49" s="60" t="str">
        <f t="shared" si="110"/>
        <v/>
      </c>
      <c r="AA49" s="60" t="str">
        <f t="shared" si="110"/>
        <v/>
      </c>
      <c r="AB49" s="56" t="str">
        <f t="shared" si="6"/>
        <v/>
      </c>
      <c r="AC49" s="56" t="str">
        <f t="shared" si="7"/>
        <v/>
      </c>
      <c r="AD49" s="61" t="str">
        <f t="shared" si="8"/>
        <v/>
      </c>
      <c r="AE49" s="28" t="str">
        <f t="shared" si="9"/>
        <v/>
      </c>
      <c r="AF49" s="60" t="str">
        <f t="shared" si="10"/>
        <v/>
      </c>
      <c r="AG49" s="60" t="str">
        <f t="shared" si="11"/>
        <v/>
      </c>
      <c r="AH49" s="62" t="str">
        <f>IF(AB49="","· enter odds",IF(AND(AF49&gt;=Method!$B$7,AG49&gt;=Method!$B$8),"BET","PASS"))</f>
        <v>· enter odds</v>
      </c>
      <c r="AI49" s="63">
        <f>IF(AH49&lt;&gt;"BET",0,ROUND(MIN(Method!$B$6,Method!$B$5*AL49)*100,1))</f>
        <v>0</v>
      </c>
      <c r="AJ49" s="64">
        <f>IF(OR(AH49&lt;&gt;"BET",Method!$B$55=TRUE()),0,IF(AI49*Method!$B$10/100&lt;Method!$B$9,0,ROUND(AI49*Method!$B$10/100,0)))</f>
        <v>0</v>
      </c>
      <c r="AK49" s="59" t="str">
        <f t="shared" si="12"/>
        <v/>
      </c>
      <c r="AL49" s="59" t="str">
        <f t="shared" si="13"/>
        <v/>
      </c>
      <c r="AM49" s="56" t="str">
        <f t="shared" si="14"/>
        <v/>
      </c>
      <c r="AN49" s="65" t="str">
        <f>IF(Matchday!N51="","",Matchday!N51)</f>
        <v/>
      </c>
      <c r="AO49" s="58" t="str">
        <f>IF(Matchday!P51="","",Matchday!P51)</f>
        <v/>
      </c>
      <c r="AP49" s="66" t="str">
        <f>IF(Matchday!Q51="","",Matchday!Q51)</f>
        <v/>
      </c>
      <c r="AQ49" s="65" t="str">
        <f>IF(Matchday!R51="","",Matchday!R51)</f>
        <v/>
      </c>
      <c r="AR49" s="67" t="str">
        <f t="shared" si="15"/>
        <v/>
      </c>
      <c r="AS49" s="67" t="str">
        <f t="shared" si="16"/>
        <v/>
      </c>
      <c r="AT49" s="26" t="str">
        <f>IF(AB49="","Type the 3 odds on the Matchday tab",IF(Method!$B$55=TRUE(),"🛑 PAUSED — drawdown "&amp;TEXT(Method!$B$51,"0.0%")&amp;" ≥ "&amp;TEXT(Method!$B$52,"0.0%")&amp;". Set Method!B54=Y to override.",IF(AH49="BET",IF(AJ49=0,"Edge found but stake rounds under £"&amp;Method!$B$9&amp;" — skip","Value found: EV "&amp;TEXT(AF49,"0.0%")&amp;", edge "&amp;TEXT(AG49,"0.0%")),IF(AF49&lt;Method!$B$7,"Price too short — EV "&amp;TEXT(AF49,"0.0%")&amp;" (need "&amp;TEXT(Method!$B$7,"0.0%")&amp;"+)","Model ≈ market — edge "&amp;TEXT(AG49,"0.0%")&amp;" (need "&amp;TEXT(Method!$B$8,"0.0%")&amp;"+)"))))</f>
        <v>Type the 3 odds on the Matchday tab</v>
      </c>
      <c r="AU49" s="26" t="str">
        <f t="shared" si="17"/>
        <v/>
      </c>
      <c r="AV49" s="25" t="str">
        <f>IF(Matchday!O51="","",Matchday!O51)</f>
        <v/>
      </c>
      <c r="AW49" s="68"/>
      <c r="AX49" s="68"/>
      <c r="AY49" s="68"/>
      <c r="AZ49" s="68" t="str">
        <f t="shared" si="18"/>
        <v>· enter odds</v>
      </c>
      <c r="BA49" s="69">
        <f>IF(AX49&lt;&gt;"",AX49,IF(AH49&lt;&gt;"BET",0,IF(AI49*Method!$B$10/100&lt;Method!$B$9,0,ROUND(AI49*Method!$B$10/100,0))))</f>
        <v>0</v>
      </c>
      <c r="BB49" s="70">
        <v>0.0</v>
      </c>
      <c r="BC49" s="70">
        <v>0.6086103265675874</v>
      </c>
      <c r="BD49" s="70">
        <v>0.24865302381088394</v>
      </c>
      <c r="BE49" s="70">
        <v>0.11607146151012049</v>
      </c>
      <c r="BG49" s="70">
        <v>1560.0</v>
      </c>
      <c r="BH49" s="71" t="s">
        <v>186</v>
      </c>
      <c r="BI49" s="70">
        <v>475.9</v>
      </c>
    </row>
    <row r="50" ht="15.0" customHeight="1">
      <c r="A50" s="25">
        <v>49.0</v>
      </c>
      <c r="B50" s="55">
        <v>46197.0</v>
      </c>
      <c r="C50" s="25" t="s">
        <v>187</v>
      </c>
      <c r="D50" s="56" t="s">
        <v>201</v>
      </c>
      <c r="E50" s="56" t="s">
        <v>188</v>
      </c>
      <c r="F50" s="56" t="s">
        <v>217</v>
      </c>
      <c r="G50" s="25" t="s">
        <v>191</v>
      </c>
      <c r="H50" s="25" t="s">
        <v>209</v>
      </c>
      <c r="I50" s="57">
        <v>0.3761513409679554</v>
      </c>
      <c r="J50" s="57">
        <v>0.2924185809843719</v>
      </c>
      <c r="K50" s="57">
        <v>0.33143007804767244</v>
      </c>
      <c r="L50" s="58" t="str">
        <f>IF(Matchday!E52="","",Matchday!E52)</f>
        <v/>
      </c>
      <c r="M50" s="58" t="str">
        <f>IF(Matchday!F52="","",Matchday!F52)</f>
        <v/>
      </c>
      <c r="N50" s="58" t="str">
        <f>IF(Matchday!G52="","",Matchday!G52)</f>
        <v/>
      </c>
      <c r="O50" s="59" t="str">
        <f t="shared" ref="O50:Q50" si="111">IF(L50="","",1/L50)</f>
        <v/>
      </c>
      <c r="P50" s="59" t="str">
        <f t="shared" si="111"/>
        <v/>
      </c>
      <c r="Q50" s="59" t="str">
        <f t="shared" si="111"/>
        <v/>
      </c>
      <c r="R50" s="59" t="str">
        <f t="shared" si="4"/>
        <v/>
      </c>
      <c r="S50" s="59" t="str">
        <f t="array" ref="S50">IF($R50="","",IF(Method!$B$56="proportional",O50/$R50,IF(Method!$B$56="power",IFERROR(INDEX(power_devig($L50,$M50,$N50),1,1),O50/$R50),IFERROR(INDEX(shin($L50,$M50,$N50),1,1),O50/$R50))))</f>
        <v/>
      </c>
      <c r="T50" s="59" t="str">
        <f t="array" ref="T50">IF($R50="","",IF(Method!$B$56="proportional",P50/$R50,IF(Method!$B$56="power",IFERROR(INDEX(power_devig($L50,$M50,$N50),2,1),P50/$R50),IFERROR(INDEX(shin($L50,$M50,$N50),2,1),P50/$R50))))</f>
        <v/>
      </c>
      <c r="U50" s="59" t="str">
        <f t="array" ref="U50">IF($R50="","",IF(Method!$B$56="proportional",Q50/$R50,IF(Method!$B$56="power",IFERROR(INDEX(power_devig($L50,$M50,$N50),3,1),Q50/$R50),IFERROR(INDEX(shin($L50,$M50,$N50),3,1),Q50/$R50))))</f>
        <v/>
      </c>
      <c r="V50" s="59" t="str">
        <f>IF(S50="","",Method!$B$4*I50+(1-Method!$B$4)*S50/($S50+$T50+$U50))</f>
        <v/>
      </c>
      <c r="W50" s="59" t="str">
        <f>IF(T50="","",Method!$B$4*J50+(1-Method!$B$4)*T50/($S50+$T50+$U50))</f>
        <v/>
      </c>
      <c r="X50" s="59" t="str">
        <f>IF(U50="","",Method!$B$4*K50+(1-Method!$B$4)*U50/($S50+$T50+$U50))</f>
        <v/>
      </c>
      <c r="Y50" s="60" t="str">
        <f t="shared" ref="Y50:AA50" si="112">IF(V50="","",V50*L50-1)</f>
        <v/>
      </c>
      <c r="Z50" s="60" t="str">
        <f t="shared" si="112"/>
        <v/>
      </c>
      <c r="AA50" s="60" t="str">
        <f t="shared" si="112"/>
        <v/>
      </c>
      <c r="AB50" s="56" t="str">
        <f t="shared" si="6"/>
        <v/>
      </c>
      <c r="AC50" s="56" t="str">
        <f t="shared" si="7"/>
        <v/>
      </c>
      <c r="AD50" s="61" t="str">
        <f t="shared" si="8"/>
        <v/>
      </c>
      <c r="AE50" s="28" t="str">
        <f t="shared" si="9"/>
        <v/>
      </c>
      <c r="AF50" s="60" t="str">
        <f t="shared" si="10"/>
        <v/>
      </c>
      <c r="AG50" s="60" t="str">
        <f t="shared" si="11"/>
        <v/>
      </c>
      <c r="AH50" s="62" t="str">
        <f>IF(AB50="","· enter odds",IF(AND(AF50&gt;=Method!$B$7,AG50&gt;=Method!$B$8),"BET","PASS"))</f>
        <v>· enter odds</v>
      </c>
      <c r="AI50" s="63">
        <f>IF(AH50&lt;&gt;"BET",0,ROUND(MIN(Method!$B$6,Method!$B$5*AL50)*100,1))</f>
        <v>0</v>
      </c>
      <c r="AJ50" s="64">
        <f>IF(OR(AH50&lt;&gt;"BET",Method!$B$55=TRUE()),0,IF(AI50*Method!$B$10/100&lt;Method!$B$9,0,ROUND(AI50*Method!$B$10/100,0)))</f>
        <v>0</v>
      </c>
      <c r="AK50" s="59" t="str">
        <f t="shared" si="12"/>
        <v/>
      </c>
      <c r="AL50" s="59" t="str">
        <f t="shared" si="13"/>
        <v/>
      </c>
      <c r="AM50" s="56" t="str">
        <f t="shared" si="14"/>
        <v/>
      </c>
      <c r="AN50" s="65" t="str">
        <f>IF(Matchday!N52="","",Matchday!N52)</f>
        <v/>
      </c>
      <c r="AO50" s="58" t="str">
        <f>IF(Matchday!P52="","",Matchday!P52)</f>
        <v/>
      </c>
      <c r="AP50" s="66" t="str">
        <f>IF(Matchday!Q52="","",Matchday!Q52)</f>
        <v/>
      </c>
      <c r="AQ50" s="65" t="str">
        <f>IF(Matchday!R52="","",Matchday!R52)</f>
        <v/>
      </c>
      <c r="AR50" s="67" t="str">
        <f t="shared" si="15"/>
        <v/>
      </c>
      <c r="AS50" s="67" t="str">
        <f t="shared" si="16"/>
        <v/>
      </c>
      <c r="AT50" s="26" t="str">
        <f>IF(AB50="","Type the 3 odds on the Matchday tab",IF(Method!$B$55=TRUE(),"🛑 PAUSED — drawdown "&amp;TEXT(Method!$B$51,"0.0%")&amp;" ≥ "&amp;TEXT(Method!$B$52,"0.0%")&amp;". Set Method!B54=Y to override.",IF(AH50="BET",IF(AJ50=0,"Edge found but stake rounds under £"&amp;Method!$B$9&amp;" — skip","Value found: EV "&amp;TEXT(AF50,"0.0%")&amp;", edge "&amp;TEXT(AG50,"0.0%")),IF(AF50&lt;Method!$B$7,"Price too short — EV "&amp;TEXT(AF50,"0.0%")&amp;" (need "&amp;TEXT(Method!$B$7,"0.0%")&amp;"+)","Model ≈ market — edge "&amp;TEXT(AG50,"0.0%")&amp;" (need "&amp;TEXT(Method!$B$8,"0.0%")&amp;"+)"))))</f>
        <v>Type the 3 odds on the Matchday tab</v>
      </c>
      <c r="AU50" s="26" t="str">
        <f t="shared" si="17"/>
        <v/>
      </c>
      <c r="AV50" s="25" t="str">
        <f>IF(Matchday!O52="","",Matchday!O52)</f>
        <v/>
      </c>
      <c r="AW50" s="68"/>
      <c r="AX50" s="68"/>
      <c r="AY50" s="68"/>
      <c r="AZ50" s="68" t="str">
        <f t="shared" si="18"/>
        <v>· enter odds</v>
      </c>
      <c r="BA50" s="69">
        <f>IF(AX50&lt;&gt;"",AX50,IF(AH50&lt;&gt;"BET",0,IF(AI50*Method!$B$10/100&lt;Method!$B$9,0,ROUND(AI50*Method!$B$10/100,0))))</f>
        <v>0</v>
      </c>
      <c r="BB50" s="70">
        <v>0.0</v>
      </c>
      <c r="BC50" s="70">
        <v>0.3651137318747153</v>
      </c>
      <c r="BD50" s="70">
        <v>0.29079451200532375</v>
      </c>
      <c r="BE50" s="70">
        <v>0.3416810093361813</v>
      </c>
      <c r="BG50" s="70">
        <v>0.0</v>
      </c>
      <c r="BH50" s="71" t="s">
        <v>219</v>
      </c>
      <c r="BI50" s="70">
        <v>1748.5</v>
      </c>
    </row>
    <row r="51" ht="15.0" customHeight="1">
      <c r="A51" s="25">
        <v>50.0</v>
      </c>
      <c r="B51" s="55">
        <v>46197.0</v>
      </c>
      <c r="C51" s="25" t="s">
        <v>187</v>
      </c>
      <c r="D51" s="56" t="s">
        <v>189</v>
      </c>
      <c r="E51" s="56" t="s">
        <v>200</v>
      </c>
      <c r="F51" s="56" t="s">
        <v>248</v>
      </c>
      <c r="G51" s="25" t="s">
        <v>191</v>
      </c>
      <c r="H51" s="25" t="s">
        <v>209</v>
      </c>
      <c r="I51" s="57">
        <v>0.4179565189783179</v>
      </c>
      <c r="J51" s="57">
        <v>0.309046586108063</v>
      </c>
      <c r="K51" s="57">
        <v>0.27299689491361895</v>
      </c>
      <c r="L51" s="58" t="str">
        <f>IF(Matchday!E53="","",Matchday!E53)</f>
        <v/>
      </c>
      <c r="M51" s="58" t="str">
        <f>IF(Matchday!F53="","",Matchday!F53)</f>
        <v/>
      </c>
      <c r="N51" s="58" t="str">
        <f>IF(Matchday!G53="","",Matchday!G53)</f>
        <v/>
      </c>
      <c r="O51" s="59" t="str">
        <f t="shared" ref="O51:Q51" si="113">IF(L51="","",1/L51)</f>
        <v/>
      </c>
      <c r="P51" s="59" t="str">
        <f t="shared" si="113"/>
        <v/>
      </c>
      <c r="Q51" s="59" t="str">
        <f t="shared" si="113"/>
        <v/>
      </c>
      <c r="R51" s="59" t="str">
        <f t="shared" si="4"/>
        <v/>
      </c>
      <c r="S51" s="59" t="str">
        <f t="array" ref="S51">IF($R51="","",IF(Method!$B$56="proportional",O51/$R51,IF(Method!$B$56="power",IFERROR(INDEX(power_devig($L51,$M51,$N51),1,1),O51/$R51),IFERROR(INDEX(shin($L51,$M51,$N51),1,1),O51/$R51))))</f>
        <v/>
      </c>
      <c r="T51" s="59" t="str">
        <f t="array" ref="T51">IF($R51="","",IF(Method!$B$56="proportional",P51/$R51,IF(Method!$B$56="power",IFERROR(INDEX(power_devig($L51,$M51,$N51),2,1),P51/$R51),IFERROR(INDEX(shin($L51,$M51,$N51),2,1),P51/$R51))))</f>
        <v/>
      </c>
      <c r="U51" s="59" t="str">
        <f t="array" ref="U51">IF($R51="","",IF(Method!$B$56="proportional",Q51/$R51,IF(Method!$B$56="power",IFERROR(INDEX(power_devig($L51,$M51,$N51),3,1),Q51/$R51),IFERROR(INDEX(shin($L51,$M51,$N51),3,1),Q51/$R51))))</f>
        <v/>
      </c>
      <c r="V51" s="59" t="str">
        <f>IF(S51="","",Method!$B$4*I51+(1-Method!$B$4)*S51/($S51+$T51+$U51))</f>
        <v/>
      </c>
      <c r="W51" s="59" t="str">
        <f>IF(T51="","",Method!$B$4*J51+(1-Method!$B$4)*T51/($S51+$T51+$U51))</f>
        <v/>
      </c>
      <c r="X51" s="59" t="str">
        <f>IF(U51="","",Method!$B$4*K51+(1-Method!$B$4)*U51/($S51+$T51+$U51))</f>
        <v/>
      </c>
      <c r="Y51" s="60" t="str">
        <f t="shared" ref="Y51:AA51" si="114">IF(V51="","",V51*L51-1)</f>
        <v/>
      </c>
      <c r="Z51" s="60" t="str">
        <f t="shared" si="114"/>
        <v/>
      </c>
      <c r="AA51" s="60" t="str">
        <f t="shared" si="114"/>
        <v/>
      </c>
      <c r="AB51" s="56" t="str">
        <f t="shared" si="6"/>
        <v/>
      </c>
      <c r="AC51" s="56" t="str">
        <f t="shared" si="7"/>
        <v/>
      </c>
      <c r="AD51" s="61" t="str">
        <f t="shared" si="8"/>
        <v/>
      </c>
      <c r="AE51" s="28" t="str">
        <f t="shared" si="9"/>
        <v/>
      </c>
      <c r="AF51" s="60" t="str">
        <f t="shared" si="10"/>
        <v/>
      </c>
      <c r="AG51" s="60" t="str">
        <f t="shared" si="11"/>
        <v/>
      </c>
      <c r="AH51" s="62" t="str">
        <f>IF(AB51="","· enter odds",IF(AND(AF51&gt;=Method!$B$7,AG51&gt;=Method!$B$8),"BET","PASS"))</f>
        <v>· enter odds</v>
      </c>
      <c r="AI51" s="63">
        <f>IF(AH51&lt;&gt;"BET",0,ROUND(MIN(Method!$B$6,Method!$B$5*AL51)*100,1))</f>
        <v>0</v>
      </c>
      <c r="AJ51" s="64">
        <f>IF(OR(AH51&lt;&gt;"BET",Method!$B$55=TRUE()),0,IF(AI51*Method!$B$10/100&lt;Method!$B$9,0,ROUND(AI51*Method!$B$10/100,0)))</f>
        <v>0</v>
      </c>
      <c r="AK51" s="59" t="str">
        <f t="shared" si="12"/>
        <v/>
      </c>
      <c r="AL51" s="59" t="str">
        <f t="shared" si="13"/>
        <v/>
      </c>
      <c r="AM51" s="56" t="str">
        <f t="shared" si="14"/>
        <v/>
      </c>
      <c r="AN51" s="65" t="str">
        <f>IF(Matchday!N53="","",Matchday!N53)</f>
        <v/>
      </c>
      <c r="AO51" s="58" t="str">
        <f>IF(Matchday!P53="","",Matchday!P53)</f>
        <v/>
      </c>
      <c r="AP51" s="66" t="str">
        <f>IF(Matchday!Q53="","",Matchday!Q53)</f>
        <v/>
      </c>
      <c r="AQ51" s="65" t="str">
        <f>IF(Matchday!R53="","",Matchday!R53)</f>
        <v/>
      </c>
      <c r="AR51" s="67" t="str">
        <f t="shared" si="15"/>
        <v/>
      </c>
      <c r="AS51" s="67" t="str">
        <f t="shared" si="16"/>
        <v/>
      </c>
      <c r="AT51" s="26" t="str">
        <f>IF(AB51="","Type the 3 odds on the Matchday tab",IF(Method!$B$55=TRUE(),"🛑 PAUSED — drawdown "&amp;TEXT(Method!$B$51,"0.0%")&amp;" ≥ "&amp;TEXT(Method!$B$52,"0.0%")&amp;". Set Method!B54=Y to override.",IF(AH51="BET",IF(AJ51=0,"Edge found but stake rounds under £"&amp;Method!$B$9&amp;" — skip","Value found: EV "&amp;TEXT(AF51,"0.0%")&amp;", edge "&amp;TEXT(AG51,"0.0%")),IF(AF51&lt;Method!$B$7,"Price too short — EV "&amp;TEXT(AF51,"0.0%")&amp;" (need "&amp;TEXT(Method!$B$7,"0.0%")&amp;"+)","Model ≈ market — edge "&amp;TEXT(AG51,"0.0%")&amp;" (need "&amp;TEXT(Method!$B$8,"0.0%")&amp;"+)"))))</f>
        <v>Type the 3 odds on the Matchday tab</v>
      </c>
      <c r="AU51" s="26" t="str">
        <f t="shared" si="17"/>
        <v/>
      </c>
      <c r="AV51" s="25" t="str">
        <f>IF(Matchday!O53="","",Matchday!O53)</f>
        <v/>
      </c>
      <c r="AW51" s="68"/>
      <c r="AX51" s="68"/>
      <c r="AY51" s="68"/>
      <c r="AZ51" s="68" t="str">
        <f t="shared" si="18"/>
        <v>· enter odds</v>
      </c>
      <c r="BA51" s="69">
        <f>IF(AX51&lt;&gt;"",AX51,IF(AH51&lt;&gt;"BET",0,IF(AI51*Method!$B$10/100&lt;Method!$B$9,0,ROUND(AI51*Method!$B$10/100,0))))</f>
        <v>0</v>
      </c>
      <c r="BB51" s="70">
        <v>0.0</v>
      </c>
      <c r="BC51" s="70">
        <v>0.4039541749176634</v>
      </c>
      <c r="BD51" s="70">
        <v>0.2962962962962963</v>
      </c>
      <c r="BE51" s="70">
        <v>0.2786120624751699</v>
      </c>
      <c r="BF51" s="71"/>
      <c r="BG51" s="70">
        <v>5.0</v>
      </c>
      <c r="BH51" s="71" t="s">
        <v>192</v>
      </c>
      <c r="BI51" s="70">
        <v>1553.1</v>
      </c>
    </row>
    <row r="52" ht="15.0" customHeight="1">
      <c r="A52" s="25">
        <v>51.0</v>
      </c>
      <c r="B52" s="55">
        <v>46197.0</v>
      </c>
      <c r="C52" s="25" t="s">
        <v>205</v>
      </c>
      <c r="D52" s="56" t="s">
        <v>211</v>
      </c>
      <c r="E52" s="56" t="s">
        <v>206</v>
      </c>
      <c r="F52" s="56" t="s">
        <v>251</v>
      </c>
      <c r="G52" s="25" t="s">
        <v>197</v>
      </c>
      <c r="H52" s="25" t="s">
        <v>209</v>
      </c>
      <c r="I52" s="57">
        <v>0.21966521089200897</v>
      </c>
      <c r="J52" s="57">
        <v>0.2682373718904151</v>
      </c>
      <c r="K52" s="57">
        <v>0.512097417217576</v>
      </c>
      <c r="L52" s="58" t="str">
        <f>IF(Matchday!E54="","",Matchday!E54)</f>
        <v/>
      </c>
      <c r="M52" s="58" t="str">
        <f>IF(Matchday!F54="","",Matchday!F54)</f>
        <v/>
      </c>
      <c r="N52" s="58" t="str">
        <f>IF(Matchday!G54="","",Matchday!G54)</f>
        <v/>
      </c>
      <c r="O52" s="59" t="str">
        <f t="shared" ref="O52:Q52" si="115">IF(L52="","",1/L52)</f>
        <v/>
      </c>
      <c r="P52" s="59" t="str">
        <f t="shared" si="115"/>
        <v/>
      </c>
      <c r="Q52" s="59" t="str">
        <f t="shared" si="115"/>
        <v/>
      </c>
      <c r="R52" s="59" t="str">
        <f t="shared" si="4"/>
        <v/>
      </c>
      <c r="S52" s="59" t="str">
        <f t="array" ref="S52">IF($R52="","",IF(Method!$B$56="proportional",O52/$R52,IF(Method!$B$56="power",IFERROR(INDEX(power_devig($L52,$M52,$N52),1,1),O52/$R52),IFERROR(INDEX(shin($L52,$M52,$N52),1,1),O52/$R52))))</f>
        <v/>
      </c>
      <c r="T52" s="59" t="str">
        <f t="array" ref="T52">IF($R52="","",IF(Method!$B$56="proportional",P52/$R52,IF(Method!$B$56="power",IFERROR(INDEX(power_devig($L52,$M52,$N52),2,1),P52/$R52),IFERROR(INDEX(shin($L52,$M52,$N52),2,1),P52/$R52))))</f>
        <v/>
      </c>
      <c r="U52" s="59" t="str">
        <f t="array" ref="U52">IF($R52="","",IF(Method!$B$56="proportional",Q52/$R52,IF(Method!$B$56="power",IFERROR(INDEX(power_devig($L52,$M52,$N52),3,1),Q52/$R52),IFERROR(INDEX(shin($L52,$M52,$N52),3,1),Q52/$R52))))</f>
        <v/>
      </c>
      <c r="V52" s="59" t="str">
        <f>IF(S52="","",Method!$B$4*I52+(1-Method!$B$4)*S52/($S52+$T52+$U52))</f>
        <v/>
      </c>
      <c r="W52" s="59" t="str">
        <f>IF(T52="","",Method!$B$4*J52+(1-Method!$B$4)*T52/($S52+$T52+$U52))</f>
        <v/>
      </c>
      <c r="X52" s="59" t="str">
        <f>IF(U52="","",Method!$B$4*K52+(1-Method!$B$4)*U52/($S52+$T52+$U52))</f>
        <v/>
      </c>
      <c r="Y52" s="60" t="str">
        <f t="shared" ref="Y52:AA52" si="116">IF(V52="","",V52*L52-1)</f>
        <v/>
      </c>
      <c r="Z52" s="60" t="str">
        <f t="shared" si="116"/>
        <v/>
      </c>
      <c r="AA52" s="60" t="str">
        <f t="shared" si="116"/>
        <v/>
      </c>
      <c r="AB52" s="56" t="str">
        <f t="shared" si="6"/>
        <v/>
      </c>
      <c r="AC52" s="56" t="str">
        <f t="shared" si="7"/>
        <v/>
      </c>
      <c r="AD52" s="61" t="str">
        <f t="shared" si="8"/>
        <v/>
      </c>
      <c r="AE52" s="28" t="str">
        <f t="shared" si="9"/>
        <v/>
      </c>
      <c r="AF52" s="60" t="str">
        <f t="shared" si="10"/>
        <v/>
      </c>
      <c r="AG52" s="60" t="str">
        <f t="shared" si="11"/>
        <v/>
      </c>
      <c r="AH52" s="62" t="str">
        <f>IF(AB52="","· enter odds",IF(AND(AF52&gt;=Method!$B$7,AG52&gt;=Method!$B$8),"BET","PASS"))</f>
        <v>· enter odds</v>
      </c>
      <c r="AI52" s="63">
        <f>IF(AH52&lt;&gt;"BET",0,ROUND(MIN(Method!$B$6,Method!$B$5*AL52)*100,1))</f>
        <v>0</v>
      </c>
      <c r="AJ52" s="64">
        <f>IF(OR(AH52&lt;&gt;"BET",Method!$B$55=TRUE()),0,IF(AI52*Method!$B$10/100&lt;Method!$B$9,0,ROUND(AI52*Method!$B$10/100,0)))</f>
        <v>0</v>
      </c>
      <c r="AK52" s="59" t="str">
        <f t="shared" si="12"/>
        <v/>
      </c>
      <c r="AL52" s="59" t="str">
        <f t="shared" si="13"/>
        <v/>
      </c>
      <c r="AM52" s="56" t="str">
        <f t="shared" si="14"/>
        <v/>
      </c>
      <c r="AN52" s="65" t="str">
        <f>IF(Matchday!N54="","",Matchday!N54)</f>
        <v/>
      </c>
      <c r="AO52" s="58" t="str">
        <f>IF(Matchday!P54="","",Matchday!P54)</f>
        <v/>
      </c>
      <c r="AP52" s="66" t="str">
        <f>IF(Matchday!Q54="","",Matchday!Q54)</f>
        <v/>
      </c>
      <c r="AQ52" s="65" t="str">
        <f>IF(Matchday!R54="","",Matchday!R54)</f>
        <v/>
      </c>
      <c r="AR52" s="67" t="str">
        <f t="shared" si="15"/>
        <v/>
      </c>
      <c r="AS52" s="67" t="str">
        <f t="shared" si="16"/>
        <v/>
      </c>
      <c r="AT52" s="26" t="str">
        <f>IF(AB52="","Type the 3 odds on the Matchday tab",IF(Method!$B$55=TRUE(),"🛑 PAUSED — drawdown "&amp;TEXT(Method!$B$51,"0.0%")&amp;" ≥ "&amp;TEXT(Method!$B$52,"0.0%")&amp;". Set Method!B54=Y to override.",IF(AH52="BET",IF(AJ52=0,"Edge found but stake rounds under £"&amp;Method!$B$9&amp;" — skip","Value found: EV "&amp;TEXT(AF52,"0.0%")&amp;", edge "&amp;TEXT(AG52,"0.0%")),IF(AF52&lt;Method!$B$7,"Price too short — EV "&amp;TEXT(AF52,"0.0%")&amp;" (need "&amp;TEXT(Method!$B$7,"0.0%")&amp;"+)","Model ≈ market — edge "&amp;TEXT(AG52,"0.0%")&amp;" (need "&amp;TEXT(Method!$B$8,"0.0%")&amp;"+)"))))</f>
        <v>Type the 3 odds on the Matchday tab</v>
      </c>
      <c r="AU52" s="26" t="str">
        <f t="shared" si="17"/>
        <v/>
      </c>
      <c r="AV52" s="25" t="str">
        <f>IF(Matchday!O54="","",Matchday!O54)</f>
        <v/>
      </c>
      <c r="AW52" s="68"/>
      <c r="AX52" s="68"/>
      <c r="AY52" s="68"/>
      <c r="AZ52" s="68" t="str">
        <f t="shared" si="18"/>
        <v>· enter odds</v>
      </c>
      <c r="BA52" s="69">
        <f>IF(AX52&lt;&gt;"",AX52,IF(AH52&lt;&gt;"BET",0,IF(AI52*Method!$B$10/100&lt;Method!$B$9,0,ROUND(AI52*Method!$B$10/100,0))))</f>
        <v>0</v>
      </c>
      <c r="BB52" s="70">
        <v>-4.0</v>
      </c>
      <c r="BC52" s="70">
        <v>0.20298444361925538</v>
      </c>
      <c r="BD52" s="70">
        <v>0.28165204152450374</v>
      </c>
      <c r="BE52" s="70">
        <v>0.49916205389263535</v>
      </c>
      <c r="BF52" s="71" t="s">
        <v>288</v>
      </c>
      <c r="BG52" s="70">
        <v>2.0</v>
      </c>
      <c r="BH52" s="71" t="s">
        <v>252</v>
      </c>
      <c r="BI52" s="70">
        <v>1972.5</v>
      </c>
    </row>
    <row r="53" ht="15.0" customHeight="1">
      <c r="A53" s="25">
        <v>52.0</v>
      </c>
      <c r="B53" s="55">
        <v>46197.0</v>
      </c>
      <c r="C53" s="25" t="s">
        <v>205</v>
      </c>
      <c r="D53" s="56" t="s">
        <v>207</v>
      </c>
      <c r="E53" s="56" t="s">
        <v>210</v>
      </c>
      <c r="F53" s="56" t="s">
        <v>242</v>
      </c>
      <c r="G53" s="25" t="s">
        <v>197</v>
      </c>
      <c r="H53" s="25" t="s">
        <v>209</v>
      </c>
      <c r="I53" s="57">
        <v>0.650672855433213</v>
      </c>
      <c r="J53" s="57">
        <v>0.2331037328517564</v>
      </c>
      <c r="K53" s="57">
        <v>0.1162234117150308</v>
      </c>
      <c r="L53" s="58" t="str">
        <f>IF(Matchday!E55="","",Matchday!E55)</f>
        <v/>
      </c>
      <c r="M53" s="58" t="str">
        <f>IF(Matchday!F55="","",Matchday!F55)</f>
        <v/>
      </c>
      <c r="N53" s="58" t="str">
        <f>IF(Matchday!G55="","",Matchday!G55)</f>
        <v/>
      </c>
      <c r="O53" s="59" t="str">
        <f t="shared" ref="O53:Q53" si="117">IF(L53="","",1/L53)</f>
        <v/>
      </c>
      <c r="P53" s="59" t="str">
        <f t="shared" si="117"/>
        <v/>
      </c>
      <c r="Q53" s="59" t="str">
        <f t="shared" si="117"/>
        <v/>
      </c>
      <c r="R53" s="59" t="str">
        <f t="shared" si="4"/>
        <v/>
      </c>
      <c r="S53" s="59" t="str">
        <f t="array" ref="S53">IF($R53="","",IF(Method!$B$56="proportional",O53/$R53,IF(Method!$B$56="power",IFERROR(INDEX(power_devig($L53,$M53,$N53),1,1),O53/$R53),IFERROR(INDEX(shin($L53,$M53,$N53),1,1),O53/$R53))))</f>
        <v/>
      </c>
      <c r="T53" s="59" t="str">
        <f t="array" ref="T53">IF($R53="","",IF(Method!$B$56="proportional",P53/$R53,IF(Method!$B$56="power",IFERROR(INDEX(power_devig($L53,$M53,$N53),2,1),P53/$R53),IFERROR(INDEX(shin($L53,$M53,$N53),2,1),P53/$R53))))</f>
        <v/>
      </c>
      <c r="U53" s="59" t="str">
        <f t="array" ref="U53">IF($R53="","",IF(Method!$B$56="proportional",Q53/$R53,IF(Method!$B$56="power",IFERROR(INDEX(power_devig($L53,$M53,$N53),3,1),Q53/$R53),IFERROR(INDEX(shin($L53,$M53,$N53),3,1),Q53/$R53))))</f>
        <v/>
      </c>
      <c r="V53" s="59" t="str">
        <f>IF(S53="","",Method!$B$4*I53+(1-Method!$B$4)*S53/($S53+$T53+$U53))</f>
        <v/>
      </c>
      <c r="W53" s="59" t="str">
        <f>IF(T53="","",Method!$B$4*J53+(1-Method!$B$4)*T53/($S53+$T53+$U53))</f>
        <v/>
      </c>
      <c r="X53" s="59" t="str">
        <f>IF(U53="","",Method!$B$4*K53+(1-Method!$B$4)*U53/($S53+$T53+$U53))</f>
        <v/>
      </c>
      <c r="Y53" s="60" t="str">
        <f t="shared" ref="Y53:AA53" si="118">IF(V53="","",V53*L53-1)</f>
        <v/>
      </c>
      <c r="Z53" s="60" t="str">
        <f t="shared" si="118"/>
        <v/>
      </c>
      <c r="AA53" s="60" t="str">
        <f t="shared" si="118"/>
        <v/>
      </c>
      <c r="AB53" s="56" t="str">
        <f t="shared" si="6"/>
        <v/>
      </c>
      <c r="AC53" s="56" t="str">
        <f t="shared" si="7"/>
        <v/>
      </c>
      <c r="AD53" s="61" t="str">
        <f t="shared" si="8"/>
        <v/>
      </c>
      <c r="AE53" s="28" t="str">
        <f t="shared" si="9"/>
        <v/>
      </c>
      <c r="AF53" s="60" t="str">
        <f t="shared" si="10"/>
        <v/>
      </c>
      <c r="AG53" s="60" t="str">
        <f t="shared" si="11"/>
        <v/>
      </c>
      <c r="AH53" s="62" t="str">
        <f>IF(AB53="","· enter odds",IF(AND(AF53&gt;=Method!$B$7,AG53&gt;=Method!$B$8),"BET","PASS"))</f>
        <v>· enter odds</v>
      </c>
      <c r="AI53" s="63">
        <f>IF(AH53&lt;&gt;"BET",0,ROUND(MIN(Method!$B$6,Method!$B$5*AL53)*100,1))</f>
        <v>0</v>
      </c>
      <c r="AJ53" s="64">
        <f>IF(OR(AH53&lt;&gt;"BET",Method!$B$55=TRUE()),0,IF(AI53*Method!$B$10/100&lt;Method!$B$9,0,ROUND(AI53*Method!$B$10/100,0)))</f>
        <v>0</v>
      </c>
      <c r="AK53" s="59" t="str">
        <f t="shared" si="12"/>
        <v/>
      </c>
      <c r="AL53" s="59" t="str">
        <f t="shared" si="13"/>
        <v/>
      </c>
      <c r="AM53" s="56" t="str">
        <f t="shared" si="14"/>
        <v/>
      </c>
      <c r="AN53" s="65" t="str">
        <f>IF(Matchday!N55="","",Matchday!N55)</f>
        <v/>
      </c>
      <c r="AO53" s="58" t="str">
        <f>IF(Matchday!P55="","",Matchday!P55)</f>
        <v/>
      </c>
      <c r="AP53" s="66" t="str">
        <f>IF(Matchday!Q55="","",Matchday!Q55)</f>
        <v/>
      </c>
      <c r="AQ53" s="65" t="str">
        <f>IF(Matchday!R55="","",Matchday!R55)</f>
        <v/>
      </c>
      <c r="AR53" s="67" t="str">
        <f t="shared" si="15"/>
        <v/>
      </c>
      <c r="AS53" s="67" t="str">
        <f t="shared" si="16"/>
        <v/>
      </c>
      <c r="AT53" s="26" t="str">
        <f>IF(AB53="","Type the 3 odds on the Matchday tab",IF(Method!$B$55=TRUE(),"🛑 PAUSED — drawdown "&amp;TEXT(Method!$B$51,"0.0%")&amp;" ≥ "&amp;TEXT(Method!$B$52,"0.0%")&amp;". Set Method!B54=Y to override.",IF(AH53="BET",IF(AJ53=0,"Edge found but stake rounds under £"&amp;Method!$B$9&amp;" — skip","Value found: EV "&amp;TEXT(AF53,"0.0%")&amp;", edge "&amp;TEXT(AG53,"0.0%")),IF(AF53&lt;Method!$B$7,"Price too short — EV "&amp;TEXT(AF53,"0.0%")&amp;" (need "&amp;TEXT(Method!$B$7,"0.0%")&amp;"+)","Model ≈ market — edge "&amp;TEXT(AG53,"0.0%")&amp;" (need "&amp;TEXT(Method!$B$8,"0.0%")&amp;"+)"))))</f>
        <v>Type the 3 odds on the Matchday tab</v>
      </c>
      <c r="AU53" s="26" t="str">
        <f t="shared" si="17"/>
        <v/>
      </c>
      <c r="AV53" s="25" t="str">
        <f>IF(Matchday!O55="","",Matchday!O55)</f>
        <v/>
      </c>
      <c r="AW53" s="68"/>
      <c r="AX53" s="68"/>
      <c r="AY53" s="68"/>
      <c r="AZ53" s="68" t="str">
        <f t="shared" si="18"/>
        <v>· enter odds</v>
      </c>
      <c r="BA53" s="69">
        <f>IF(AX53&lt;&gt;"",AX53,IF(AH53&lt;&gt;"BET",0,IF(AI53*Method!$B$10/100&lt;Method!$B$9,0,ROUND(AI53*Method!$B$10/100,0))))</f>
        <v>0</v>
      </c>
      <c r="BB53" s="70">
        <v>0.0</v>
      </c>
      <c r="BC53" s="70">
        <v>0.5975764139197262</v>
      </c>
      <c r="BD53" s="70">
        <v>0.25579544578924823</v>
      </c>
      <c r="BE53" s="70">
        <v>0.11941923488415532</v>
      </c>
      <c r="BG53" s="70">
        <v>320.0</v>
      </c>
      <c r="BH53" s="71" t="s">
        <v>244</v>
      </c>
      <c r="BI53" s="70">
        <v>1475.8</v>
      </c>
    </row>
    <row r="54" ht="15.0" customHeight="1">
      <c r="A54" s="25">
        <v>53.0</v>
      </c>
      <c r="B54" s="55">
        <v>46197.0</v>
      </c>
      <c r="C54" s="25" t="s">
        <v>172</v>
      </c>
      <c r="D54" s="56" t="s">
        <v>181</v>
      </c>
      <c r="E54" s="56" t="s">
        <v>173</v>
      </c>
      <c r="F54" s="56" t="s">
        <v>175</v>
      </c>
      <c r="G54" s="25" t="s">
        <v>213</v>
      </c>
      <c r="H54" s="25" t="s">
        <v>289</v>
      </c>
      <c r="I54" s="57">
        <v>0.14293884512011645</v>
      </c>
      <c r="J54" s="57">
        <v>0.23895081941710622</v>
      </c>
      <c r="K54" s="57">
        <v>0.6181103354627773</v>
      </c>
      <c r="L54" s="58" t="str">
        <f>IF(Matchday!E56="","",Matchday!E56)</f>
        <v/>
      </c>
      <c r="M54" s="58" t="str">
        <f>IF(Matchday!F56="","",Matchday!F56)</f>
        <v/>
      </c>
      <c r="N54" s="58" t="str">
        <f>IF(Matchday!G56="","",Matchday!G56)</f>
        <v/>
      </c>
      <c r="O54" s="59" t="str">
        <f t="shared" ref="O54:Q54" si="119">IF(L54="","",1/L54)</f>
        <v/>
      </c>
      <c r="P54" s="59" t="str">
        <f t="shared" si="119"/>
        <v/>
      </c>
      <c r="Q54" s="59" t="str">
        <f t="shared" si="119"/>
        <v/>
      </c>
      <c r="R54" s="59" t="str">
        <f t="shared" si="4"/>
        <v/>
      </c>
      <c r="S54" s="59" t="str">
        <f t="array" ref="S54">IF($R54="","",IF(Method!$B$56="proportional",O54/$R54,IF(Method!$B$56="power",IFERROR(INDEX(power_devig($L54,$M54,$N54),1,1),O54/$R54),IFERROR(INDEX(shin($L54,$M54,$N54),1,1),O54/$R54))))</f>
        <v/>
      </c>
      <c r="T54" s="59" t="str">
        <f t="array" ref="T54">IF($R54="","",IF(Method!$B$56="proportional",P54/$R54,IF(Method!$B$56="power",IFERROR(INDEX(power_devig($L54,$M54,$N54),2,1),P54/$R54),IFERROR(INDEX(shin($L54,$M54,$N54),2,1),P54/$R54))))</f>
        <v/>
      </c>
      <c r="U54" s="59" t="str">
        <f t="array" ref="U54">IF($R54="","",IF(Method!$B$56="proportional",Q54/$R54,IF(Method!$B$56="power",IFERROR(INDEX(power_devig($L54,$M54,$N54),3,1),Q54/$R54),IFERROR(INDEX(shin($L54,$M54,$N54),3,1),Q54/$R54))))</f>
        <v/>
      </c>
      <c r="V54" s="59" t="str">
        <f>IF(S54="","",Method!$B$4*I54+(1-Method!$B$4)*S54/($S54+$T54+$U54))</f>
        <v/>
      </c>
      <c r="W54" s="59" t="str">
        <f>IF(T54="","",Method!$B$4*J54+(1-Method!$B$4)*T54/($S54+$T54+$U54))</f>
        <v/>
      </c>
      <c r="X54" s="59" t="str">
        <f>IF(U54="","",Method!$B$4*K54+(1-Method!$B$4)*U54/($S54+$T54+$U54))</f>
        <v/>
      </c>
      <c r="Y54" s="60" t="str">
        <f t="shared" ref="Y54:AA54" si="120">IF(V54="","",V54*L54-1)</f>
        <v/>
      </c>
      <c r="Z54" s="60" t="str">
        <f t="shared" si="120"/>
        <v/>
      </c>
      <c r="AA54" s="60" t="str">
        <f t="shared" si="120"/>
        <v/>
      </c>
      <c r="AB54" s="56" t="str">
        <f t="shared" si="6"/>
        <v/>
      </c>
      <c r="AC54" s="56" t="str">
        <f t="shared" si="7"/>
        <v/>
      </c>
      <c r="AD54" s="61" t="str">
        <f t="shared" si="8"/>
        <v/>
      </c>
      <c r="AE54" s="28" t="str">
        <f t="shared" si="9"/>
        <v/>
      </c>
      <c r="AF54" s="60" t="str">
        <f t="shared" si="10"/>
        <v/>
      </c>
      <c r="AG54" s="60" t="str">
        <f t="shared" si="11"/>
        <v/>
      </c>
      <c r="AH54" s="62" t="str">
        <f>IF(AB54="","· enter odds",IF(AND(AF54&gt;=Method!$B$7,AG54&gt;=Method!$B$8),"BET","PASS"))</f>
        <v>· enter odds</v>
      </c>
      <c r="AI54" s="63">
        <f>IF(AH54&lt;&gt;"BET",0,ROUND(MIN(Method!$B$6,Method!$B$5*AL54)*100,1))</f>
        <v>0</v>
      </c>
      <c r="AJ54" s="64">
        <f>IF(OR(AH54&lt;&gt;"BET",Method!$B$55=TRUE()),0,IF(AI54*Method!$B$10/100&lt;Method!$B$9,0,ROUND(AI54*Method!$B$10/100,0)))</f>
        <v>0</v>
      </c>
      <c r="AK54" s="59" t="str">
        <f t="shared" si="12"/>
        <v/>
      </c>
      <c r="AL54" s="59" t="str">
        <f t="shared" si="13"/>
        <v/>
      </c>
      <c r="AM54" s="56" t="str">
        <f t="shared" si="14"/>
        <v/>
      </c>
      <c r="AN54" s="65" t="str">
        <f>IF(Matchday!N56="","",Matchday!N56)</f>
        <v/>
      </c>
      <c r="AO54" s="58" t="str">
        <f>IF(Matchday!P56="","",Matchday!P56)</f>
        <v/>
      </c>
      <c r="AP54" s="66" t="str">
        <f>IF(Matchday!Q56="","",Matchday!Q56)</f>
        <v/>
      </c>
      <c r="AQ54" s="65" t="str">
        <f>IF(Matchday!R56="","",Matchday!R56)</f>
        <v/>
      </c>
      <c r="AR54" s="67" t="str">
        <f t="shared" si="15"/>
        <v/>
      </c>
      <c r="AS54" s="67" t="str">
        <f t="shared" si="16"/>
        <v/>
      </c>
      <c r="AT54" s="26" t="str">
        <f>IF(AB54="","Type the 3 odds on the Matchday tab",IF(Method!$B$55=TRUE(),"🛑 PAUSED — drawdown "&amp;TEXT(Method!$B$51,"0.0%")&amp;" ≥ "&amp;TEXT(Method!$B$52,"0.0%")&amp;". Set Method!B54=Y to override.",IF(AH54="BET",IF(AJ54=0,"Edge found but stake rounds under £"&amp;Method!$B$9&amp;" — skip","Value found: EV "&amp;TEXT(AF54,"0.0%")&amp;", edge "&amp;TEXT(AG54,"0.0%")),IF(AF54&lt;Method!$B$7,"Price too short — EV "&amp;TEXT(AF54,"0.0%")&amp;" (need "&amp;TEXT(Method!$B$7,"0.0%")&amp;"+)","Model ≈ market — edge "&amp;TEXT(AG54,"0.0%")&amp;" (need "&amp;TEXT(Method!$B$8,"0.0%")&amp;"+)"))))</f>
        <v>Type the 3 odds on the Matchday tab</v>
      </c>
      <c r="AU54" s="26" t="str">
        <f t="shared" si="17"/>
        <v/>
      </c>
      <c r="AV54" s="25" t="str">
        <f>IF(Matchday!O56="","",Matchday!O56)</f>
        <v/>
      </c>
      <c r="AW54" s="68"/>
      <c r="AX54" s="68"/>
      <c r="AY54" s="68"/>
      <c r="AZ54" s="68" t="str">
        <f t="shared" si="18"/>
        <v>· enter odds</v>
      </c>
      <c r="BA54" s="69">
        <f>IF(AX54&lt;&gt;"",AX54,IF(AH54&lt;&gt;"BET",0,IF(AI54*Method!$B$10/100&lt;Method!$B$9,0,ROUND(AI54*Method!$B$10/100,0))))</f>
        <v>0</v>
      </c>
      <c r="BB54" s="70">
        <v>0.0</v>
      </c>
      <c r="BC54" s="70">
        <v>0.12445341945371512</v>
      </c>
      <c r="BD54" s="70">
        <v>0.26145603257885647</v>
      </c>
      <c r="BE54" s="70">
        <v>0.6041751732430676</v>
      </c>
      <c r="BG54" s="70">
        <v>2240.0</v>
      </c>
      <c r="BH54" s="71" t="s">
        <v>179</v>
      </c>
      <c r="BI54" s="70">
        <v>2171.1</v>
      </c>
    </row>
    <row r="55" ht="15.0" customHeight="1">
      <c r="A55" s="25">
        <v>54.0</v>
      </c>
      <c r="B55" s="55">
        <v>46197.0</v>
      </c>
      <c r="C55" s="25" t="s">
        <v>172</v>
      </c>
      <c r="D55" s="56" t="s">
        <v>174</v>
      </c>
      <c r="E55" s="56" t="s">
        <v>180</v>
      </c>
      <c r="F55" s="56" t="s">
        <v>237</v>
      </c>
      <c r="G55" s="25" t="s">
        <v>213</v>
      </c>
      <c r="H55" s="25" t="s">
        <v>289</v>
      </c>
      <c r="I55" s="57">
        <v>0.16766271624672668</v>
      </c>
      <c r="J55" s="57">
        <v>0.27948291378738077</v>
      </c>
      <c r="K55" s="57">
        <v>0.5528543699658927</v>
      </c>
      <c r="L55" s="58" t="str">
        <f>IF(Matchday!E57="","",Matchday!E57)</f>
        <v/>
      </c>
      <c r="M55" s="58" t="str">
        <f>IF(Matchday!F57="","",Matchday!F57)</f>
        <v/>
      </c>
      <c r="N55" s="58" t="str">
        <f>IF(Matchday!G57="","",Matchday!G57)</f>
        <v/>
      </c>
      <c r="O55" s="59" t="str">
        <f t="shared" ref="O55:Q55" si="121">IF(L55="","",1/L55)</f>
        <v/>
      </c>
      <c r="P55" s="59" t="str">
        <f t="shared" si="121"/>
        <v/>
      </c>
      <c r="Q55" s="59" t="str">
        <f t="shared" si="121"/>
        <v/>
      </c>
      <c r="R55" s="59" t="str">
        <f t="shared" si="4"/>
        <v/>
      </c>
      <c r="S55" s="59" t="str">
        <f t="array" ref="S55">IF($R55="","",IF(Method!$B$56="proportional",O55/$R55,IF(Method!$B$56="power",IFERROR(INDEX(power_devig($L55,$M55,$N55),1,1),O55/$R55),IFERROR(INDEX(shin($L55,$M55,$N55),1,1),O55/$R55))))</f>
        <v/>
      </c>
      <c r="T55" s="59" t="str">
        <f t="array" ref="T55">IF($R55="","",IF(Method!$B$56="proportional",P55/$R55,IF(Method!$B$56="power",IFERROR(INDEX(power_devig($L55,$M55,$N55),2,1),P55/$R55),IFERROR(INDEX(shin($L55,$M55,$N55),2,1),P55/$R55))))</f>
        <v/>
      </c>
      <c r="U55" s="59" t="str">
        <f t="array" ref="U55">IF($R55="","",IF(Method!$B$56="proportional",Q55/$R55,IF(Method!$B$56="power",IFERROR(INDEX(power_devig($L55,$M55,$N55),3,1),Q55/$R55),IFERROR(INDEX(shin($L55,$M55,$N55),3,1),Q55/$R55))))</f>
        <v/>
      </c>
      <c r="V55" s="59" t="str">
        <f>IF(S55="","",Method!$B$4*I55+(1-Method!$B$4)*S55/($S55+$T55+$U55))</f>
        <v/>
      </c>
      <c r="W55" s="59" t="str">
        <f>IF(T55="","",Method!$B$4*J55+(1-Method!$B$4)*T55/($S55+$T55+$U55))</f>
        <v/>
      </c>
      <c r="X55" s="59" t="str">
        <f>IF(U55="","",Method!$B$4*K55+(1-Method!$B$4)*U55/($S55+$T55+$U55))</f>
        <v/>
      </c>
      <c r="Y55" s="60" t="str">
        <f t="shared" ref="Y55:AA55" si="122">IF(V55="","",V55*L55-1)</f>
        <v/>
      </c>
      <c r="Z55" s="60" t="str">
        <f t="shared" si="122"/>
        <v/>
      </c>
      <c r="AA55" s="60" t="str">
        <f t="shared" si="122"/>
        <v/>
      </c>
      <c r="AB55" s="56" t="str">
        <f t="shared" si="6"/>
        <v/>
      </c>
      <c r="AC55" s="56" t="str">
        <f t="shared" si="7"/>
        <v/>
      </c>
      <c r="AD55" s="61" t="str">
        <f t="shared" si="8"/>
        <v/>
      </c>
      <c r="AE55" s="28" t="str">
        <f t="shared" si="9"/>
        <v/>
      </c>
      <c r="AF55" s="60" t="str">
        <f t="shared" si="10"/>
        <v/>
      </c>
      <c r="AG55" s="60" t="str">
        <f t="shared" si="11"/>
        <v/>
      </c>
      <c r="AH55" s="62" t="str">
        <f>IF(AB55="","· enter odds",IF(AND(AF55&gt;=Method!$B$7,AG55&gt;=Method!$B$8),"BET","PASS"))</f>
        <v>· enter odds</v>
      </c>
      <c r="AI55" s="63">
        <f>IF(AH55&lt;&gt;"BET",0,ROUND(MIN(Method!$B$6,Method!$B$5*AL55)*100,1))</f>
        <v>0</v>
      </c>
      <c r="AJ55" s="64">
        <f>IF(OR(AH55&lt;&gt;"BET",Method!$B$55=TRUE()),0,IF(AI55*Method!$B$10/100&lt;Method!$B$9,0,ROUND(AI55*Method!$B$10/100,0)))</f>
        <v>0</v>
      </c>
      <c r="AK55" s="59" t="str">
        <f t="shared" si="12"/>
        <v/>
      </c>
      <c r="AL55" s="59" t="str">
        <f t="shared" si="13"/>
        <v/>
      </c>
      <c r="AM55" s="56" t="str">
        <f t="shared" si="14"/>
        <v/>
      </c>
      <c r="AN55" s="65" t="str">
        <f>IF(Matchday!N57="","",Matchday!N57)</f>
        <v/>
      </c>
      <c r="AO55" s="58" t="str">
        <f>IF(Matchday!P57="","",Matchday!P57)</f>
        <v/>
      </c>
      <c r="AP55" s="66" t="str">
        <f>IF(Matchday!Q57="","",Matchday!Q57)</f>
        <v/>
      </c>
      <c r="AQ55" s="65" t="str">
        <f>IF(Matchday!R57="","",Matchday!R57)</f>
        <v/>
      </c>
      <c r="AR55" s="67" t="str">
        <f t="shared" si="15"/>
        <v/>
      </c>
      <c r="AS55" s="67" t="str">
        <f t="shared" si="16"/>
        <v/>
      </c>
      <c r="AT55" s="26" t="str">
        <f>IF(AB55="","Type the 3 odds on the Matchday tab",IF(Method!$B$55=TRUE(),"🛑 PAUSED — drawdown "&amp;TEXT(Method!$B$51,"0.0%")&amp;" ≥ "&amp;TEXT(Method!$B$52,"0.0%")&amp;". Set Method!B54=Y to override.",IF(AH55="BET",IF(AJ55=0,"Edge found but stake rounds under £"&amp;Method!$B$9&amp;" — skip","Value found: EV "&amp;TEXT(AF55,"0.0%")&amp;", edge "&amp;TEXT(AG55,"0.0%")),IF(AF55&lt;Method!$B$7,"Price too short — EV "&amp;TEXT(AF55,"0.0%")&amp;" (need "&amp;TEXT(Method!$B$7,"0.0%")&amp;"+)","Model ≈ market — edge "&amp;TEXT(AG55,"0.0%")&amp;" (need "&amp;TEXT(Method!$B$8,"0.0%")&amp;"+)"))))</f>
        <v>Type the 3 odds on the Matchday tab</v>
      </c>
      <c r="AU55" s="26" t="str">
        <f t="shared" si="17"/>
        <v/>
      </c>
      <c r="AV55" s="25" t="str">
        <f>IF(Matchday!O57="","",Matchday!O57)</f>
        <v/>
      </c>
      <c r="AW55" s="68"/>
      <c r="AX55" s="68"/>
      <c r="AY55" s="68"/>
      <c r="AZ55" s="68" t="str">
        <f t="shared" si="18"/>
        <v>· enter odds</v>
      </c>
      <c r="BA55" s="69">
        <f>IF(AX55&lt;&gt;"",AX55,IF(AH55&lt;&gt;"BET",0,IF(AI55*Method!$B$10/100&lt;Method!$B$9,0,ROUND(AI55*Method!$B$10/100,0))))</f>
        <v>0</v>
      </c>
      <c r="BB55" s="70">
        <v>0.0</v>
      </c>
      <c r="BC55" s="70">
        <v>0.14856409322045558</v>
      </c>
      <c r="BD55" s="70">
        <v>0.2859037741171278</v>
      </c>
      <c r="BE55" s="70">
        <v>0.5353112680282442</v>
      </c>
      <c r="BG55" s="70">
        <v>540.0</v>
      </c>
      <c r="BH55" s="71" t="s">
        <v>239</v>
      </c>
      <c r="BI55" s="70">
        <v>1771.6</v>
      </c>
    </row>
    <row r="56" ht="15.0" customHeight="1">
      <c r="A56" s="25">
        <v>55.0</v>
      </c>
      <c r="B56" s="55">
        <v>46198.0</v>
      </c>
      <c r="C56" s="25" t="s">
        <v>220</v>
      </c>
      <c r="D56" s="56" t="s">
        <v>231</v>
      </c>
      <c r="E56" s="56" t="s">
        <v>221</v>
      </c>
      <c r="F56" s="56" t="s">
        <v>208</v>
      </c>
      <c r="G56" s="25" t="s">
        <v>281</v>
      </c>
      <c r="H56" s="25" t="s">
        <v>213</v>
      </c>
      <c r="I56" s="57">
        <v>0.28439741871305135</v>
      </c>
      <c r="J56" s="57">
        <v>0.28092256814392175</v>
      </c>
      <c r="K56" s="57">
        <v>0.43468001314302684</v>
      </c>
      <c r="L56" s="58" t="str">
        <f>IF(Matchday!E58="","",Matchday!E58)</f>
        <v/>
      </c>
      <c r="M56" s="58" t="str">
        <f>IF(Matchday!F58="","",Matchday!F58)</f>
        <v/>
      </c>
      <c r="N56" s="58" t="str">
        <f>IF(Matchday!G58="","",Matchday!G58)</f>
        <v/>
      </c>
      <c r="O56" s="59" t="str">
        <f t="shared" ref="O56:Q56" si="123">IF(L56="","",1/L56)</f>
        <v/>
      </c>
      <c r="P56" s="59" t="str">
        <f t="shared" si="123"/>
        <v/>
      </c>
      <c r="Q56" s="59" t="str">
        <f t="shared" si="123"/>
        <v/>
      </c>
      <c r="R56" s="59" t="str">
        <f t="shared" si="4"/>
        <v/>
      </c>
      <c r="S56" s="59" t="str">
        <f t="array" ref="S56">IF($R56="","",IF(Method!$B$56="proportional",O56/$R56,IF(Method!$B$56="power",IFERROR(INDEX(power_devig($L56,$M56,$N56),1,1),O56/$R56),IFERROR(INDEX(shin($L56,$M56,$N56),1,1),O56/$R56))))</f>
        <v/>
      </c>
      <c r="T56" s="59" t="str">
        <f t="array" ref="T56">IF($R56="","",IF(Method!$B$56="proportional",P56/$R56,IF(Method!$B$56="power",IFERROR(INDEX(power_devig($L56,$M56,$N56),2,1),P56/$R56),IFERROR(INDEX(shin($L56,$M56,$N56),2,1),P56/$R56))))</f>
        <v/>
      </c>
      <c r="U56" s="59" t="str">
        <f t="array" ref="U56">IF($R56="","",IF(Method!$B$56="proportional",Q56/$R56,IF(Method!$B$56="power",IFERROR(INDEX(power_devig($L56,$M56,$N56),3,1),Q56/$R56),IFERROR(INDEX(shin($L56,$M56,$N56),3,1),Q56/$R56))))</f>
        <v/>
      </c>
      <c r="V56" s="59" t="str">
        <f>IF(S56="","",Method!$B$4*I56+(1-Method!$B$4)*S56/($S56+$T56+$U56))</f>
        <v/>
      </c>
      <c r="W56" s="59" t="str">
        <f>IF(T56="","",Method!$B$4*J56+(1-Method!$B$4)*T56/($S56+$T56+$U56))</f>
        <v/>
      </c>
      <c r="X56" s="59" t="str">
        <f>IF(U56="","",Method!$B$4*K56+(1-Method!$B$4)*U56/($S56+$T56+$U56))</f>
        <v/>
      </c>
      <c r="Y56" s="60" t="str">
        <f t="shared" ref="Y56:AA56" si="124">IF(V56="","",V56*L56-1)</f>
        <v/>
      </c>
      <c r="Z56" s="60" t="str">
        <f t="shared" si="124"/>
        <v/>
      </c>
      <c r="AA56" s="60" t="str">
        <f t="shared" si="124"/>
        <v/>
      </c>
      <c r="AB56" s="56" t="str">
        <f t="shared" si="6"/>
        <v/>
      </c>
      <c r="AC56" s="56" t="str">
        <f t="shared" si="7"/>
        <v/>
      </c>
      <c r="AD56" s="61" t="str">
        <f t="shared" si="8"/>
        <v/>
      </c>
      <c r="AE56" s="28" t="str">
        <f t="shared" si="9"/>
        <v/>
      </c>
      <c r="AF56" s="60" t="str">
        <f t="shared" si="10"/>
        <v/>
      </c>
      <c r="AG56" s="60" t="str">
        <f t="shared" si="11"/>
        <v/>
      </c>
      <c r="AH56" s="62" t="str">
        <f>IF(AB56="","· enter odds",IF(AND(AF56&gt;=Method!$B$7,AG56&gt;=Method!$B$8),"BET","PASS"))</f>
        <v>· enter odds</v>
      </c>
      <c r="AI56" s="63">
        <f>IF(AH56&lt;&gt;"BET",0,ROUND(MIN(Method!$B$6,Method!$B$5*AL56)*100,1))</f>
        <v>0</v>
      </c>
      <c r="AJ56" s="64">
        <f>IF(OR(AH56&lt;&gt;"BET",Method!$B$55=TRUE()),0,IF(AI56*Method!$B$10/100&lt;Method!$B$9,0,ROUND(AI56*Method!$B$10/100,0)))</f>
        <v>0</v>
      </c>
      <c r="AK56" s="59" t="str">
        <f t="shared" si="12"/>
        <v/>
      </c>
      <c r="AL56" s="59" t="str">
        <f t="shared" si="13"/>
        <v/>
      </c>
      <c r="AM56" s="56" t="str">
        <f t="shared" si="14"/>
        <v/>
      </c>
      <c r="AN56" s="65" t="str">
        <f>IF(Matchday!N58="","",Matchday!N58)</f>
        <v/>
      </c>
      <c r="AO56" s="58" t="str">
        <f>IF(Matchday!P58="","",Matchday!P58)</f>
        <v/>
      </c>
      <c r="AP56" s="66" t="str">
        <f>IF(Matchday!Q58="","",Matchday!Q58)</f>
        <v/>
      </c>
      <c r="AQ56" s="65" t="str">
        <f>IF(Matchday!R58="","",Matchday!R58)</f>
        <v/>
      </c>
      <c r="AR56" s="67" t="str">
        <f t="shared" si="15"/>
        <v/>
      </c>
      <c r="AS56" s="67" t="str">
        <f t="shared" si="16"/>
        <v/>
      </c>
      <c r="AT56" s="26" t="str">
        <f>IF(AB56="","Type the 3 odds on the Matchday tab",IF(Method!$B$55=TRUE(),"🛑 PAUSED — drawdown "&amp;TEXT(Method!$B$51,"0.0%")&amp;" ≥ "&amp;TEXT(Method!$B$52,"0.0%")&amp;". Set Method!B54=Y to override.",IF(AH56="BET",IF(AJ56=0,"Edge found but stake rounds under £"&amp;Method!$B$9&amp;" — skip","Value found: EV "&amp;TEXT(AF56,"0.0%")&amp;", edge "&amp;TEXT(AG56,"0.0%")),IF(AF56&lt;Method!$B$7,"Price too short — EV "&amp;TEXT(AF56,"0.0%")&amp;" (need "&amp;TEXT(Method!$B$7,"0.0%")&amp;"+)","Model ≈ market — edge "&amp;TEXT(AG56,"0.0%")&amp;" (need "&amp;TEXT(Method!$B$8,"0.0%")&amp;"+)"))))</f>
        <v>Type the 3 odds on the Matchday tab</v>
      </c>
      <c r="AU56" s="26" t="str">
        <f t="shared" si="17"/>
        <v/>
      </c>
      <c r="AV56" s="25" t="str">
        <f>IF(Matchday!O58="","",Matchday!O58)</f>
        <v/>
      </c>
      <c r="AW56" s="68"/>
      <c r="AX56" s="68"/>
      <c r="AY56" s="68"/>
      <c r="AZ56" s="68" t="str">
        <f t="shared" si="18"/>
        <v>· enter odds</v>
      </c>
      <c r="BA56" s="69">
        <f>IF(AX56&lt;&gt;"",AX56,IF(AH56&lt;&gt;"BET",0,IF(AI56*Method!$B$10/100&lt;Method!$B$9,0,ROUND(AI56*Method!$B$10/100,0))))</f>
        <v>0</v>
      </c>
      <c r="BB56" s="70">
        <v>0.0</v>
      </c>
      <c r="BC56" s="70">
        <v>0.27129730244815464</v>
      </c>
      <c r="BD56" s="70">
        <v>0.28644808095497526</v>
      </c>
      <c r="BE56" s="70">
        <v>0.43500191786364484</v>
      </c>
      <c r="BG56" s="70">
        <v>7.0</v>
      </c>
      <c r="BH56" s="71" t="s">
        <v>186</v>
      </c>
      <c r="BI56" s="70">
        <v>1747.3</v>
      </c>
    </row>
    <row r="57" ht="15.0" customHeight="1">
      <c r="A57" s="25">
        <v>56.0</v>
      </c>
      <c r="B57" s="55">
        <v>46198.0</v>
      </c>
      <c r="C57" s="25" t="s">
        <v>220</v>
      </c>
      <c r="D57" s="56" t="s">
        <v>222</v>
      </c>
      <c r="E57" s="56" t="s">
        <v>230</v>
      </c>
      <c r="F57" s="56" t="s">
        <v>232</v>
      </c>
      <c r="G57" s="25" t="s">
        <v>281</v>
      </c>
      <c r="H57" s="25" t="s">
        <v>213</v>
      </c>
      <c r="I57" s="57">
        <v>0.13066806089563898</v>
      </c>
      <c r="J57" s="57">
        <v>0.23911453013896877</v>
      </c>
      <c r="K57" s="57">
        <v>0.6302174089653922</v>
      </c>
      <c r="L57" s="58" t="str">
        <f>IF(Matchday!E59="","",Matchday!E59)</f>
        <v/>
      </c>
      <c r="M57" s="58" t="str">
        <f>IF(Matchday!F59="","",Matchday!F59)</f>
        <v/>
      </c>
      <c r="N57" s="58" t="str">
        <f>IF(Matchday!G59="","",Matchday!G59)</f>
        <v/>
      </c>
      <c r="O57" s="59" t="str">
        <f t="shared" ref="O57:Q57" si="125">IF(L57="","",1/L57)</f>
        <v/>
      </c>
      <c r="P57" s="59" t="str">
        <f t="shared" si="125"/>
        <v/>
      </c>
      <c r="Q57" s="59" t="str">
        <f t="shared" si="125"/>
        <v/>
      </c>
      <c r="R57" s="59" t="str">
        <f t="shared" si="4"/>
        <v/>
      </c>
      <c r="S57" s="59" t="str">
        <f t="array" ref="S57">IF($R57="","",IF(Method!$B$56="proportional",O57/$R57,IF(Method!$B$56="power",IFERROR(INDEX(power_devig($L57,$M57,$N57),1,1),O57/$R57),IFERROR(INDEX(shin($L57,$M57,$N57),1,1),O57/$R57))))</f>
        <v/>
      </c>
      <c r="T57" s="59" t="str">
        <f t="array" ref="T57">IF($R57="","",IF(Method!$B$56="proportional",P57/$R57,IF(Method!$B$56="power",IFERROR(INDEX(power_devig($L57,$M57,$N57),2,1),P57/$R57),IFERROR(INDEX(shin($L57,$M57,$N57),2,1),P57/$R57))))</f>
        <v/>
      </c>
      <c r="U57" s="59" t="str">
        <f t="array" ref="U57">IF($R57="","",IF(Method!$B$56="proportional",Q57/$R57,IF(Method!$B$56="power",IFERROR(INDEX(power_devig($L57,$M57,$N57),3,1),Q57/$R57),IFERROR(INDEX(shin($L57,$M57,$N57),3,1),Q57/$R57))))</f>
        <v/>
      </c>
      <c r="V57" s="59" t="str">
        <f>IF(S57="","",Method!$B$4*I57+(1-Method!$B$4)*S57/($S57+$T57+$U57))</f>
        <v/>
      </c>
      <c r="W57" s="59" t="str">
        <f>IF(T57="","",Method!$B$4*J57+(1-Method!$B$4)*T57/($S57+$T57+$U57))</f>
        <v/>
      </c>
      <c r="X57" s="59" t="str">
        <f>IF(U57="","",Method!$B$4*K57+(1-Method!$B$4)*U57/($S57+$T57+$U57))</f>
        <v/>
      </c>
      <c r="Y57" s="60" t="str">
        <f t="shared" ref="Y57:AA57" si="126">IF(V57="","",V57*L57-1)</f>
        <v/>
      </c>
      <c r="Z57" s="60" t="str">
        <f t="shared" si="126"/>
        <v/>
      </c>
      <c r="AA57" s="60" t="str">
        <f t="shared" si="126"/>
        <v/>
      </c>
      <c r="AB57" s="56" t="str">
        <f t="shared" si="6"/>
        <v/>
      </c>
      <c r="AC57" s="56" t="str">
        <f t="shared" si="7"/>
        <v/>
      </c>
      <c r="AD57" s="61" t="str">
        <f t="shared" si="8"/>
        <v/>
      </c>
      <c r="AE57" s="28" t="str">
        <f t="shared" si="9"/>
        <v/>
      </c>
      <c r="AF57" s="60" t="str">
        <f t="shared" si="10"/>
        <v/>
      </c>
      <c r="AG57" s="60" t="str">
        <f t="shared" si="11"/>
        <v/>
      </c>
      <c r="AH57" s="62" t="str">
        <f>IF(AB57="","· enter odds",IF(AND(AF57&gt;=Method!$B$7,AG57&gt;=Method!$B$8),"BET","PASS"))</f>
        <v>· enter odds</v>
      </c>
      <c r="AI57" s="63">
        <f>IF(AH57&lt;&gt;"BET",0,ROUND(MIN(Method!$B$6,Method!$B$5*AL57)*100,1))</f>
        <v>0</v>
      </c>
      <c r="AJ57" s="64">
        <f>IF(OR(AH57&lt;&gt;"BET",Method!$B$55=TRUE()),0,IF(AI57*Method!$B$10/100&lt;Method!$B$9,0,ROUND(AI57*Method!$B$10/100,0)))</f>
        <v>0</v>
      </c>
      <c r="AK57" s="59" t="str">
        <f t="shared" si="12"/>
        <v/>
      </c>
      <c r="AL57" s="59" t="str">
        <f t="shared" si="13"/>
        <v/>
      </c>
      <c r="AM57" s="56" t="str">
        <f t="shared" si="14"/>
        <v/>
      </c>
      <c r="AN57" s="65" t="str">
        <f>IF(Matchday!N59="","",Matchday!N59)</f>
        <v/>
      </c>
      <c r="AO57" s="58" t="str">
        <f>IF(Matchday!P59="","",Matchday!P59)</f>
        <v/>
      </c>
      <c r="AP57" s="66" t="str">
        <f>IF(Matchday!Q59="","",Matchday!Q59)</f>
        <v/>
      </c>
      <c r="AQ57" s="65" t="str">
        <f>IF(Matchday!R59="","",Matchday!R59)</f>
        <v/>
      </c>
      <c r="AR57" s="67" t="str">
        <f t="shared" si="15"/>
        <v/>
      </c>
      <c r="AS57" s="67" t="str">
        <f t="shared" si="16"/>
        <v/>
      </c>
      <c r="AT57" s="26" t="str">
        <f>IF(AB57="","Type the 3 odds on the Matchday tab",IF(Method!$B$55=TRUE(),"🛑 PAUSED — drawdown "&amp;TEXT(Method!$B$51,"0.0%")&amp;" ≥ "&amp;TEXT(Method!$B$52,"0.0%")&amp;". Set Method!B54=Y to override.",IF(AH57="BET",IF(AJ57=0,"Edge found but stake rounds under £"&amp;Method!$B$9&amp;" — skip","Value found: EV "&amp;TEXT(AF57,"0.0%")&amp;", edge "&amp;TEXT(AG57,"0.0%")),IF(AF57&lt;Method!$B$7,"Price too short — EV "&amp;TEXT(AF57,"0.0%")&amp;" (need "&amp;TEXT(Method!$B$7,"0.0%")&amp;"+)","Model ≈ market — edge "&amp;TEXT(AG57,"0.0%")&amp;" (need "&amp;TEXT(Method!$B$8,"0.0%")&amp;"+)"))))</f>
        <v>Type the 3 odds on the Matchday tab</v>
      </c>
      <c r="AU57" s="26" t="str">
        <f t="shared" si="17"/>
        <v/>
      </c>
      <c r="AV57" s="25" t="str">
        <f>IF(Matchday!O59="","",Matchday!O59)</f>
        <v/>
      </c>
      <c r="AW57" s="68"/>
      <c r="AX57" s="68"/>
      <c r="AY57" s="68"/>
      <c r="AZ57" s="68" t="str">
        <f t="shared" si="18"/>
        <v>· enter odds</v>
      </c>
      <c r="BA57" s="69">
        <f>IF(AX57&lt;&gt;"",AX57,IF(AH57&lt;&gt;"BET",0,IF(AI57*Method!$B$10/100&lt;Method!$B$9,0,ROUND(AI57*Method!$B$10/100,0))))</f>
        <v>0</v>
      </c>
      <c r="BB57" s="70">
        <v>0.0</v>
      </c>
      <c r="BC57" s="70">
        <v>0.114331005600916</v>
      </c>
      <c r="BD57" s="70">
        <v>0.2616145215526616</v>
      </c>
      <c r="BE57" s="70">
        <v>0.6169516352226666</v>
      </c>
      <c r="BG57" s="70">
        <v>12.0</v>
      </c>
      <c r="BH57" s="71" t="s">
        <v>186</v>
      </c>
      <c r="BI57" s="70">
        <v>1657.4</v>
      </c>
    </row>
    <row r="58" ht="15.0" customHeight="1">
      <c r="A58" s="25">
        <v>57.0</v>
      </c>
      <c r="B58" s="55">
        <v>46198.0</v>
      </c>
      <c r="C58" s="25" t="s">
        <v>225</v>
      </c>
      <c r="D58" s="56" t="s">
        <v>227</v>
      </c>
      <c r="E58" s="56" t="s">
        <v>235</v>
      </c>
      <c r="F58" s="56" t="s">
        <v>228</v>
      </c>
      <c r="G58" s="25" t="s">
        <v>233</v>
      </c>
      <c r="H58" s="25" t="s">
        <v>282</v>
      </c>
      <c r="I58" s="57">
        <v>0.5740051247091584</v>
      </c>
      <c r="J58" s="57">
        <v>0.2496616578659882</v>
      </c>
      <c r="K58" s="57">
        <v>0.17633321742485342</v>
      </c>
      <c r="L58" s="58" t="str">
        <f>IF(Matchday!E60="","",Matchday!E60)</f>
        <v/>
      </c>
      <c r="M58" s="58" t="str">
        <f>IF(Matchday!F60="","",Matchday!F60)</f>
        <v/>
      </c>
      <c r="N58" s="58" t="str">
        <f>IF(Matchday!G60="","",Matchday!G60)</f>
        <v/>
      </c>
      <c r="O58" s="59" t="str">
        <f t="shared" ref="O58:Q58" si="127">IF(L58="","",1/L58)</f>
        <v/>
      </c>
      <c r="P58" s="59" t="str">
        <f t="shared" si="127"/>
        <v/>
      </c>
      <c r="Q58" s="59" t="str">
        <f t="shared" si="127"/>
        <v/>
      </c>
      <c r="R58" s="59" t="str">
        <f t="shared" si="4"/>
        <v/>
      </c>
      <c r="S58" s="59" t="str">
        <f t="array" ref="S58">IF($R58="","",IF(Method!$B$56="proportional",O58/$R58,IF(Method!$B$56="power",IFERROR(INDEX(power_devig($L58,$M58,$N58),1,1),O58/$R58),IFERROR(INDEX(shin($L58,$M58,$N58),1,1),O58/$R58))))</f>
        <v/>
      </c>
      <c r="T58" s="59" t="str">
        <f t="array" ref="T58">IF($R58="","",IF(Method!$B$56="proportional",P58/$R58,IF(Method!$B$56="power",IFERROR(INDEX(power_devig($L58,$M58,$N58),2,1),P58/$R58),IFERROR(INDEX(shin($L58,$M58,$N58),2,1),P58/$R58))))</f>
        <v/>
      </c>
      <c r="U58" s="59" t="str">
        <f t="array" ref="U58">IF($R58="","",IF(Method!$B$56="proportional",Q58/$R58,IF(Method!$B$56="power",IFERROR(INDEX(power_devig($L58,$M58,$N58),3,1),Q58/$R58),IFERROR(INDEX(shin($L58,$M58,$N58),3,1),Q58/$R58))))</f>
        <v/>
      </c>
      <c r="V58" s="59" t="str">
        <f>IF(S58="","",Method!$B$4*I58+(1-Method!$B$4)*S58/($S58+$T58+$U58))</f>
        <v/>
      </c>
      <c r="W58" s="59" t="str">
        <f>IF(T58="","",Method!$B$4*J58+(1-Method!$B$4)*T58/($S58+$T58+$U58))</f>
        <v/>
      </c>
      <c r="X58" s="59" t="str">
        <f>IF(U58="","",Method!$B$4*K58+(1-Method!$B$4)*U58/($S58+$T58+$U58))</f>
        <v/>
      </c>
      <c r="Y58" s="60" t="str">
        <f t="shared" ref="Y58:AA58" si="128">IF(V58="","",V58*L58-1)</f>
        <v/>
      </c>
      <c r="Z58" s="60" t="str">
        <f t="shared" si="128"/>
        <v/>
      </c>
      <c r="AA58" s="60" t="str">
        <f t="shared" si="128"/>
        <v/>
      </c>
      <c r="AB58" s="56" t="str">
        <f t="shared" si="6"/>
        <v/>
      </c>
      <c r="AC58" s="56" t="str">
        <f t="shared" si="7"/>
        <v/>
      </c>
      <c r="AD58" s="61" t="str">
        <f t="shared" si="8"/>
        <v/>
      </c>
      <c r="AE58" s="28" t="str">
        <f t="shared" si="9"/>
        <v/>
      </c>
      <c r="AF58" s="60" t="str">
        <f t="shared" si="10"/>
        <v/>
      </c>
      <c r="AG58" s="60" t="str">
        <f t="shared" si="11"/>
        <v/>
      </c>
      <c r="AH58" s="62" t="str">
        <f>IF(AB58="","· enter odds",IF(AND(AF58&gt;=Method!$B$7,AG58&gt;=Method!$B$8),"BET","PASS"))</f>
        <v>· enter odds</v>
      </c>
      <c r="AI58" s="63">
        <f>IF(AH58&lt;&gt;"BET",0,ROUND(MIN(Method!$B$6,Method!$B$5*AL58)*100,1))</f>
        <v>0</v>
      </c>
      <c r="AJ58" s="64">
        <f>IF(OR(AH58&lt;&gt;"BET",Method!$B$55=TRUE()),0,IF(AI58*Method!$B$10/100&lt;Method!$B$9,0,ROUND(AI58*Method!$B$10/100,0)))</f>
        <v>0</v>
      </c>
      <c r="AK58" s="59" t="str">
        <f t="shared" si="12"/>
        <v/>
      </c>
      <c r="AL58" s="59" t="str">
        <f t="shared" si="13"/>
        <v/>
      </c>
      <c r="AM58" s="56" t="str">
        <f t="shared" si="14"/>
        <v/>
      </c>
      <c r="AN58" s="65" t="str">
        <f>IF(Matchday!N60="","",Matchday!N60)</f>
        <v/>
      </c>
      <c r="AO58" s="58" t="str">
        <f>IF(Matchday!P60="","",Matchday!P60)</f>
        <v/>
      </c>
      <c r="AP58" s="66" t="str">
        <f>IF(Matchday!Q60="","",Matchday!Q60)</f>
        <v/>
      </c>
      <c r="AQ58" s="65" t="str">
        <f>IF(Matchday!R60="","",Matchday!R60)</f>
        <v/>
      </c>
      <c r="AR58" s="67" t="str">
        <f t="shared" si="15"/>
        <v/>
      </c>
      <c r="AS58" s="67" t="str">
        <f t="shared" si="16"/>
        <v/>
      </c>
      <c r="AT58" s="26" t="str">
        <f>IF(AB58="","Type the 3 odds on the Matchday tab",IF(Method!$B$55=TRUE(),"🛑 PAUSED — drawdown "&amp;TEXT(Method!$B$51,"0.0%")&amp;" ≥ "&amp;TEXT(Method!$B$52,"0.0%")&amp;". Set Method!B54=Y to override.",IF(AH58="BET",IF(AJ58=0,"Edge found but stake rounds under £"&amp;Method!$B$9&amp;" — skip","Value found: EV "&amp;TEXT(AF58,"0.0%")&amp;", edge "&amp;TEXT(AG58,"0.0%")),IF(AF58&lt;Method!$B$7,"Price too short — EV "&amp;TEXT(AF58,"0.0%")&amp;" (need "&amp;TEXT(Method!$B$7,"0.0%")&amp;"+)","Model ≈ market — edge "&amp;TEXT(AG58,"0.0%")&amp;" (need "&amp;TEXT(Method!$B$8,"0.0%")&amp;"+)"))))</f>
        <v>Type the 3 odds on the Matchday tab</v>
      </c>
      <c r="AU58" s="26" t="str">
        <f t="shared" si="17"/>
        <v/>
      </c>
      <c r="AV58" s="25" t="str">
        <f>IF(Matchday!O60="","",Matchday!O60)</f>
        <v/>
      </c>
      <c r="AW58" s="68"/>
      <c r="AX58" s="68"/>
      <c r="AY58" s="68"/>
      <c r="AZ58" s="68" t="str">
        <f t="shared" si="18"/>
        <v>· enter odds</v>
      </c>
      <c r="BA58" s="69">
        <f>IF(AX58&lt;&gt;"",AX58,IF(AH58&lt;&gt;"BET",0,IF(AI58*Method!$B$10/100&lt;Method!$B$9,0,ROUND(AI58*Method!$B$10/100,0))))</f>
        <v>0</v>
      </c>
      <c r="BB58" s="70">
        <v>-5.0</v>
      </c>
      <c r="BC58" s="70">
        <v>0.5491190168222388</v>
      </c>
      <c r="BD58" s="70">
        <v>0.27182523610470544</v>
      </c>
      <c r="BE58" s="70">
        <v>0.1813554548903174</v>
      </c>
      <c r="BF58" s="71" t="s">
        <v>290</v>
      </c>
      <c r="BG58" s="70">
        <v>175.0</v>
      </c>
      <c r="BH58" s="71" t="s">
        <v>229</v>
      </c>
      <c r="BI58" s="70">
        <v>844.2</v>
      </c>
    </row>
    <row r="59" ht="15.0" customHeight="1">
      <c r="A59" s="25">
        <v>58.0</v>
      </c>
      <c r="B59" s="55">
        <v>46198.0</v>
      </c>
      <c r="C59" s="25" t="s">
        <v>225</v>
      </c>
      <c r="D59" s="56" t="s">
        <v>236</v>
      </c>
      <c r="E59" s="56" t="s">
        <v>226</v>
      </c>
      <c r="F59" s="56" t="s">
        <v>263</v>
      </c>
      <c r="G59" s="25" t="s">
        <v>233</v>
      </c>
      <c r="H59" s="25" t="s">
        <v>282</v>
      </c>
      <c r="I59" s="57">
        <v>0.13253663386122352</v>
      </c>
      <c r="J59" s="57">
        <v>0.23964391416445877</v>
      </c>
      <c r="K59" s="57">
        <v>0.6278194519743178</v>
      </c>
      <c r="L59" s="58" t="str">
        <f>IF(Matchday!E61="","",Matchday!E61)</f>
        <v/>
      </c>
      <c r="M59" s="58" t="str">
        <f>IF(Matchday!F61="","",Matchday!F61)</f>
        <v/>
      </c>
      <c r="N59" s="58" t="str">
        <f>IF(Matchday!G61="","",Matchday!G61)</f>
        <v/>
      </c>
      <c r="O59" s="59" t="str">
        <f t="shared" ref="O59:Q59" si="129">IF(L59="","",1/L59)</f>
        <v/>
      </c>
      <c r="P59" s="59" t="str">
        <f t="shared" si="129"/>
        <v/>
      </c>
      <c r="Q59" s="59" t="str">
        <f t="shared" si="129"/>
        <v/>
      </c>
      <c r="R59" s="59" t="str">
        <f t="shared" si="4"/>
        <v/>
      </c>
      <c r="S59" s="59" t="str">
        <f t="array" ref="S59">IF($R59="","",IF(Method!$B$56="proportional",O59/$R59,IF(Method!$B$56="power",IFERROR(INDEX(power_devig($L59,$M59,$N59),1,1),O59/$R59),IFERROR(INDEX(shin($L59,$M59,$N59),1,1),O59/$R59))))</f>
        <v/>
      </c>
      <c r="T59" s="59" t="str">
        <f t="array" ref="T59">IF($R59="","",IF(Method!$B$56="proportional",P59/$R59,IF(Method!$B$56="power",IFERROR(INDEX(power_devig($L59,$M59,$N59),2,1),P59/$R59),IFERROR(INDEX(shin($L59,$M59,$N59),2,1),P59/$R59))))</f>
        <v/>
      </c>
      <c r="U59" s="59" t="str">
        <f t="array" ref="U59">IF($R59="","",IF(Method!$B$56="proportional",Q59/$R59,IF(Method!$B$56="power",IFERROR(INDEX(power_devig($L59,$M59,$N59),3,1),Q59/$R59),IFERROR(INDEX(shin($L59,$M59,$N59),3,1),Q59/$R59))))</f>
        <v/>
      </c>
      <c r="V59" s="59" t="str">
        <f>IF(S59="","",Method!$B$4*I59+(1-Method!$B$4)*S59/($S59+$T59+$U59))</f>
        <v/>
      </c>
      <c r="W59" s="59" t="str">
        <f>IF(T59="","",Method!$B$4*J59+(1-Method!$B$4)*T59/($S59+$T59+$U59))</f>
        <v/>
      </c>
      <c r="X59" s="59" t="str">
        <f>IF(U59="","",Method!$B$4*K59+(1-Method!$B$4)*U59/($S59+$T59+$U59))</f>
        <v/>
      </c>
      <c r="Y59" s="60" t="str">
        <f t="shared" ref="Y59:AA59" si="130">IF(V59="","",V59*L59-1)</f>
        <v/>
      </c>
      <c r="Z59" s="60" t="str">
        <f t="shared" si="130"/>
        <v/>
      </c>
      <c r="AA59" s="60" t="str">
        <f t="shared" si="130"/>
        <v/>
      </c>
      <c r="AB59" s="56" t="str">
        <f t="shared" si="6"/>
        <v/>
      </c>
      <c r="AC59" s="56" t="str">
        <f t="shared" si="7"/>
        <v/>
      </c>
      <c r="AD59" s="61" t="str">
        <f t="shared" si="8"/>
        <v/>
      </c>
      <c r="AE59" s="28" t="str">
        <f t="shared" si="9"/>
        <v/>
      </c>
      <c r="AF59" s="60" t="str">
        <f t="shared" si="10"/>
        <v/>
      </c>
      <c r="AG59" s="60" t="str">
        <f t="shared" si="11"/>
        <v/>
      </c>
      <c r="AH59" s="62" t="str">
        <f>IF(AB59="","· enter odds",IF(AND(AF59&gt;=Method!$B$7,AG59&gt;=Method!$B$8),"BET","PASS"))</f>
        <v>· enter odds</v>
      </c>
      <c r="AI59" s="63">
        <f>IF(AH59&lt;&gt;"BET",0,ROUND(MIN(Method!$B$6,Method!$B$5*AL59)*100,1))</f>
        <v>0</v>
      </c>
      <c r="AJ59" s="64">
        <f>IF(OR(AH59&lt;&gt;"BET",Method!$B$55=TRUE()),0,IF(AI59*Method!$B$10/100&lt;Method!$B$9,0,ROUND(AI59*Method!$B$10/100,0)))</f>
        <v>0</v>
      </c>
      <c r="AK59" s="59" t="str">
        <f t="shared" si="12"/>
        <v/>
      </c>
      <c r="AL59" s="59" t="str">
        <f t="shared" si="13"/>
        <v/>
      </c>
      <c r="AM59" s="56" t="str">
        <f t="shared" si="14"/>
        <v/>
      </c>
      <c r="AN59" s="65" t="str">
        <f>IF(Matchday!N61="","",Matchday!N61)</f>
        <v/>
      </c>
      <c r="AO59" s="58" t="str">
        <f>IF(Matchday!P61="","",Matchday!P61)</f>
        <v/>
      </c>
      <c r="AP59" s="66" t="str">
        <f>IF(Matchday!Q61="","",Matchday!Q61)</f>
        <v/>
      </c>
      <c r="AQ59" s="65" t="str">
        <f>IF(Matchday!R61="","",Matchday!R61)</f>
        <v/>
      </c>
      <c r="AR59" s="67" t="str">
        <f t="shared" si="15"/>
        <v/>
      </c>
      <c r="AS59" s="67" t="str">
        <f t="shared" si="16"/>
        <v/>
      </c>
      <c r="AT59" s="26" t="str">
        <f>IF(AB59="","Type the 3 odds on the Matchday tab",IF(Method!$B$55=TRUE(),"🛑 PAUSED — drawdown "&amp;TEXT(Method!$B$51,"0.0%")&amp;" ≥ "&amp;TEXT(Method!$B$52,"0.0%")&amp;". Set Method!B54=Y to override.",IF(AH59="BET",IF(AJ59=0,"Edge found but stake rounds under £"&amp;Method!$B$9&amp;" — skip","Value found: EV "&amp;TEXT(AF59,"0.0%")&amp;", edge "&amp;TEXT(AG59,"0.0%")),IF(AF59&lt;Method!$B$7,"Price too short — EV "&amp;TEXT(AF59,"0.0%")&amp;" (need "&amp;TEXT(Method!$B$7,"0.0%")&amp;"+)","Model ≈ market — edge "&amp;TEXT(AG59,"0.0%")&amp;" (need "&amp;TEXT(Method!$B$8,"0.0%")&amp;"+)"))))</f>
        <v>Type the 3 odds on the Matchday tab</v>
      </c>
      <c r="AU59" s="26" t="str">
        <f t="shared" si="17"/>
        <v/>
      </c>
      <c r="AV59" s="25" t="str">
        <f>IF(Matchday!O61="","",Matchday!O61)</f>
        <v/>
      </c>
      <c r="AW59" s="68"/>
      <c r="AX59" s="68"/>
      <c r="AY59" s="68"/>
      <c r="AZ59" s="68" t="str">
        <f t="shared" si="18"/>
        <v>· enter odds</v>
      </c>
      <c r="BA59" s="69">
        <f>IF(AX59&lt;&gt;"",AX59,IF(AH59&lt;&gt;"BET",0,IF(AI59*Method!$B$10/100&lt;Method!$B$9,0,ROUND(AI59*Method!$B$10/100,0))))</f>
        <v>0</v>
      </c>
      <c r="BB59" s="70">
        <v>0.0</v>
      </c>
      <c r="BC59" s="70">
        <v>0.11587242858788929</v>
      </c>
      <c r="BD59" s="70">
        <v>0.2621270202454425</v>
      </c>
      <c r="BE59" s="70">
        <v>0.6144210974904426</v>
      </c>
      <c r="BF59" s="71"/>
      <c r="BG59" s="70">
        <v>270.0</v>
      </c>
      <c r="BH59" s="71" t="s">
        <v>264</v>
      </c>
      <c r="BI59" s="70">
        <v>1582.1</v>
      </c>
    </row>
    <row r="60" ht="15.0" customHeight="1">
      <c r="A60" s="25">
        <v>59.0</v>
      </c>
      <c r="B60" s="55">
        <v>46198.0</v>
      </c>
      <c r="C60" s="25" t="s">
        <v>193</v>
      </c>
      <c r="D60" s="56" t="s">
        <v>216</v>
      </c>
      <c r="E60" s="56" t="s">
        <v>194</v>
      </c>
      <c r="F60" s="56" t="s">
        <v>196</v>
      </c>
      <c r="G60" s="25" t="s">
        <v>283</v>
      </c>
      <c r="H60" s="25" t="s">
        <v>279</v>
      </c>
      <c r="I60" s="57">
        <v>0.4547801142524127</v>
      </c>
      <c r="J60" s="57">
        <v>0.26806543592593846</v>
      </c>
      <c r="K60" s="57">
        <v>0.2771544498216489</v>
      </c>
      <c r="L60" s="58" t="str">
        <f>IF(Matchday!E62="","",Matchday!E62)</f>
        <v/>
      </c>
      <c r="M60" s="58" t="str">
        <f>IF(Matchday!F62="","",Matchday!F62)</f>
        <v/>
      </c>
      <c r="N60" s="58" t="str">
        <f>IF(Matchday!G62="","",Matchday!G62)</f>
        <v/>
      </c>
      <c r="O60" s="59" t="str">
        <f t="shared" ref="O60:Q60" si="131">IF(L60="","",1/L60)</f>
        <v/>
      </c>
      <c r="P60" s="59" t="str">
        <f t="shared" si="131"/>
        <v/>
      </c>
      <c r="Q60" s="59" t="str">
        <f t="shared" si="131"/>
        <v/>
      </c>
      <c r="R60" s="59" t="str">
        <f t="shared" si="4"/>
        <v/>
      </c>
      <c r="S60" s="59" t="str">
        <f t="array" ref="S60">IF($R60="","",IF(Method!$B$56="proportional",O60/$R60,IF(Method!$B$56="power",IFERROR(INDEX(power_devig($L60,$M60,$N60),1,1),O60/$R60),IFERROR(INDEX(shin($L60,$M60,$N60),1,1),O60/$R60))))</f>
        <v/>
      </c>
      <c r="T60" s="59" t="str">
        <f t="array" ref="T60">IF($R60="","",IF(Method!$B$56="proportional",P60/$R60,IF(Method!$B$56="power",IFERROR(INDEX(power_devig($L60,$M60,$N60),2,1),P60/$R60),IFERROR(INDEX(shin($L60,$M60,$N60),2,1),P60/$R60))))</f>
        <v/>
      </c>
      <c r="U60" s="59" t="str">
        <f t="array" ref="U60">IF($R60="","",IF(Method!$B$56="proportional",Q60/$R60,IF(Method!$B$56="power",IFERROR(INDEX(power_devig($L60,$M60,$N60),3,1),Q60/$R60),IFERROR(INDEX(shin($L60,$M60,$N60),3,1),Q60/$R60))))</f>
        <v/>
      </c>
      <c r="V60" s="59" t="str">
        <f>IF(S60="","",Method!$B$4*I60+(1-Method!$B$4)*S60/($S60+$T60+$U60))</f>
        <v/>
      </c>
      <c r="W60" s="59" t="str">
        <f>IF(T60="","",Method!$B$4*J60+(1-Method!$B$4)*T60/($S60+$T60+$U60))</f>
        <v/>
      </c>
      <c r="X60" s="59" t="str">
        <f>IF(U60="","",Method!$B$4*K60+(1-Method!$B$4)*U60/($S60+$T60+$U60))</f>
        <v/>
      </c>
      <c r="Y60" s="60" t="str">
        <f t="shared" ref="Y60:AA60" si="132">IF(V60="","",V60*L60-1)</f>
        <v/>
      </c>
      <c r="Z60" s="60" t="str">
        <f t="shared" si="132"/>
        <v/>
      </c>
      <c r="AA60" s="60" t="str">
        <f t="shared" si="132"/>
        <v/>
      </c>
      <c r="AB60" s="56" t="str">
        <f t="shared" si="6"/>
        <v/>
      </c>
      <c r="AC60" s="56" t="str">
        <f t="shared" si="7"/>
        <v/>
      </c>
      <c r="AD60" s="61" t="str">
        <f t="shared" si="8"/>
        <v/>
      </c>
      <c r="AE60" s="28" t="str">
        <f t="shared" si="9"/>
        <v/>
      </c>
      <c r="AF60" s="60" t="str">
        <f t="shared" si="10"/>
        <v/>
      </c>
      <c r="AG60" s="60" t="str">
        <f t="shared" si="11"/>
        <v/>
      </c>
      <c r="AH60" s="62" t="str">
        <f>IF(AB60="","· enter odds",IF(AND(AF60&gt;=Method!$B$7,AG60&gt;=Method!$B$8),"BET","PASS"))</f>
        <v>· enter odds</v>
      </c>
      <c r="AI60" s="63">
        <f>IF(AH60&lt;&gt;"BET",0,ROUND(MIN(Method!$B$6,Method!$B$5*AL60)*100,1))</f>
        <v>0</v>
      </c>
      <c r="AJ60" s="64">
        <f>IF(OR(AH60&lt;&gt;"BET",Method!$B$55=TRUE()),0,IF(AI60*Method!$B$10/100&lt;Method!$B$9,0,ROUND(AI60*Method!$B$10/100,0)))</f>
        <v>0</v>
      </c>
      <c r="AK60" s="59" t="str">
        <f t="shared" si="12"/>
        <v/>
      </c>
      <c r="AL60" s="59" t="str">
        <f t="shared" si="13"/>
        <v/>
      </c>
      <c r="AM60" s="56" t="str">
        <f t="shared" si="14"/>
        <v/>
      </c>
      <c r="AN60" s="65" t="str">
        <f>IF(Matchday!N62="","",Matchday!N62)</f>
        <v/>
      </c>
      <c r="AO60" s="58" t="str">
        <f>IF(Matchday!P62="","",Matchday!P62)</f>
        <v/>
      </c>
      <c r="AP60" s="66" t="str">
        <f>IF(Matchday!Q62="","",Matchday!Q62)</f>
        <v/>
      </c>
      <c r="AQ60" s="65" t="str">
        <f>IF(Matchday!R62="","",Matchday!R62)</f>
        <v/>
      </c>
      <c r="AR60" s="67" t="str">
        <f t="shared" si="15"/>
        <v/>
      </c>
      <c r="AS60" s="67" t="str">
        <f t="shared" si="16"/>
        <v/>
      </c>
      <c r="AT60" s="26" t="str">
        <f>IF(AB60="","Type the 3 odds on the Matchday tab",IF(Method!$B$55=TRUE(),"🛑 PAUSED — drawdown "&amp;TEXT(Method!$B$51,"0.0%")&amp;" ≥ "&amp;TEXT(Method!$B$52,"0.0%")&amp;". Set Method!B54=Y to override.",IF(AH60="BET",IF(AJ60=0,"Edge found but stake rounds under £"&amp;Method!$B$9&amp;" — skip","Value found: EV "&amp;TEXT(AF60,"0.0%")&amp;", edge "&amp;TEXT(AG60,"0.0%")),IF(AF60&lt;Method!$B$7,"Price too short — EV "&amp;TEXT(AF60,"0.0%")&amp;" (need "&amp;TEXT(Method!$B$7,"0.0%")&amp;"+)","Model ≈ market — edge "&amp;TEXT(AG60,"0.0%")&amp;" (need "&amp;TEXT(Method!$B$8,"0.0%")&amp;"+)"))))</f>
        <v>Type the 3 odds on the Matchday tab</v>
      </c>
      <c r="AU60" s="26" t="str">
        <f t="shared" si="17"/>
        <v/>
      </c>
      <c r="AV60" s="25" t="str">
        <f>IF(Matchday!O62="","",Matchday!O62)</f>
        <v/>
      </c>
      <c r="AW60" s="68"/>
      <c r="AX60" s="68"/>
      <c r="AY60" s="68"/>
      <c r="AZ60" s="68" t="str">
        <f t="shared" si="18"/>
        <v>· enter odds</v>
      </c>
      <c r="BA60" s="69">
        <f>IF(AX60&lt;&gt;"",AX60,IF(AH60&lt;&gt;"BET",0,IF(AI60*Method!$B$10/100&lt;Method!$B$9,0,ROUND(AI60*Method!$B$10/100,0))))</f>
        <v>0</v>
      </c>
      <c r="BB60" s="70">
        <v>0.0</v>
      </c>
      <c r="BC60" s="70">
        <v>0.4384906677943169</v>
      </c>
      <c r="BD60" s="70">
        <v>0.28158703569813204</v>
      </c>
      <c r="BE60" s="70">
        <v>0.283099454664035</v>
      </c>
      <c r="BG60" s="70">
        <v>30.0</v>
      </c>
      <c r="BH60" s="71" t="s">
        <v>199</v>
      </c>
      <c r="BI60" s="70">
        <v>504.6</v>
      </c>
    </row>
    <row r="61" ht="15.0" customHeight="1">
      <c r="A61" s="25">
        <v>60.0</v>
      </c>
      <c r="B61" s="55">
        <v>46198.0</v>
      </c>
      <c r="C61" s="25" t="s">
        <v>193</v>
      </c>
      <c r="D61" s="56" t="s">
        <v>195</v>
      </c>
      <c r="E61" s="56" t="s">
        <v>215</v>
      </c>
      <c r="F61" s="56" t="s">
        <v>202</v>
      </c>
      <c r="G61" s="25" t="s">
        <v>283</v>
      </c>
      <c r="H61" s="25" t="s">
        <v>279</v>
      </c>
      <c r="I61" s="57">
        <v>0.35857765973519484</v>
      </c>
      <c r="J61" s="57">
        <v>0.3079762394489641</v>
      </c>
      <c r="K61" s="57">
        <v>0.3334461008158411</v>
      </c>
      <c r="L61" s="58" t="str">
        <f>IF(Matchday!E63="","",Matchday!E63)</f>
        <v/>
      </c>
      <c r="M61" s="58" t="str">
        <f>IF(Matchday!F63="","",Matchday!F63)</f>
        <v/>
      </c>
      <c r="N61" s="58" t="str">
        <f>IF(Matchday!G63="","",Matchday!G63)</f>
        <v/>
      </c>
      <c r="O61" s="59" t="str">
        <f t="shared" ref="O61:Q61" si="133">IF(L61="","",1/L61)</f>
        <v/>
      </c>
      <c r="P61" s="59" t="str">
        <f t="shared" si="133"/>
        <v/>
      </c>
      <c r="Q61" s="59" t="str">
        <f t="shared" si="133"/>
        <v/>
      </c>
      <c r="R61" s="59" t="str">
        <f t="shared" si="4"/>
        <v/>
      </c>
      <c r="S61" s="59" t="str">
        <f t="array" ref="S61">IF($R61="","",IF(Method!$B$56="proportional",O61/$R61,IF(Method!$B$56="power",IFERROR(INDEX(power_devig($L61,$M61,$N61),1,1),O61/$R61),IFERROR(INDEX(shin($L61,$M61,$N61),1,1),O61/$R61))))</f>
        <v/>
      </c>
      <c r="T61" s="59" t="str">
        <f t="array" ref="T61">IF($R61="","",IF(Method!$B$56="proportional",P61/$R61,IF(Method!$B$56="power",IFERROR(INDEX(power_devig($L61,$M61,$N61),2,1),P61/$R61),IFERROR(INDEX(shin($L61,$M61,$N61),2,1),P61/$R61))))</f>
        <v/>
      </c>
      <c r="U61" s="59" t="str">
        <f t="array" ref="U61">IF($R61="","",IF(Method!$B$56="proportional",Q61/$R61,IF(Method!$B$56="power",IFERROR(INDEX(power_devig($L61,$M61,$N61),3,1),Q61/$R61),IFERROR(INDEX(shin($L61,$M61,$N61),3,1),Q61/$R61))))</f>
        <v/>
      </c>
      <c r="V61" s="59" t="str">
        <f>IF(S61="","",Method!$B$4*I61+(1-Method!$B$4)*S61/($S61+$T61+$U61))</f>
        <v/>
      </c>
      <c r="W61" s="59" t="str">
        <f>IF(T61="","",Method!$B$4*J61+(1-Method!$B$4)*T61/($S61+$T61+$U61))</f>
        <v/>
      </c>
      <c r="X61" s="59" t="str">
        <f>IF(U61="","",Method!$B$4*K61+(1-Method!$B$4)*U61/($S61+$T61+$U61))</f>
        <v/>
      </c>
      <c r="Y61" s="60" t="str">
        <f t="shared" ref="Y61:AA61" si="134">IF(V61="","",V61*L61-1)</f>
        <v/>
      </c>
      <c r="Z61" s="60" t="str">
        <f t="shared" si="134"/>
        <v/>
      </c>
      <c r="AA61" s="60" t="str">
        <f t="shared" si="134"/>
        <v/>
      </c>
      <c r="AB61" s="56" t="str">
        <f t="shared" si="6"/>
        <v/>
      </c>
      <c r="AC61" s="56" t="str">
        <f t="shared" si="7"/>
        <v/>
      </c>
      <c r="AD61" s="61" t="str">
        <f t="shared" si="8"/>
        <v/>
      </c>
      <c r="AE61" s="28" t="str">
        <f t="shared" si="9"/>
        <v/>
      </c>
      <c r="AF61" s="60" t="str">
        <f t="shared" si="10"/>
        <v/>
      </c>
      <c r="AG61" s="60" t="str">
        <f t="shared" si="11"/>
        <v/>
      </c>
      <c r="AH61" s="62" t="str">
        <f>IF(AB61="","· enter odds",IF(AND(AF61&gt;=Method!$B$7,AG61&gt;=Method!$B$8),"BET","PASS"))</f>
        <v>· enter odds</v>
      </c>
      <c r="AI61" s="63">
        <f>IF(AH61&lt;&gt;"BET",0,ROUND(MIN(Method!$B$6,Method!$B$5*AL61)*100,1))</f>
        <v>0</v>
      </c>
      <c r="AJ61" s="64">
        <f>IF(OR(AH61&lt;&gt;"BET",Method!$B$55=TRUE()),0,IF(AI61*Method!$B$10/100&lt;Method!$B$9,0,ROUND(AI61*Method!$B$10/100,0)))</f>
        <v>0</v>
      </c>
      <c r="AK61" s="59" t="str">
        <f t="shared" si="12"/>
        <v/>
      </c>
      <c r="AL61" s="59" t="str">
        <f t="shared" si="13"/>
        <v/>
      </c>
      <c r="AM61" s="56" t="str">
        <f t="shared" si="14"/>
        <v/>
      </c>
      <c r="AN61" s="65" t="str">
        <f>IF(Matchday!N63="","",Matchday!N63)</f>
        <v/>
      </c>
      <c r="AO61" s="58" t="str">
        <f>IF(Matchday!P63="","",Matchday!P63)</f>
        <v/>
      </c>
      <c r="AP61" s="66" t="str">
        <f>IF(Matchday!Q63="","",Matchday!Q63)</f>
        <v/>
      </c>
      <c r="AQ61" s="65" t="str">
        <f>IF(Matchday!R63="","",Matchday!R63)</f>
        <v/>
      </c>
      <c r="AR61" s="67" t="str">
        <f t="shared" si="15"/>
        <v/>
      </c>
      <c r="AS61" s="67" t="str">
        <f t="shared" si="16"/>
        <v/>
      </c>
      <c r="AT61" s="26" t="str">
        <f>IF(AB61="","Type the 3 odds on the Matchday tab",IF(Method!$B$55=TRUE(),"🛑 PAUSED — drawdown "&amp;TEXT(Method!$B$51,"0.0%")&amp;" ≥ "&amp;TEXT(Method!$B$52,"0.0%")&amp;". Set Method!B54=Y to override.",IF(AH61="BET",IF(AJ61=0,"Edge found but stake rounds under £"&amp;Method!$B$9&amp;" — skip","Value found: EV "&amp;TEXT(AF61,"0.0%")&amp;", edge "&amp;TEXT(AG61,"0.0%")),IF(AF61&lt;Method!$B$7,"Price too short — EV "&amp;TEXT(AF61,"0.0%")&amp;" (need "&amp;TEXT(Method!$B$7,"0.0%")&amp;"+)","Model ≈ market — edge "&amp;TEXT(AG61,"0.0%")&amp;" (need "&amp;TEXT(Method!$B$8,"0.0%")&amp;"+)"))))</f>
        <v>Type the 3 odds on the Matchday tab</v>
      </c>
      <c r="AU61" s="26" t="str">
        <f t="shared" si="17"/>
        <v/>
      </c>
      <c r="AV61" s="25" t="str">
        <f>IF(Matchday!O63="","",Matchday!O63)</f>
        <v/>
      </c>
      <c r="AW61" s="68"/>
      <c r="AX61" s="68"/>
      <c r="AY61" s="68"/>
      <c r="AZ61" s="68" t="str">
        <f t="shared" si="18"/>
        <v>· enter odds</v>
      </c>
      <c r="BA61" s="69">
        <f>IF(AX61&lt;&gt;"",AX61,IF(AH61&lt;&gt;"BET",0,IF(AI61*Method!$B$10/100&lt;Method!$B$9,0,ROUND(AI61*Method!$B$10/100,0))))</f>
        <v>0</v>
      </c>
      <c r="BB61" s="70">
        <v>0.0</v>
      </c>
      <c r="BC61" s="70">
        <v>0.34878633901427186</v>
      </c>
      <c r="BD61" s="70">
        <v>0.2962962962962963</v>
      </c>
      <c r="BE61" s="70">
        <v>0.34385697213705285</v>
      </c>
      <c r="BG61" s="70">
        <v>8.0</v>
      </c>
      <c r="BH61" s="71" t="s">
        <v>204</v>
      </c>
      <c r="BI61" s="70">
        <v>0.0</v>
      </c>
    </row>
    <row r="62" ht="15.0" customHeight="1">
      <c r="A62" s="25">
        <v>61.0</v>
      </c>
      <c r="B62" s="55">
        <v>46199.0</v>
      </c>
      <c r="C62" s="25" t="s">
        <v>255</v>
      </c>
      <c r="D62" s="56" t="s">
        <v>259</v>
      </c>
      <c r="E62" s="56" t="s">
        <v>256</v>
      </c>
      <c r="F62" s="56" t="s">
        <v>212</v>
      </c>
      <c r="G62" s="25" t="s">
        <v>191</v>
      </c>
      <c r="H62" s="25" t="s">
        <v>177</v>
      </c>
      <c r="I62" s="57">
        <v>0.2843597429434594</v>
      </c>
      <c r="J62" s="57">
        <v>0.27289262046959456</v>
      </c>
      <c r="K62" s="57">
        <v>0.44274763658694594</v>
      </c>
      <c r="L62" s="58" t="str">
        <f>IF(Matchday!E64="","",Matchday!E64)</f>
        <v/>
      </c>
      <c r="M62" s="58" t="str">
        <f>IF(Matchday!F64="","",Matchday!F64)</f>
        <v/>
      </c>
      <c r="N62" s="58" t="str">
        <f>IF(Matchday!G64="","",Matchday!G64)</f>
        <v/>
      </c>
      <c r="O62" s="59" t="str">
        <f t="shared" ref="O62:Q62" si="135">IF(L62="","",1/L62)</f>
        <v/>
      </c>
      <c r="P62" s="59" t="str">
        <f t="shared" si="135"/>
        <v/>
      </c>
      <c r="Q62" s="59" t="str">
        <f t="shared" si="135"/>
        <v/>
      </c>
      <c r="R62" s="59" t="str">
        <f t="shared" si="4"/>
        <v/>
      </c>
      <c r="S62" s="59" t="str">
        <f t="array" ref="S62">IF($R62="","",IF(Method!$B$56="proportional",O62/$R62,IF(Method!$B$56="power",IFERROR(INDEX(power_devig($L62,$M62,$N62),1,1),O62/$R62),IFERROR(INDEX(shin($L62,$M62,$N62),1,1),O62/$R62))))</f>
        <v/>
      </c>
      <c r="T62" s="59" t="str">
        <f t="array" ref="T62">IF($R62="","",IF(Method!$B$56="proportional",P62/$R62,IF(Method!$B$56="power",IFERROR(INDEX(power_devig($L62,$M62,$N62),2,1),P62/$R62),IFERROR(INDEX(shin($L62,$M62,$N62),2,1),P62/$R62))))</f>
        <v/>
      </c>
      <c r="U62" s="59" t="str">
        <f t="array" ref="U62">IF($R62="","",IF(Method!$B$56="proportional",Q62/$R62,IF(Method!$B$56="power",IFERROR(INDEX(power_devig($L62,$M62,$N62),3,1),Q62/$R62),IFERROR(INDEX(shin($L62,$M62,$N62),3,1),Q62/$R62))))</f>
        <v/>
      </c>
      <c r="V62" s="59" t="str">
        <f>IF(S62="","",Method!$B$4*I62+(1-Method!$B$4)*S62/($S62+$T62+$U62))</f>
        <v/>
      </c>
      <c r="W62" s="59" t="str">
        <f>IF(T62="","",Method!$B$4*J62+(1-Method!$B$4)*T62/($S62+$T62+$U62))</f>
        <v/>
      </c>
      <c r="X62" s="59" t="str">
        <f>IF(U62="","",Method!$B$4*K62+(1-Method!$B$4)*U62/($S62+$T62+$U62))</f>
        <v/>
      </c>
      <c r="Y62" s="60" t="str">
        <f t="shared" ref="Y62:AA62" si="136">IF(V62="","",V62*L62-1)</f>
        <v/>
      </c>
      <c r="Z62" s="60" t="str">
        <f t="shared" si="136"/>
        <v/>
      </c>
      <c r="AA62" s="60" t="str">
        <f t="shared" si="136"/>
        <v/>
      </c>
      <c r="AB62" s="56" t="str">
        <f t="shared" si="6"/>
        <v/>
      </c>
      <c r="AC62" s="56" t="str">
        <f t="shared" si="7"/>
        <v/>
      </c>
      <c r="AD62" s="61" t="str">
        <f t="shared" si="8"/>
        <v/>
      </c>
      <c r="AE62" s="28" t="str">
        <f t="shared" si="9"/>
        <v/>
      </c>
      <c r="AF62" s="60" t="str">
        <f t="shared" si="10"/>
        <v/>
      </c>
      <c r="AG62" s="60" t="str">
        <f t="shared" si="11"/>
        <v/>
      </c>
      <c r="AH62" s="62" t="str">
        <f>IF(AB62="","· enter odds",IF(AND(AF62&gt;=Method!$B$7,AG62&gt;=Method!$B$8),"BET","PASS"))</f>
        <v>· enter odds</v>
      </c>
      <c r="AI62" s="63">
        <f>IF(AH62&lt;&gt;"BET",0,ROUND(MIN(Method!$B$6,Method!$B$5*AL62)*100,1))</f>
        <v>0</v>
      </c>
      <c r="AJ62" s="64">
        <f>IF(OR(AH62&lt;&gt;"BET",Method!$B$55=TRUE()),0,IF(AI62*Method!$B$10/100&lt;Method!$B$9,0,ROUND(AI62*Method!$B$10/100,0)))</f>
        <v>0</v>
      </c>
      <c r="AK62" s="59" t="str">
        <f t="shared" si="12"/>
        <v/>
      </c>
      <c r="AL62" s="59" t="str">
        <f t="shared" si="13"/>
        <v/>
      </c>
      <c r="AM62" s="56" t="str">
        <f t="shared" si="14"/>
        <v/>
      </c>
      <c r="AN62" s="65" t="str">
        <f>IF(Matchday!N64="","",Matchday!N64)</f>
        <v/>
      </c>
      <c r="AO62" s="58" t="str">
        <f>IF(Matchday!P64="","",Matchday!P64)</f>
        <v/>
      </c>
      <c r="AP62" s="66" t="str">
        <f>IF(Matchday!Q64="","",Matchday!Q64)</f>
        <v/>
      </c>
      <c r="AQ62" s="65" t="str">
        <f>IF(Matchday!R64="","",Matchday!R64)</f>
        <v/>
      </c>
      <c r="AR62" s="67" t="str">
        <f t="shared" si="15"/>
        <v/>
      </c>
      <c r="AS62" s="67" t="str">
        <f t="shared" si="16"/>
        <v/>
      </c>
      <c r="AT62" s="26" t="str">
        <f>IF(AB62="","Type the 3 odds on the Matchday tab",IF(Method!$B$55=TRUE(),"🛑 PAUSED — drawdown "&amp;TEXT(Method!$B$51,"0.0%")&amp;" ≥ "&amp;TEXT(Method!$B$52,"0.0%")&amp;". Set Method!B54=Y to override.",IF(AH62="BET",IF(AJ62=0,"Edge found but stake rounds under £"&amp;Method!$B$9&amp;" — skip","Value found: EV "&amp;TEXT(AF62,"0.0%")&amp;", edge "&amp;TEXT(AG62,"0.0%")),IF(AF62&lt;Method!$B$7,"Price too short — EV "&amp;TEXT(AF62,"0.0%")&amp;" (need "&amp;TEXT(Method!$B$7,"0.0%")&amp;"+)","Model ≈ market — edge "&amp;TEXT(AG62,"0.0%")&amp;" (need "&amp;TEXT(Method!$B$8,"0.0%")&amp;"+)"))))</f>
        <v>Type the 3 odds on the Matchday tab</v>
      </c>
      <c r="AU62" s="26" t="str">
        <f t="shared" si="17"/>
        <v/>
      </c>
      <c r="AV62" s="25" t="str">
        <f>IF(Matchday!O64="","",Matchday!O64)</f>
        <v/>
      </c>
      <c r="AW62" s="68"/>
      <c r="AX62" s="68"/>
      <c r="AY62" s="68"/>
      <c r="AZ62" s="68" t="str">
        <f t="shared" si="18"/>
        <v>· enter odds</v>
      </c>
      <c r="BA62" s="69">
        <f>IF(AX62&lt;&gt;"",AX62,IF(AH62&lt;&gt;"BET",0,IF(AI62*Method!$B$10/100&lt;Method!$B$9,0,ROUND(AI62*Method!$B$10/100,0))))</f>
        <v>0</v>
      </c>
      <c r="BB62" s="70">
        <v>0.0</v>
      </c>
      <c r="BC62" s="70">
        <v>0.2712572625464911</v>
      </c>
      <c r="BD62" s="70">
        <v>0.2834121054051252</v>
      </c>
      <c r="BE62" s="70">
        <v>0.4420486972345425</v>
      </c>
      <c r="BF62" s="71"/>
      <c r="BG62" s="70">
        <v>40.0</v>
      </c>
      <c r="BH62" s="71" t="s">
        <v>214</v>
      </c>
      <c r="BI62" s="70">
        <v>273.9</v>
      </c>
    </row>
    <row r="63" ht="15.0" customHeight="1">
      <c r="A63" s="25">
        <v>62.0</v>
      </c>
      <c r="B63" s="55">
        <v>46199.0</v>
      </c>
      <c r="C63" s="25" t="s">
        <v>255</v>
      </c>
      <c r="D63" s="56" t="s">
        <v>257</v>
      </c>
      <c r="E63" s="56" t="s">
        <v>258</v>
      </c>
      <c r="F63" s="56" t="s">
        <v>190</v>
      </c>
      <c r="G63" s="25" t="s">
        <v>191</v>
      </c>
      <c r="H63" s="25" t="s">
        <v>177</v>
      </c>
      <c r="I63" s="57">
        <v>0.5432609724405901</v>
      </c>
      <c r="J63" s="57">
        <v>0.2717801658988718</v>
      </c>
      <c r="K63" s="57">
        <v>0.18495886166053827</v>
      </c>
      <c r="L63" s="58" t="str">
        <f>IF(Matchday!E65="","",Matchday!E65)</f>
        <v/>
      </c>
      <c r="M63" s="58" t="str">
        <f>IF(Matchday!F65="","",Matchday!F65)</f>
        <v/>
      </c>
      <c r="N63" s="58" t="str">
        <f>IF(Matchday!G65="","",Matchday!G65)</f>
        <v/>
      </c>
      <c r="O63" s="59" t="str">
        <f t="shared" ref="O63:Q63" si="137">IF(L63="","",1/L63)</f>
        <v/>
      </c>
      <c r="P63" s="59" t="str">
        <f t="shared" si="137"/>
        <v/>
      </c>
      <c r="Q63" s="59" t="str">
        <f t="shared" si="137"/>
        <v/>
      </c>
      <c r="R63" s="59" t="str">
        <f t="shared" si="4"/>
        <v/>
      </c>
      <c r="S63" s="59" t="str">
        <f t="array" ref="S63">IF($R63="","",IF(Method!$B$56="proportional",O63/$R63,IF(Method!$B$56="power",IFERROR(INDEX(power_devig($L63,$M63,$N63),1,1),O63/$R63),IFERROR(INDEX(shin($L63,$M63,$N63),1,1),O63/$R63))))</f>
        <v/>
      </c>
      <c r="T63" s="59" t="str">
        <f t="array" ref="T63">IF($R63="","",IF(Method!$B$56="proportional",P63/$R63,IF(Method!$B$56="power",IFERROR(INDEX(power_devig($L63,$M63,$N63),2,1),P63/$R63),IFERROR(INDEX(shin($L63,$M63,$N63),2,1),P63/$R63))))</f>
        <v/>
      </c>
      <c r="U63" s="59" t="str">
        <f t="array" ref="U63">IF($R63="","",IF(Method!$B$56="proportional",Q63/$R63,IF(Method!$B$56="power",IFERROR(INDEX(power_devig($L63,$M63,$N63),3,1),Q63/$R63),IFERROR(INDEX(shin($L63,$M63,$N63),3,1),Q63/$R63))))</f>
        <v/>
      </c>
      <c r="V63" s="59" t="str">
        <f>IF(S63="","",Method!$B$4*I63+(1-Method!$B$4)*S63/($S63+$T63+$U63))</f>
        <v/>
      </c>
      <c r="W63" s="59" t="str">
        <f>IF(T63="","",Method!$B$4*J63+(1-Method!$B$4)*T63/($S63+$T63+$U63))</f>
        <v/>
      </c>
      <c r="X63" s="59" t="str">
        <f>IF(U63="","",Method!$B$4*K63+(1-Method!$B$4)*U63/($S63+$T63+$U63))</f>
        <v/>
      </c>
      <c r="Y63" s="60" t="str">
        <f t="shared" ref="Y63:AA63" si="138">IF(V63="","",V63*L63-1)</f>
        <v/>
      </c>
      <c r="Z63" s="60" t="str">
        <f t="shared" si="138"/>
        <v/>
      </c>
      <c r="AA63" s="60" t="str">
        <f t="shared" si="138"/>
        <v/>
      </c>
      <c r="AB63" s="56" t="str">
        <f t="shared" si="6"/>
        <v/>
      </c>
      <c r="AC63" s="56" t="str">
        <f t="shared" si="7"/>
        <v/>
      </c>
      <c r="AD63" s="61" t="str">
        <f t="shared" si="8"/>
        <v/>
      </c>
      <c r="AE63" s="28" t="str">
        <f t="shared" si="9"/>
        <v/>
      </c>
      <c r="AF63" s="60" t="str">
        <f t="shared" si="10"/>
        <v/>
      </c>
      <c r="AG63" s="60" t="str">
        <f t="shared" si="11"/>
        <v/>
      </c>
      <c r="AH63" s="62" t="str">
        <f>IF(AB63="","· enter odds",IF(AND(AF63&gt;=Method!$B$7,AG63&gt;=Method!$B$8),"BET","PASS"))</f>
        <v>· enter odds</v>
      </c>
      <c r="AI63" s="63">
        <f>IF(AH63&lt;&gt;"BET",0,ROUND(MIN(Method!$B$6,Method!$B$5*AL63)*100,1))</f>
        <v>0</v>
      </c>
      <c r="AJ63" s="64">
        <f>IF(OR(AH63&lt;&gt;"BET",Method!$B$55=TRUE()),0,IF(AI63*Method!$B$10/100&lt;Method!$B$9,0,ROUND(AI63*Method!$B$10/100,0)))</f>
        <v>0</v>
      </c>
      <c r="AK63" s="59" t="str">
        <f t="shared" si="12"/>
        <v/>
      </c>
      <c r="AL63" s="59" t="str">
        <f t="shared" si="13"/>
        <v/>
      </c>
      <c r="AM63" s="56" t="str">
        <f t="shared" si="14"/>
        <v/>
      </c>
      <c r="AN63" s="65" t="str">
        <f>IF(Matchday!N65="","",Matchday!N65)</f>
        <v/>
      </c>
      <c r="AO63" s="58" t="str">
        <f>IF(Matchday!P65="","",Matchday!P65)</f>
        <v/>
      </c>
      <c r="AP63" s="66" t="str">
        <f>IF(Matchday!Q65="","",Matchday!Q65)</f>
        <v/>
      </c>
      <c r="AQ63" s="65" t="str">
        <f>IF(Matchday!R65="","",Matchday!R65)</f>
        <v/>
      </c>
      <c r="AR63" s="67" t="str">
        <f t="shared" si="15"/>
        <v/>
      </c>
      <c r="AS63" s="67" t="str">
        <f t="shared" si="16"/>
        <v/>
      </c>
      <c r="AT63" s="26" t="str">
        <f>IF(AB63="","Type the 3 odds on the Matchday tab",IF(Method!$B$55=TRUE(),"🛑 PAUSED — drawdown "&amp;TEXT(Method!$B$51,"0.0%")&amp;" ≥ "&amp;TEXT(Method!$B$52,"0.0%")&amp;". Set Method!B54=Y to override.",IF(AH63="BET",IF(AJ63=0,"Edge found but stake rounds under £"&amp;Method!$B$9&amp;" — skip","Value found: EV "&amp;TEXT(AF63,"0.0%")&amp;", edge "&amp;TEXT(AG63,"0.0%")),IF(AF63&lt;Method!$B$7,"Price too short — EV "&amp;TEXT(AF63,"0.0%")&amp;" (need "&amp;TEXT(Method!$B$7,"0.0%")&amp;"+)","Model ≈ market — edge "&amp;TEXT(AG63,"0.0%")&amp;" (need "&amp;TEXT(Method!$B$8,"0.0%")&amp;"+)"))))</f>
        <v>Type the 3 odds on the Matchday tab</v>
      </c>
      <c r="AU63" s="26" t="str">
        <f t="shared" si="17"/>
        <v/>
      </c>
      <c r="AV63" s="25" t="str">
        <f>IF(Matchday!O65="","",Matchday!O65)</f>
        <v/>
      </c>
      <c r="AW63" s="68"/>
      <c r="AX63" s="68"/>
      <c r="AY63" s="68"/>
      <c r="AZ63" s="68" t="str">
        <f t="shared" si="18"/>
        <v>· enter odds</v>
      </c>
      <c r="BA63" s="69">
        <f>IF(AX63&lt;&gt;"",AX63,IF(AH63&lt;&gt;"BET",0,IF(AI63*Method!$B$10/100&lt;Method!$B$9,0,ROUND(AI63*Method!$B$10/100,0))))</f>
        <v>0</v>
      </c>
      <c r="BB63" s="70">
        <v>0.0</v>
      </c>
      <c r="BC63" s="70">
        <v>0.5279158962151882</v>
      </c>
      <c r="BD63" s="70">
        <v>0.28299150678929214</v>
      </c>
      <c r="BE63" s="70">
        <v>0.18984689859924542</v>
      </c>
      <c r="BG63" s="70">
        <v>76.0</v>
      </c>
      <c r="BH63" s="71" t="s">
        <v>192</v>
      </c>
      <c r="BI63" s="70">
        <v>540.1</v>
      </c>
    </row>
    <row r="64" ht="15.0" customHeight="1">
      <c r="A64" s="25">
        <v>63.0</v>
      </c>
      <c r="B64" s="55">
        <v>46199.0</v>
      </c>
      <c r="C64" s="25" t="s">
        <v>178</v>
      </c>
      <c r="D64" s="56" t="s">
        <v>250</v>
      </c>
      <c r="E64" s="56" t="s">
        <v>240</v>
      </c>
      <c r="F64" s="56" t="s">
        <v>182</v>
      </c>
      <c r="G64" s="25" t="s">
        <v>177</v>
      </c>
      <c r="H64" s="25" t="s">
        <v>183</v>
      </c>
      <c r="I64" s="57">
        <v>0.075908994009866</v>
      </c>
      <c r="J64" s="57">
        <v>0.22854898780739283</v>
      </c>
      <c r="K64" s="57">
        <v>0.6955420181827412</v>
      </c>
      <c r="L64" s="58" t="str">
        <f>IF(Matchday!E66="","",Matchday!E66)</f>
        <v/>
      </c>
      <c r="M64" s="58" t="str">
        <f>IF(Matchday!F66="","",Matchday!F66)</f>
        <v/>
      </c>
      <c r="N64" s="58" t="str">
        <f>IF(Matchday!G66="","",Matchday!G66)</f>
        <v/>
      </c>
      <c r="O64" s="59" t="str">
        <f t="shared" ref="O64:Q64" si="139">IF(L64="","",1/L64)</f>
        <v/>
      </c>
      <c r="P64" s="59" t="str">
        <f t="shared" si="139"/>
        <v/>
      </c>
      <c r="Q64" s="59" t="str">
        <f t="shared" si="139"/>
        <v/>
      </c>
      <c r="R64" s="59" t="str">
        <f t="shared" si="4"/>
        <v/>
      </c>
      <c r="S64" s="59" t="str">
        <f t="array" ref="S64">IF($R64="","",IF(Method!$B$56="proportional",O64/$R64,IF(Method!$B$56="power",IFERROR(INDEX(power_devig($L64,$M64,$N64),1,1),O64/$R64),IFERROR(INDEX(shin($L64,$M64,$N64),1,1),O64/$R64))))</f>
        <v/>
      </c>
      <c r="T64" s="59" t="str">
        <f t="array" ref="T64">IF($R64="","",IF(Method!$B$56="proportional",P64/$R64,IF(Method!$B$56="power",IFERROR(INDEX(power_devig($L64,$M64,$N64),2,1),P64/$R64),IFERROR(INDEX(shin($L64,$M64,$N64),2,1),P64/$R64))))</f>
        <v/>
      </c>
      <c r="U64" s="59" t="str">
        <f t="array" ref="U64">IF($R64="","",IF(Method!$B$56="proportional",Q64/$R64,IF(Method!$B$56="power",IFERROR(INDEX(power_devig($L64,$M64,$N64),3,1),Q64/$R64),IFERROR(INDEX(shin($L64,$M64,$N64),3,1),Q64/$R64))))</f>
        <v/>
      </c>
      <c r="V64" s="59" t="str">
        <f>IF(S64="","",Method!$B$4*I64+(1-Method!$B$4)*S64/($S64+$T64+$U64))</f>
        <v/>
      </c>
      <c r="W64" s="59" t="str">
        <f>IF(T64="","",Method!$B$4*J64+(1-Method!$B$4)*T64/($S64+$T64+$U64))</f>
        <v/>
      </c>
      <c r="X64" s="59" t="str">
        <f>IF(U64="","",Method!$B$4*K64+(1-Method!$B$4)*U64/($S64+$T64+$U64))</f>
        <v/>
      </c>
      <c r="Y64" s="60" t="str">
        <f t="shared" ref="Y64:AA64" si="140">IF(V64="","",V64*L64-1)</f>
        <v/>
      </c>
      <c r="Z64" s="60" t="str">
        <f t="shared" si="140"/>
        <v/>
      </c>
      <c r="AA64" s="60" t="str">
        <f t="shared" si="140"/>
        <v/>
      </c>
      <c r="AB64" s="56" t="str">
        <f t="shared" si="6"/>
        <v/>
      </c>
      <c r="AC64" s="56" t="str">
        <f t="shared" si="7"/>
        <v/>
      </c>
      <c r="AD64" s="61" t="str">
        <f t="shared" si="8"/>
        <v/>
      </c>
      <c r="AE64" s="28" t="str">
        <f t="shared" si="9"/>
        <v/>
      </c>
      <c r="AF64" s="60" t="str">
        <f t="shared" si="10"/>
        <v/>
      </c>
      <c r="AG64" s="60" t="str">
        <f t="shared" si="11"/>
        <v/>
      </c>
      <c r="AH64" s="62" t="str">
        <f>IF(AB64="","· enter odds",IF(AND(AF64&gt;=Method!$B$7,AG64&gt;=Method!$B$8),"BET","PASS"))</f>
        <v>· enter odds</v>
      </c>
      <c r="AI64" s="63">
        <f>IF(AH64&lt;&gt;"BET",0,ROUND(MIN(Method!$B$6,Method!$B$5*AL64)*100,1))</f>
        <v>0</v>
      </c>
      <c r="AJ64" s="64">
        <f>IF(OR(AH64&lt;&gt;"BET",Method!$B$55=TRUE()),0,IF(AI64*Method!$B$10/100&lt;Method!$B$9,0,ROUND(AI64*Method!$B$10/100,0)))</f>
        <v>0</v>
      </c>
      <c r="AK64" s="59" t="str">
        <f t="shared" si="12"/>
        <v/>
      </c>
      <c r="AL64" s="59" t="str">
        <f t="shared" si="13"/>
        <v/>
      </c>
      <c r="AM64" s="56" t="str">
        <f t="shared" si="14"/>
        <v/>
      </c>
      <c r="AN64" s="65" t="str">
        <f>IF(Matchday!N66="","",Matchday!N66)</f>
        <v/>
      </c>
      <c r="AO64" s="58" t="str">
        <f>IF(Matchday!P66="","",Matchday!P66)</f>
        <v/>
      </c>
      <c r="AP64" s="66" t="str">
        <f>IF(Matchday!Q66="","",Matchday!Q66)</f>
        <v/>
      </c>
      <c r="AQ64" s="65" t="str">
        <f>IF(Matchday!R66="","",Matchday!R66)</f>
        <v/>
      </c>
      <c r="AR64" s="67" t="str">
        <f t="shared" si="15"/>
        <v/>
      </c>
      <c r="AS64" s="67" t="str">
        <f t="shared" si="16"/>
        <v/>
      </c>
      <c r="AT64" s="26" t="str">
        <f>IF(AB64="","Type the 3 odds on the Matchday tab",IF(Method!$B$55=TRUE(),"🛑 PAUSED — drawdown "&amp;TEXT(Method!$B$51,"0.0%")&amp;" ≥ "&amp;TEXT(Method!$B$52,"0.0%")&amp;". Set Method!B54=Y to override.",IF(AH64="BET",IF(AJ64=0,"Edge found but stake rounds under £"&amp;Method!$B$9&amp;" — skip","Value found: EV "&amp;TEXT(AF64,"0.0%")&amp;", edge "&amp;TEXT(AG64,"0.0%")),IF(AF64&lt;Method!$B$7,"Price too short — EV "&amp;TEXT(AF64,"0.0%")&amp;" (need "&amp;TEXT(Method!$B$7,"0.0%")&amp;"+)","Model ≈ market — edge "&amp;TEXT(AG64,"0.0%")&amp;" (need "&amp;TEXT(Method!$B$8,"0.0%")&amp;"+)"))))</f>
        <v>Type the 3 odds on the Matchday tab</v>
      </c>
      <c r="AU64" s="26" t="str">
        <f t="shared" si="17"/>
        <v/>
      </c>
      <c r="AV64" s="25" t="str">
        <f>IF(Matchday!O66="","",Matchday!O66)</f>
        <v/>
      </c>
      <c r="AW64" s="68"/>
      <c r="AX64" s="68"/>
      <c r="AY64" s="68"/>
      <c r="AZ64" s="68" t="str">
        <f t="shared" si="18"/>
        <v>· enter odds</v>
      </c>
      <c r="BA64" s="69">
        <f>IF(AX64&lt;&gt;"",AX64,IF(AH64&lt;&gt;"BET",0,IF(AI64*Method!$B$10/100&lt;Method!$B$9,0,ROUND(AI64*Method!$B$10/100,0))))</f>
        <v>0</v>
      </c>
      <c r="BB64" s="70">
        <v>0.0</v>
      </c>
      <c r="BC64" s="70">
        <v>0.06915916270393065</v>
      </c>
      <c r="BD64" s="70">
        <v>0.25138597975176097</v>
      </c>
      <c r="BE64" s="70">
        <v>0.6782306199815388</v>
      </c>
      <c r="BG64" s="70">
        <v>1560.0</v>
      </c>
      <c r="BH64" s="71" t="s">
        <v>186</v>
      </c>
      <c r="BI64" s="70">
        <v>2439.1</v>
      </c>
    </row>
    <row r="65" ht="15.0" customHeight="1">
      <c r="A65" s="25">
        <v>64.0</v>
      </c>
      <c r="B65" s="55">
        <v>46199.0</v>
      </c>
      <c r="C65" s="25" t="s">
        <v>178</v>
      </c>
      <c r="D65" s="56" t="s">
        <v>241</v>
      </c>
      <c r="E65" s="56" t="s">
        <v>249</v>
      </c>
      <c r="F65" s="56" t="s">
        <v>223</v>
      </c>
      <c r="G65" s="25" t="s">
        <v>177</v>
      </c>
      <c r="H65" s="25" t="s">
        <v>198</v>
      </c>
      <c r="I65" s="57">
        <v>0.3207841019782869</v>
      </c>
      <c r="J65" s="57">
        <v>0.32095016766100704</v>
      </c>
      <c r="K65" s="57">
        <v>0.35826573036070597</v>
      </c>
      <c r="L65" s="58" t="str">
        <f>IF(Matchday!E67="","",Matchday!E67)</f>
        <v/>
      </c>
      <c r="M65" s="58" t="str">
        <f>IF(Matchday!F67="","",Matchday!F67)</f>
        <v/>
      </c>
      <c r="N65" s="58" t="str">
        <f>IF(Matchday!G67="","",Matchday!G67)</f>
        <v/>
      </c>
      <c r="O65" s="59" t="str">
        <f t="shared" ref="O65:Q65" si="141">IF(L65="","",1/L65)</f>
        <v/>
      </c>
      <c r="P65" s="59" t="str">
        <f t="shared" si="141"/>
        <v/>
      </c>
      <c r="Q65" s="59" t="str">
        <f t="shared" si="141"/>
        <v/>
      </c>
      <c r="R65" s="59" t="str">
        <f t="shared" si="4"/>
        <v/>
      </c>
      <c r="S65" s="59" t="str">
        <f t="array" ref="S65">IF($R65="","",IF(Method!$B$56="proportional",O65/$R65,IF(Method!$B$56="power",IFERROR(INDEX(power_devig($L65,$M65,$N65),1,1),O65/$R65),IFERROR(INDEX(shin($L65,$M65,$N65),1,1),O65/$R65))))</f>
        <v/>
      </c>
      <c r="T65" s="59" t="str">
        <f t="array" ref="T65">IF($R65="","",IF(Method!$B$56="proportional",P65/$R65,IF(Method!$B$56="power",IFERROR(INDEX(power_devig($L65,$M65,$N65),2,1),P65/$R65),IFERROR(INDEX(shin($L65,$M65,$N65),2,1),P65/$R65))))</f>
        <v/>
      </c>
      <c r="U65" s="59" t="str">
        <f t="array" ref="U65">IF($R65="","",IF(Method!$B$56="proportional",Q65/$R65,IF(Method!$B$56="power",IFERROR(INDEX(power_devig($L65,$M65,$N65),3,1),Q65/$R65),IFERROR(INDEX(shin($L65,$M65,$N65),3,1),Q65/$R65))))</f>
        <v/>
      </c>
      <c r="V65" s="59" t="str">
        <f>IF(S65="","",Method!$B$4*I65+(1-Method!$B$4)*S65/($S65+$T65+$U65))</f>
        <v/>
      </c>
      <c r="W65" s="59" t="str">
        <f>IF(T65="","",Method!$B$4*J65+(1-Method!$B$4)*T65/($S65+$T65+$U65))</f>
        <v/>
      </c>
      <c r="X65" s="59" t="str">
        <f>IF(U65="","",Method!$B$4*K65+(1-Method!$B$4)*U65/($S65+$T65+$U65))</f>
        <v/>
      </c>
      <c r="Y65" s="60" t="str">
        <f t="shared" ref="Y65:AA65" si="142">IF(V65="","",V65*L65-1)</f>
        <v/>
      </c>
      <c r="Z65" s="60" t="str">
        <f t="shared" si="142"/>
        <v/>
      </c>
      <c r="AA65" s="60" t="str">
        <f t="shared" si="142"/>
        <v/>
      </c>
      <c r="AB65" s="56" t="str">
        <f t="shared" si="6"/>
        <v/>
      </c>
      <c r="AC65" s="56" t="str">
        <f t="shared" si="7"/>
        <v/>
      </c>
      <c r="AD65" s="61" t="str">
        <f t="shared" si="8"/>
        <v/>
      </c>
      <c r="AE65" s="28" t="str">
        <f t="shared" si="9"/>
        <v/>
      </c>
      <c r="AF65" s="60" t="str">
        <f t="shared" si="10"/>
        <v/>
      </c>
      <c r="AG65" s="60" t="str">
        <f t="shared" si="11"/>
        <v/>
      </c>
      <c r="AH65" s="62" t="str">
        <f>IF(AB65="","· enter odds",IF(AND(AF65&gt;=Method!$B$7,AG65&gt;=Method!$B$8),"BET","PASS"))</f>
        <v>· enter odds</v>
      </c>
      <c r="AI65" s="63">
        <f>IF(AH65&lt;&gt;"BET",0,ROUND(MIN(Method!$B$6,Method!$B$5*AL65)*100,1))</f>
        <v>0</v>
      </c>
      <c r="AJ65" s="64">
        <f>IF(OR(AH65&lt;&gt;"BET",Method!$B$55=TRUE()),0,IF(AI65*Method!$B$10/100&lt;Method!$B$9,0,ROUND(AI65*Method!$B$10/100,0)))</f>
        <v>0</v>
      </c>
      <c r="AK65" s="59" t="str">
        <f t="shared" si="12"/>
        <v/>
      </c>
      <c r="AL65" s="59" t="str">
        <f t="shared" si="13"/>
        <v/>
      </c>
      <c r="AM65" s="56" t="str">
        <f t="shared" si="14"/>
        <v/>
      </c>
      <c r="AN65" s="65" t="str">
        <f>IF(Matchday!N67="","",Matchday!N67)</f>
        <v/>
      </c>
      <c r="AO65" s="58" t="str">
        <f>IF(Matchday!P67="","",Matchday!P67)</f>
        <v/>
      </c>
      <c r="AP65" s="66" t="str">
        <f>IF(Matchday!Q67="","",Matchday!Q67)</f>
        <v/>
      </c>
      <c r="AQ65" s="65" t="str">
        <f>IF(Matchday!R67="","",Matchday!R67)</f>
        <v/>
      </c>
      <c r="AR65" s="67" t="str">
        <f t="shared" si="15"/>
        <v/>
      </c>
      <c r="AS65" s="67" t="str">
        <f t="shared" si="16"/>
        <v/>
      </c>
      <c r="AT65" s="26" t="str">
        <f>IF(AB65="","Type the 3 odds on the Matchday tab",IF(Method!$B$55=TRUE(),"🛑 PAUSED — drawdown "&amp;TEXT(Method!$B$51,"0.0%")&amp;" ≥ "&amp;TEXT(Method!$B$52,"0.0%")&amp;". Set Method!B54=Y to override.",IF(AH65="BET",IF(AJ65=0,"Edge found but stake rounds under £"&amp;Method!$B$9&amp;" — skip","Value found: EV "&amp;TEXT(AF65,"0.0%")&amp;", edge "&amp;TEXT(AG65,"0.0%")),IF(AF65&lt;Method!$B$7,"Price too short — EV "&amp;TEXT(AF65,"0.0%")&amp;" (need "&amp;TEXT(Method!$B$7,"0.0%")&amp;"+)","Model ≈ market — edge "&amp;TEXT(AG65,"0.0%")&amp;" (need "&amp;TEXT(Method!$B$8,"0.0%")&amp;"+)"))))</f>
        <v>Type the 3 odds on the Matchday tab</v>
      </c>
      <c r="AU65" s="26" t="str">
        <f t="shared" si="17"/>
        <v/>
      </c>
      <c r="AV65" s="25" t="str">
        <f>IF(Matchday!O67="","",Matchday!O67)</f>
        <v/>
      </c>
      <c r="AW65" s="68"/>
      <c r="AX65" s="68"/>
      <c r="AY65" s="68"/>
      <c r="AZ65" s="68" t="str">
        <f t="shared" si="18"/>
        <v>· enter odds</v>
      </c>
      <c r="BA65" s="69">
        <f>IF(AX65&lt;&gt;"",AX65,IF(AH65&lt;&gt;"BET",0,IF(AI65*Method!$B$10/100&lt;Method!$B$9,0,ROUND(AI65*Method!$B$10/100,0))))</f>
        <v>0</v>
      </c>
      <c r="BB65" s="70">
        <v>0.0</v>
      </c>
      <c r="BC65" s="70">
        <v>0.3099672283868005</v>
      </c>
      <c r="BD65" s="70">
        <v>0.2962962962962963</v>
      </c>
      <c r="BE65" s="70">
        <v>0.36825678588078437</v>
      </c>
      <c r="BF65" s="71"/>
      <c r="BG65" s="70">
        <v>15.0</v>
      </c>
      <c r="BH65" s="71" t="s">
        <v>224</v>
      </c>
      <c r="BI65" s="70">
        <v>1547.1</v>
      </c>
    </row>
    <row r="66" ht="15.0" customHeight="1">
      <c r="A66" s="25">
        <v>65.0</v>
      </c>
      <c r="B66" s="55">
        <v>46199.0</v>
      </c>
      <c r="C66" s="25" t="s">
        <v>245</v>
      </c>
      <c r="D66" s="56" t="s">
        <v>247</v>
      </c>
      <c r="E66" s="56" t="s">
        <v>253</v>
      </c>
      <c r="F66" s="56" t="s">
        <v>248</v>
      </c>
      <c r="G66" s="25" t="s">
        <v>209</v>
      </c>
      <c r="H66" s="25" t="s">
        <v>286</v>
      </c>
      <c r="I66" s="57">
        <v>0.30597121382642123</v>
      </c>
      <c r="J66" s="57">
        <v>0.31514956459745647</v>
      </c>
      <c r="K66" s="57">
        <v>0.3788792215761223</v>
      </c>
      <c r="L66" s="58" t="str">
        <f>IF(Matchday!E68="","",Matchday!E68)</f>
        <v/>
      </c>
      <c r="M66" s="58" t="str">
        <f>IF(Matchday!F68="","",Matchday!F68)</f>
        <v/>
      </c>
      <c r="N66" s="58" t="str">
        <f>IF(Matchday!G68="","",Matchday!G68)</f>
        <v/>
      </c>
      <c r="O66" s="59" t="str">
        <f t="shared" ref="O66:Q66" si="143">IF(L66="","",1/L66)</f>
        <v/>
      </c>
      <c r="P66" s="59" t="str">
        <f t="shared" si="143"/>
        <v/>
      </c>
      <c r="Q66" s="59" t="str">
        <f t="shared" si="143"/>
        <v/>
      </c>
      <c r="R66" s="59" t="str">
        <f t="shared" si="4"/>
        <v/>
      </c>
      <c r="S66" s="59" t="str">
        <f t="array" ref="S66">IF($R66="","",IF(Method!$B$56="proportional",O66/$R66,IF(Method!$B$56="power",IFERROR(INDEX(power_devig($L66,$M66,$N66),1,1),O66/$R66),IFERROR(INDEX(shin($L66,$M66,$N66),1,1),O66/$R66))))</f>
        <v/>
      </c>
      <c r="T66" s="59" t="str">
        <f t="array" ref="T66">IF($R66="","",IF(Method!$B$56="proportional",P66/$R66,IF(Method!$B$56="power",IFERROR(INDEX(power_devig($L66,$M66,$N66),2,1),P66/$R66),IFERROR(INDEX(shin($L66,$M66,$N66),2,1),P66/$R66))))</f>
        <v/>
      </c>
      <c r="U66" s="59" t="str">
        <f t="array" ref="U66">IF($R66="","",IF(Method!$B$56="proportional",Q66/$R66,IF(Method!$B$56="power",IFERROR(INDEX(power_devig($L66,$M66,$N66),3,1),Q66/$R66),IFERROR(INDEX(shin($L66,$M66,$N66),3,1),Q66/$R66))))</f>
        <v/>
      </c>
      <c r="V66" s="59" t="str">
        <f>IF(S66="","",Method!$B$4*I66+(1-Method!$B$4)*S66/($S66+$T66+$U66))</f>
        <v/>
      </c>
      <c r="W66" s="59" t="str">
        <f>IF(T66="","",Method!$B$4*J66+(1-Method!$B$4)*T66/($S66+$T66+$U66))</f>
        <v/>
      </c>
      <c r="X66" s="59" t="str">
        <f>IF(U66="","",Method!$B$4*K66+(1-Method!$B$4)*U66/($S66+$T66+$U66))</f>
        <v/>
      </c>
      <c r="Y66" s="60" t="str">
        <f t="shared" ref="Y66:AA66" si="144">IF(V66="","",V66*L66-1)</f>
        <v/>
      </c>
      <c r="Z66" s="60" t="str">
        <f t="shared" si="144"/>
        <v/>
      </c>
      <c r="AA66" s="60" t="str">
        <f t="shared" si="144"/>
        <v/>
      </c>
      <c r="AB66" s="56" t="str">
        <f t="shared" si="6"/>
        <v/>
      </c>
      <c r="AC66" s="56" t="str">
        <f t="shared" si="7"/>
        <v/>
      </c>
      <c r="AD66" s="61" t="str">
        <f t="shared" si="8"/>
        <v/>
      </c>
      <c r="AE66" s="28" t="str">
        <f t="shared" si="9"/>
        <v/>
      </c>
      <c r="AF66" s="60" t="str">
        <f t="shared" si="10"/>
        <v/>
      </c>
      <c r="AG66" s="60" t="str">
        <f t="shared" si="11"/>
        <v/>
      </c>
      <c r="AH66" s="62" t="str">
        <f>IF(AB66="","· enter odds",IF(AND(AF66&gt;=Method!$B$7,AG66&gt;=Method!$B$8),"BET","PASS"))</f>
        <v>· enter odds</v>
      </c>
      <c r="AI66" s="63">
        <f>IF(AH66&lt;&gt;"BET",0,ROUND(MIN(Method!$B$6,Method!$B$5*AL66)*100,1))</f>
        <v>0</v>
      </c>
      <c r="AJ66" s="64">
        <f>IF(OR(AH66&lt;&gt;"BET",Method!$B$55=TRUE()),0,IF(AI66*Method!$B$10/100&lt;Method!$B$9,0,ROUND(AI66*Method!$B$10/100,0)))</f>
        <v>0</v>
      </c>
      <c r="AK66" s="59" t="str">
        <f t="shared" si="12"/>
        <v/>
      </c>
      <c r="AL66" s="59" t="str">
        <f t="shared" si="13"/>
        <v/>
      </c>
      <c r="AM66" s="56" t="str">
        <f t="shared" si="14"/>
        <v/>
      </c>
      <c r="AN66" s="65" t="str">
        <f>IF(Matchday!N68="","",Matchday!N68)</f>
        <v/>
      </c>
      <c r="AO66" s="58" t="str">
        <f>IF(Matchday!P68="","",Matchday!P68)</f>
        <v/>
      </c>
      <c r="AP66" s="66" t="str">
        <f>IF(Matchday!Q68="","",Matchday!Q68)</f>
        <v/>
      </c>
      <c r="AQ66" s="65" t="str">
        <f>IF(Matchday!R68="","",Matchday!R68)</f>
        <v/>
      </c>
      <c r="AR66" s="67" t="str">
        <f t="shared" si="15"/>
        <v/>
      </c>
      <c r="AS66" s="67" t="str">
        <f t="shared" si="16"/>
        <v/>
      </c>
      <c r="AT66" s="26" t="str">
        <f>IF(AB66="","Type the 3 odds on the Matchday tab",IF(Method!$B$55=TRUE(),"🛑 PAUSED — drawdown "&amp;TEXT(Method!$B$51,"0.0%")&amp;" ≥ "&amp;TEXT(Method!$B$52,"0.0%")&amp;". Set Method!B54=Y to override.",IF(AH66="BET",IF(AJ66=0,"Edge found but stake rounds under £"&amp;Method!$B$9&amp;" — skip","Value found: EV "&amp;TEXT(AF66,"0.0%")&amp;", edge "&amp;TEXT(AG66,"0.0%")),IF(AF66&lt;Method!$B$7,"Price too short — EV "&amp;TEXT(AF66,"0.0%")&amp;" (need "&amp;TEXT(Method!$B$7,"0.0%")&amp;"+)","Model ≈ market — edge "&amp;TEXT(AG66,"0.0%")&amp;" (need "&amp;TEXT(Method!$B$8,"0.0%")&amp;"+)"))))</f>
        <v>Type the 3 odds on the Matchday tab</v>
      </c>
      <c r="AU66" s="26" t="str">
        <f t="shared" si="17"/>
        <v/>
      </c>
      <c r="AV66" s="25" t="str">
        <f>IF(Matchday!O68="","",Matchday!O68)</f>
        <v/>
      </c>
      <c r="AW66" s="68"/>
      <c r="AX66" s="68"/>
      <c r="AY66" s="68"/>
      <c r="AZ66" s="68" t="str">
        <f t="shared" si="18"/>
        <v>· enter odds</v>
      </c>
      <c r="BA66" s="69">
        <f>IF(AX66&lt;&gt;"",AX66,IF(AH66&lt;&gt;"BET",0,IF(AI66*Method!$B$10/100&lt;Method!$B$9,0,ROUND(AI66*Method!$B$10/100,0))))</f>
        <v>0</v>
      </c>
      <c r="BB66" s="70">
        <v>0.0</v>
      </c>
      <c r="BC66" s="70">
        <v>0.29422484033800117</v>
      </c>
      <c r="BD66" s="70">
        <v>0.2962962962962963</v>
      </c>
      <c r="BE66" s="70">
        <v>0.38626193022951616</v>
      </c>
      <c r="BG66" s="70">
        <v>5.0</v>
      </c>
      <c r="BH66" s="71" t="s">
        <v>192</v>
      </c>
      <c r="BI66" s="70">
        <v>195.6</v>
      </c>
    </row>
    <row r="67" ht="15.0" customHeight="1">
      <c r="A67" s="25">
        <v>66.0</v>
      </c>
      <c r="B67" s="55">
        <v>46199.0</v>
      </c>
      <c r="C67" s="25" t="s">
        <v>245</v>
      </c>
      <c r="D67" s="56" t="s">
        <v>254</v>
      </c>
      <c r="E67" s="56" t="s">
        <v>246</v>
      </c>
      <c r="F67" s="56" t="s">
        <v>217</v>
      </c>
      <c r="G67" s="25" t="s">
        <v>209</v>
      </c>
      <c r="H67" s="25" t="s">
        <v>286</v>
      </c>
      <c r="I67" s="57">
        <v>0.19911746863688684</v>
      </c>
      <c r="J67" s="57">
        <v>0.2703448358646643</v>
      </c>
      <c r="K67" s="57">
        <v>0.530537695498449</v>
      </c>
      <c r="L67" s="58" t="str">
        <f>IF(Matchday!E69="","",Matchday!E69)</f>
        <v/>
      </c>
      <c r="M67" s="58" t="str">
        <f>IF(Matchday!F69="","",Matchday!F69)</f>
        <v/>
      </c>
      <c r="N67" s="58" t="str">
        <f>IF(Matchday!G69="","",Matchday!G69)</f>
        <v/>
      </c>
      <c r="O67" s="59" t="str">
        <f t="shared" ref="O67:Q67" si="145">IF(L67="","",1/L67)</f>
        <v/>
      </c>
      <c r="P67" s="59" t="str">
        <f t="shared" si="145"/>
        <v/>
      </c>
      <c r="Q67" s="59" t="str">
        <f t="shared" si="145"/>
        <v/>
      </c>
      <c r="R67" s="59" t="str">
        <f t="shared" si="4"/>
        <v/>
      </c>
      <c r="S67" s="59" t="str">
        <f t="array" ref="S67">IF($R67="","",IF(Method!$B$56="proportional",O67/$R67,IF(Method!$B$56="power",IFERROR(INDEX(power_devig($L67,$M67,$N67),1,1),O67/$R67),IFERROR(INDEX(shin($L67,$M67,$N67),1,1),O67/$R67))))</f>
        <v/>
      </c>
      <c r="T67" s="59" t="str">
        <f t="array" ref="T67">IF($R67="","",IF(Method!$B$56="proportional",P67/$R67,IF(Method!$B$56="power",IFERROR(INDEX(power_devig($L67,$M67,$N67),2,1),P67/$R67),IFERROR(INDEX(shin($L67,$M67,$N67),2,1),P67/$R67))))</f>
        <v/>
      </c>
      <c r="U67" s="59" t="str">
        <f t="array" ref="U67">IF($R67="","",IF(Method!$B$56="proportional",Q67/$R67,IF(Method!$B$56="power",IFERROR(INDEX(power_devig($L67,$M67,$N67),3,1),Q67/$R67),IFERROR(INDEX(shin($L67,$M67,$N67),3,1),Q67/$R67))))</f>
        <v/>
      </c>
      <c r="V67" s="59" t="str">
        <f>IF(S67="","",Method!$B$4*I67+(1-Method!$B$4)*S67/($S67+$T67+$U67))</f>
        <v/>
      </c>
      <c r="W67" s="59" t="str">
        <f>IF(T67="","",Method!$B$4*J67+(1-Method!$B$4)*T67/($S67+$T67+$U67))</f>
        <v/>
      </c>
      <c r="X67" s="59" t="str">
        <f>IF(U67="","",Method!$B$4*K67+(1-Method!$B$4)*U67/($S67+$T67+$U67))</f>
        <v/>
      </c>
      <c r="Y67" s="60" t="str">
        <f t="shared" ref="Y67:AA67" si="146">IF(V67="","",V67*L67-1)</f>
        <v/>
      </c>
      <c r="Z67" s="60" t="str">
        <f t="shared" si="146"/>
        <v/>
      </c>
      <c r="AA67" s="60" t="str">
        <f t="shared" si="146"/>
        <v/>
      </c>
      <c r="AB67" s="56" t="str">
        <f t="shared" si="6"/>
        <v/>
      </c>
      <c r="AC67" s="56" t="str">
        <f t="shared" si="7"/>
        <v/>
      </c>
      <c r="AD67" s="61" t="str">
        <f t="shared" si="8"/>
        <v/>
      </c>
      <c r="AE67" s="28" t="str">
        <f t="shared" si="9"/>
        <v/>
      </c>
      <c r="AF67" s="60" t="str">
        <f t="shared" si="10"/>
        <v/>
      </c>
      <c r="AG67" s="60" t="str">
        <f t="shared" si="11"/>
        <v/>
      </c>
      <c r="AH67" s="62" t="str">
        <f>IF(AB67="","· enter odds",IF(AND(AF67&gt;=Method!$B$7,AG67&gt;=Method!$B$8),"BET","PASS"))</f>
        <v>· enter odds</v>
      </c>
      <c r="AI67" s="63">
        <f>IF(AH67&lt;&gt;"BET",0,ROUND(MIN(Method!$B$6,Method!$B$5*AL67)*100,1))</f>
        <v>0</v>
      </c>
      <c r="AJ67" s="64">
        <f>IF(OR(AH67&lt;&gt;"BET",Method!$B$55=TRUE()),0,IF(AI67*Method!$B$10/100&lt;Method!$B$9,0,ROUND(AI67*Method!$B$10/100,0)))</f>
        <v>0</v>
      </c>
      <c r="AK67" s="59" t="str">
        <f t="shared" si="12"/>
        <v/>
      </c>
      <c r="AL67" s="59" t="str">
        <f t="shared" si="13"/>
        <v/>
      </c>
      <c r="AM67" s="56" t="str">
        <f t="shared" si="14"/>
        <v/>
      </c>
      <c r="AN67" s="65" t="str">
        <f>IF(Matchday!N69="","",Matchday!N69)</f>
        <v/>
      </c>
      <c r="AO67" s="58" t="str">
        <f>IF(Matchday!P69="","",Matchday!P69)</f>
        <v/>
      </c>
      <c r="AP67" s="66" t="str">
        <f>IF(Matchday!Q69="","",Matchday!Q69)</f>
        <v/>
      </c>
      <c r="AQ67" s="65" t="str">
        <f>IF(Matchday!R69="","",Matchday!R69)</f>
        <v/>
      </c>
      <c r="AR67" s="67" t="str">
        <f t="shared" si="15"/>
        <v/>
      </c>
      <c r="AS67" s="67" t="str">
        <f t="shared" si="16"/>
        <v/>
      </c>
      <c r="AT67" s="26" t="str">
        <f>IF(AB67="","Type the 3 odds on the Matchday tab",IF(Method!$B$55=TRUE(),"🛑 PAUSED — drawdown "&amp;TEXT(Method!$B$51,"0.0%")&amp;" ≥ "&amp;TEXT(Method!$B$52,"0.0%")&amp;". Set Method!B54=Y to override.",IF(AH67="BET",IF(AJ67=0,"Edge found but stake rounds under £"&amp;Method!$B$9&amp;" — skip","Value found: EV "&amp;TEXT(AF67,"0.0%")&amp;", edge "&amp;TEXT(AG67,"0.0%")),IF(AF67&lt;Method!$B$7,"Price too short — EV "&amp;TEXT(AF67,"0.0%")&amp;" (need "&amp;TEXT(Method!$B$7,"0.0%")&amp;"+)","Model ≈ market — edge "&amp;TEXT(AG67,"0.0%")&amp;" (need "&amp;TEXT(Method!$B$8,"0.0%")&amp;"+)"))))</f>
        <v>Type the 3 odds on the Matchday tab</v>
      </c>
      <c r="AU67" s="26" t="str">
        <f t="shared" si="17"/>
        <v/>
      </c>
      <c r="AV67" s="25" t="str">
        <f>IF(Matchday!O69="","",Matchday!O69)</f>
        <v/>
      </c>
      <c r="AW67" s="68"/>
      <c r="AX67" s="68"/>
      <c r="AY67" s="68"/>
      <c r="AZ67" s="68" t="str">
        <f t="shared" si="18"/>
        <v>· enter odds</v>
      </c>
      <c r="BA67" s="69">
        <f>IF(AX67&lt;&gt;"",AX67,IF(AH67&lt;&gt;"BET",0,IF(AI67*Method!$B$10/100&lt;Method!$B$9,0,ROUND(AI67*Method!$B$10/100,0))))</f>
        <v>0</v>
      </c>
      <c r="BB67" s="70">
        <v>0.0</v>
      </c>
      <c r="BC67" s="70">
        <v>0.18148133418084278</v>
      </c>
      <c r="BD67" s="70">
        <v>0.2824488348981974</v>
      </c>
      <c r="BE67" s="70">
        <v>0.514260030115111</v>
      </c>
      <c r="BG67" s="70">
        <v>0.0</v>
      </c>
      <c r="BH67" s="71" t="s">
        <v>219</v>
      </c>
      <c r="BI67" s="70">
        <v>0.0</v>
      </c>
    </row>
    <row r="68" ht="15.0" customHeight="1">
      <c r="A68" s="25">
        <v>67.0</v>
      </c>
      <c r="B68" s="55">
        <v>46200.0</v>
      </c>
      <c r="C68" s="25" t="s">
        <v>271</v>
      </c>
      <c r="D68" s="56" t="s">
        <v>276</v>
      </c>
      <c r="E68" s="56" t="s">
        <v>272</v>
      </c>
      <c r="F68" s="56" t="s">
        <v>208</v>
      </c>
      <c r="G68" s="25" t="s">
        <v>243</v>
      </c>
      <c r="H68" s="25" t="s">
        <v>283</v>
      </c>
      <c r="I68" s="57">
        <v>0.13191432220546315</v>
      </c>
      <c r="J68" s="57">
        <v>0.21886131202095807</v>
      </c>
      <c r="K68" s="57">
        <v>0.6492243657735787</v>
      </c>
      <c r="L68" s="58" t="str">
        <f>IF(Matchday!E70="","",Matchday!E70)</f>
        <v/>
      </c>
      <c r="M68" s="58" t="str">
        <f>IF(Matchday!F70="","",Matchday!F70)</f>
        <v/>
      </c>
      <c r="N68" s="58" t="str">
        <f>IF(Matchday!G70="","",Matchday!G70)</f>
        <v/>
      </c>
      <c r="O68" s="59" t="str">
        <f t="shared" ref="O68:Q68" si="147">IF(L68="","",1/L68)</f>
        <v/>
      </c>
      <c r="P68" s="59" t="str">
        <f t="shared" si="147"/>
        <v/>
      </c>
      <c r="Q68" s="59" t="str">
        <f t="shared" si="147"/>
        <v/>
      </c>
      <c r="R68" s="59" t="str">
        <f t="shared" si="4"/>
        <v/>
      </c>
      <c r="S68" s="59" t="str">
        <f t="array" ref="S68">IF($R68="","",IF(Method!$B$56="proportional",O68/$R68,IF(Method!$B$56="power",IFERROR(INDEX(power_devig($L68,$M68,$N68),1,1),O68/$R68),IFERROR(INDEX(shin($L68,$M68,$N68),1,1),O68/$R68))))</f>
        <v/>
      </c>
      <c r="T68" s="59" t="str">
        <f t="array" ref="T68">IF($R68="","",IF(Method!$B$56="proportional",P68/$R68,IF(Method!$B$56="power",IFERROR(INDEX(power_devig($L68,$M68,$N68),2,1),P68/$R68),IFERROR(INDEX(shin($L68,$M68,$N68),2,1),P68/$R68))))</f>
        <v/>
      </c>
      <c r="U68" s="59" t="str">
        <f t="array" ref="U68">IF($R68="","",IF(Method!$B$56="proportional",Q68/$R68,IF(Method!$B$56="power",IFERROR(INDEX(power_devig($L68,$M68,$N68),3,1),Q68/$R68),IFERROR(INDEX(shin($L68,$M68,$N68),3,1),Q68/$R68))))</f>
        <v/>
      </c>
      <c r="V68" s="59" t="str">
        <f>IF(S68="","",Method!$B$4*I68+(1-Method!$B$4)*S68/($S68+$T68+$U68))</f>
        <v/>
      </c>
      <c r="W68" s="59" t="str">
        <f>IF(T68="","",Method!$B$4*J68+(1-Method!$B$4)*T68/($S68+$T68+$U68))</f>
        <v/>
      </c>
      <c r="X68" s="59" t="str">
        <f>IF(U68="","",Method!$B$4*K68+(1-Method!$B$4)*U68/($S68+$T68+$U68))</f>
        <v/>
      </c>
      <c r="Y68" s="60" t="str">
        <f t="shared" ref="Y68:AA68" si="148">IF(V68="","",V68*L68-1)</f>
        <v/>
      </c>
      <c r="Z68" s="60" t="str">
        <f t="shared" si="148"/>
        <v/>
      </c>
      <c r="AA68" s="60" t="str">
        <f t="shared" si="148"/>
        <v/>
      </c>
      <c r="AB68" s="56" t="str">
        <f t="shared" si="6"/>
        <v/>
      </c>
      <c r="AC68" s="56" t="str">
        <f t="shared" si="7"/>
        <v/>
      </c>
      <c r="AD68" s="61" t="str">
        <f t="shared" si="8"/>
        <v/>
      </c>
      <c r="AE68" s="28" t="str">
        <f t="shared" si="9"/>
        <v/>
      </c>
      <c r="AF68" s="60" t="str">
        <f t="shared" si="10"/>
        <v/>
      </c>
      <c r="AG68" s="60" t="str">
        <f t="shared" si="11"/>
        <v/>
      </c>
      <c r="AH68" s="62" t="str">
        <f>IF(AB68="","· enter odds",IF(AND(AF68&gt;=Method!$B$7,AG68&gt;=Method!$B$8),"BET","PASS"))</f>
        <v>· enter odds</v>
      </c>
      <c r="AI68" s="63">
        <f>IF(AH68&lt;&gt;"BET",0,ROUND(MIN(Method!$B$6,Method!$B$5*AL68)*100,1))</f>
        <v>0</v>
      </c>
      <c r="AJ68" s="64">
        <f>IF(OR(AH68&lt;&gt;"BET",Method!$B$55=TRUE()),0,IF(AI68*Method!$B$10/100&lt;Method!$B$9,0,ROUND(AI68*Method!$B$10/100,0)))</f>
        <v>0</v>
      </c>
      <c r="AK68" s="59" t="str">
        <f t="shared" si="12"/>
        <v/>
      </c>
      <c r="AL68" s="59" t="str">
        <f t="shared" si="13"/>
        <v/>
      </c>
      <c r="AM68" s="56" t="str">
        <f t="shared" si="14"/>
        <v/>
      </c>
      <c r="AN68" s="65" t="str">
        <f>IF(Matchday!N70="","",Matchday!N70)</f>
        <v/>
      </c>
      <c r="AO68" s="58" t="str">
        <f>IF(Matchday!P70="","",Matchday!P70)</f>
        <v/>
      </c>
      <c r="AP68" s="66" t="str">
        <f>IF(Matchday!Q70="","",Matchday!Q70)</f>
        <v/>
      </c>
      <c r="AQ68" s="65" t="str">
        <f>IF(Matchday!R70="","",Matchday!R70)</f>
        <v/>
      </c>
      <c r="AR68" s="67" t="str">
        <f t="shared" si="15"/>
        <v/>
      </c>
      <c r="AS68" s="67" t="str">
        <f t="shared" si="16"/>
        <v/>
      </c>
      <c r="AT68" s="26" t="str">
        <f>IF(AB68="","Type the 3 odds on the Matchday tab",IF(Method!$B$55=TRUE(),"🛑 PAUSED — drawdown "&amp;TEXT(Method!$B$51,"0.0%")&amp;" ≥ "&amp;TEXT(Method!$B$52,"0.0%")&amp;". Set Method!B54=Y to override.",IF(AH68="BET",IF(AJ68=0,"Edge found but stake rounds under £"&amp;Method!$B$9&amp;" — skip","Value found: EV "&amp;TEXT(AF68,"0.0%")&amp;", edge "&amp;TEXT(AG68,"0.0%")),IF(AF68&lt;Method!$B$7,"Price too short — EV "&amp;TEXT(AF68,"0.0%")&amp;" (need "&amp;TEXT(Method!$B$7,"0.0%")&amp;"+)","Model ≈ market — edge "&amp;TEXT(AG68,"0.0%")&amp;" (need "&amp;TEXT(Method!$B$8,"0.0%")&amp;"+)"))))</f>
        <v>Type the 3 odds on the Matchday tab</v>
      </c>
      <c r="AU68" s="26" t="str">
        <f t="shared" si="17"/>
        <v/>
      </c>
      <c r="AV68" s="25" t="str">
        <f>IF(Matchday!O70="","",Matchday!O70)</f>
        <v/>
      </c>
      <c r="AW68" s="68"/>
      <c r="AX68" s="68"/>
      <c r="AY68" s="68"/>
      <c r="AZ68" s="68" t="str">
        <f t="shared" si="18"/>
        <v>· enter odds</v>
      </c>
      <c r="BA68" s="69">
        <f>IF(AX68&lt;&gt;"",AX68,IF(AH68&lt;&gt;"BET",0,IF(AI68*Method!$B$10/100&lt;Method!$B$9,0,ROUND(AI68*Method!$B$10/100,0))))</f>
        <v>0</v>
      </c>
      <c r="BB68" s="70">
        <v>-4.0</v>
      </c>
      <c r="BC68" s="70">
        <v>0.11535907133135295</v>
      </c>
      <c r="BD68" s="70">
        <v>0.24200730389912814</v>
      </c>
      <c r="BE68" s="70">
        <v>0.6367821447143504</v>
      </c>
      <c r="BF68" s="71" t="s">
        <v>291</v>
      </c>
      <c r="BG68" s="70">
        <v>7.0</v>
      </c>
      <c r="BH68" s="71" t="s">
        <v>186</v>
      </c>
      <c r="BI68" s="70">
        <v>540.1</v>
      </c>
    </row>
    <row r="69" ht="15.0" customHeight="1">
      <c r="A69" s="25">
        <v>68.0</v>
      </c>
      <c r="B69" s="55">
        <v>46200.0</v>
      </c>
      <c r="C69" s="25" t="s">
        <v>271</v>
      </c>
      <c r="D69" s="56" t="s">
        <v>273</v>
      </c>
      <c r="E69" s="56" t="s">
        <v>275</v>
      </c>
      <c r="F69" s="56" t="s">
        <v>232</v>
      </c>
      <c r="G69" s="25" t="s">
        <v>243</v>
      </c>
      <c r="H69" s="25" t="s">
        <v>283</v>
      </c>
      <c r="I69" s="57">
        <v>0.6328395757330936</v>
      </c>
      <c r="J69" s="57">
        <v>0.24057849572433457</v>
      </c>
      <c r="K69" s="57">
        <v>0.12658192854257203</v>
      </c>
      <c r="L69" s="58" t="str">
        <f>IF(Matchday!E71="","",Matchday!E71)</f>
        <v/>
      </c>
      <c r="M69" s="58" t="str">
        <f>IF(Matchday!F71="","",Matchday!F71)</f>
        <v/>
      </c>
      <c r="N69" s="58" t="str">
        <f>IF(Matchday!G71="","",Matchday!G71)</f>
        <v/>
      </c>
      <c r="O69" s="59" t="str">
        <f t="shared" ref="O69:Q69" si="149">IF(L69="","",1/L69)</f>
        <v/>
      </c>
      <c r="P69" s="59" t="str">
        <f t="shared" si="149"/>
        <v/>
      </c>
      <c r="Q69" s="59" t="str">
        <f t="shared" si="149"/>
        <v/>
      </c>
      <c r="R69" s="59" t="str">
        <f t="shared" si="4"/>
        <v/>
      </c>
      <c r="S69" s="59" t="str">
        <f t="array" ref="S69">IF($R69="","",IF(Method!$B$56="proportional",O69/$R69,IF(Method!$B$56="power",IFERROR(INDEX(power_devig($L69,$M69,$N69),1,1),O69/$R69),IFERROR(INDEX(shin($L69,$M69,$N69),1,1),O69/$R69))))</f>
        <v/>
      </c>
      <c r="T69" s="59" t="str">
        <f t="array" ref="T69">IF($R69="","",IF(Method!$B$56="proportional",P69/$R69,IF(Method!$B$56="power",IFERROR(INDEX(power_devig($L69,$M69,$N69),2,1),P69/$R69),IFERROR(INDEX(shin($L69,$M69,$N69),2,1),P69/$R69))))</f>
        <v/>
      </c>
      <c r="U69" s="59" t="str">
        <f t="array" ref="U69">IF($R69="","",IF(Method!$B$56="proportional",Q69/$R69,IF(Method!$B$56="power",IFERROR(INDEX(power_devig($L69,$M69,$N69),3,1),Q69/$R69),IFERROR(INDEX(shin($L69,$M69,$N69),3,1),Q69/$R69))))</f>
        <v/>
      </c>
      <c r="V69" s="59" t="str">
        <f>IF(S69="","",Method!$B$4*I69+(1-Method!$B$4)*S69/($S69+$T69+$U69))</f>
        <v/>
      </c>
      <c r="W69" s="59" t="str">
        <f>IF(T69="","",Method!$B$4*J69+(1-Method!$B$4)*T69/($S69+$T69+$U69))</f>
        <v/>
      </c>
      <c r="X69" s="59" t="str">
        <f>IF(U69="","",Method!$B$4*K69+(1-Method!$B$4)*U69/($S69+$T69+$U69))</f>
        <v/>
      </c>
      <c r="Y69" s="60" t="str">
        <f t="shared" ref="Y69:AA69" si="150">IF(V69="","",V69*L69-1)</f>
        <v/>
      </c>
      <c r="Z69" s="60" t="str">
        <f t="shared" si="150"/>
        <v/>
      </c>
      <c r="AA69" s="60" t="str">
        <f t="shared" si="150"/>
        <v/>
      </c>
      <c r="AB69" s="56" t="str">
        <f t="shared" si="6"/>
        <v/>
      </c>
      <c r="AC69" s="56" t="str">
        <f t="shared" si="7"/>
        <v/>
      </c>
      <c r="AD69" s="61" t="str">
        <f t="shared" si="8"/>
        <v/>
      </c>
      <c r="AE69" s="28" t="str">
        <f t="shared" si="9"/>
        <v/>
      </c>
      <c r="AF69" s="60" t="str">
        <f t="shared" si="10"/>
        <v/>
      </c>
      <c r="AG69" s="60" t="str">
        <f t="shared" si="11"/>
        <v/>
      </c>
      <c r="AH69" s="62" t="str">
        <f>IF(AB69="","· enter odds",IF(AND(AF69&gt;=Method!$B$7,AG69&gt;=Method!$B$8),"BET","PASS"))</f>
        <v>· enter odds</v>
      </c>
      <c r="AI69" s="63">
        <f>IF(AH69&lt;&gt;"BET",0,ROUND(MIN(Method!$B$6,Method!$B$5*AL69)*100,1))</f>
        <v>0</v>
      </c>
      <c r="AJ69" s="64">
        <f>IF(OR(AH69&lt;&gt;"BET",Method!$B$55=TRUE()),0,IF(AI69*Method!$B$10/100&lt;Method!$B$9,0,ROUND(AI69*Method!$B$10/100,0)))</f>
        <v>0</v>
      </c>
      <c r="AK69" s="59" t="str">
        <f t="shared" si="12"/>
        <v/>
      </c>
      <c r="AL69" s="59" t="str">
        <f t="shared" si="13"/>
        <v/>
      </c>
      <c r="AM69" s="56" t="str">
        <f t="shared" si="14"/>
        <v/>
      </c>
      <c r="AN69" s="65" t="str">
        <f>IF(Matchday!N71="","",Matchday!N71)</f>
        <v/>
      </c>
      <c r="AO69" s="58" t="str">
        <f>IF(Matchday!P71="","",Matchday!P71)</f>
        <v/>
      </c>
      <c r="AP69" s="66" t="str">
        <f>IF(Matchday!Q71="","",Matchday!Q71)</f>
        <v/>
      </c>
      <c r="AQ69" s="65" t="str">
        <f>IF(Matchday!R71="","",Matchday!R71)</f>
        <v/>
      </c>
      <c r="AR69" s="67" t="str">
        <f t="shared" si="15"/>
        <v/>
      </c>
      <c r="AS69" s="67" t="str">
        <f t="shared" si="16"/>
        <v/>
      </c>
      <c r="AT69" s="26" t="str">
        <f>IF(AB69="","Type the 3 odds on the Matchday tab",IF(Method!$B$55=TRUE(),"🛑 PAUSED — drawdown "&amp;TEXT(Method!$B$51,"0.0%")&amp;" ≥ "&amp;TEXT(Method!$B$52,"0.0%")&amp;". Set Method!B54=Y to override.",IF(AH69="BET",IF(AJ69=0,"Edge found but stake rounds under £"&amp;Method!$B$9&amp;" — skip","Value found: EV "&amp;TEXT(AF69,"0.0%")&amp;", edge "&amp;TEXT(AG69,"0.0%")),IF(AF69&lt;Method!$B$7,"Price too short — EV "&amp;TEXT(AF69,"0.0%")&amp;" (need "&amp;TEXT(Method!$B$7,"0.0%")&amp;"+)","Model ≈ market — edge "&amp;TEXT(AG69,"0.0%")&amp;" (need "&amp;TEXT(Method!$B$8,"0.0%")&amp;"+)"))))</f>
        <v>Type the 3 odds on the Matchday tab</v>
      </c>
      <c r="AU69" s="26" t="str">
        <f t="shared" si="17"/>
        <v/>
      </c>
      <c r="AV69" s="25" t="str">
        <f>IF(Matchday!O71="","",Matchday!O71)</f>
        <v/>
      </c>
      <c r="AW69" s="68"/>
      <c r="AX69" s="68"/>
      <c r="AY69" s="68"/>
      <c r="AZ69" s="68" t="str">
        <f t="shared" si="18"/>
        <v>· enter odds</v>
      </c>
      <c r="BA69" s="69">
        <f>IF(AX69&lt;&gt;"",AX69,IF(AH69&lt;&gt;"BET",0,IF(AI69*Method!$B$10/100&lt;Method!$B$9,0,ROUND(AI69*Method!$B$10/100,0))))</f>
        <v>0</v>
      </c>
      <c r="BB69" s="70">
        <v>-4.0</v>
      </c>
      <c r="BC69" s="70">
        <v>0.5855957947581593</v>
      </c>
      <c r="BD69" s="70">
        <v>0.2630317922156396</v>
      </c>
      <c r="BE69" s="70">
        <v>0.1305412247762038</v>
      </c>
      <c r="BF69" s="71" t="s">
        <v>292</v>
      </c>
      <c r="BG69" s="70">
        <v>12.0</v>
      </c>
      <c r="BH69" s="71" t="s">
        <v>186</v>
      </c>
      <c r="BI69" s="70">
        <v>544.4</v>
      </c>
    </row>
    <row r="70" ht="15.0" customHeight="1">
      <c r="A70" s="25">
        <v>69.0</v>
      </c>
      <c r="B70" s="55">
        <v>46200.0</v>
      </c>
      <c r="C70" s="25" t="s">
        <v>267</v>
      </c>
      <c r="D70" s="56" t="s">
        <v>278</v>
      </c>
      <c r="E70" s="56" t="s">
        <v>268</v>
      </c>
      <c r="F70" s="56" t="s">
        <v>251</v>
      </c>
      <c r="G70" s="25" t="s">
        <v>293</v>
      </c>
      <c r="H70" s="25" t="s">
        <v>294</v>
      </c>
      <c r="I70" s="57">
        <v>0.352890318385108</v>
      </c>
      <c r="J70" s="57">
        <v>0.28651577155223007</v>
      </c>
      <c r="K70" s="57">
        <v>0.3605939100626621</v>
      </c>
      <c r="L70" s="58" t="str">
        <f>IF(Matchday!E72="","",Matchday!E72)</f>
        <v/>
      </c>
      <c r="M70" s="58" t="str">
        <f>IF(Matchday!F72="","",Matchday!F72)</f>
        <v/>
      </c>
      <c r="N70" s="58" t="str">
        <f>IF(Matchday!G72="","",Matchday!G72)</f>
        <v/>
      </c>
      <c r="O70" s="59" t="str">
        <f t="shared" ref="O70:Q70" si="151">IF(L70="","",1/L70)</f>
        <v/>
      </c>
      <c r="P70" s="59" t="str">
        <f t="shared" si="151"/>
        <v/>
      </c>
      <c r="Q70" s="59" t="str">
        <f t="shared" si="151"/>
        <v/>
      </c>
      <c r="R70" s="59" t="str">
        <f t="shared" si="4"/>
        <v/>
      </c>
      <c r="S70" s="59" t="str">
        <f t="array" ref="S70">IF($R70="","",IF(Method!$B$56="proportional",O70/$R70,IF(Method!$B$56="power",IFERROR(INDEX(power_devig($L70,$M70,$N70),1,1),O70/$R70),IFERROR(INDEX(shin($L70,$M70,$N70),1,1),O70/$R70))))</f>
        <v/>
      </c>
      <c r="T70" s="59" t="str">
        <f t="array" ref="T70">IF($R70="","",IF(Method!$B$56="proportional",P70/$R70,IF(Method!$B$56="power",IFERROR(INDEX(power_devig($L70,$M70,$N70),2,1),P70/$R70),IFERROR(INDEX(shin($L70,$M70,$N70),2,1),P70/$R70))))</f>
        <v/>
      </c>
      <c r="U70" s="59" t="str">
        <f t="array" ref="U70">IF($R70="","",IF(Method!$B$56="proportional",Q70/$R70,IF(Method!$B$56="power",IFERROR(INDEX(power_devig($L70,$M70,$N70),3,1),Q70/$R70),IFERROR(INDEX(shin($L70,$M70,$N70),3,1),Q70/$R70))))</f>
        <v/>
      </c>
      <c r="V70" s="59" t="str">
        <f>IF(S70="","",Method!$B$4*I70+(1-Method!$B$4)*S70/($S70+$T70+$U70))</f>
        <v/>
      </c>
      <c r="W70" s="59" t="str">
        <f>IF(T70="","",Method!$B$4*J70+(1-Method!$B$4)*T70/($S70+$T70+$U70))</f>
        <v/>
      </c>
      <c r="X70" s="59" t="str">
        <f>IF(U70="","",Method!$B$4*K70+(1-Method!$B$4)*U70/($S70+$T70+$U70))</f>
        <v/>
      </c>
      <c r="Y70" s="60" t="str">
        <f t="shared" ref="Y70:AA70" si="152">IF(V70="","",V70*L70-1)</f>
        <v/>
      </c>
      <c r="Z70" s="60" t="str">
        <f t="shared" si="152"/>
        <v/>
      </c>
      <c r="AA70" s="60" t="str">
        <f t="shared" si="152"/>
        <v/>
      </c>
      <c r="AB70" s="56" t="str">
        <f t="shared" si="6"/>
        <v/>
      </c>
      <c r="AC70" s="56" t="str">
        <f t="shared" si="7"/>
        <v/>
      </c>
      <c r="AD70" s="61" t="str">
        <f t="shared" si="8"/>
        <v/>
      </c>
      <c r="AE70" s="28" t="str">
        <f t="shared" si="9"/>
        <v/>
      </c>
      <c r="AF70" s="60" t="str">
        <f t="shared" si="10"/>
        <v/>
      </c>
      <c r="AG70" s="60" t="str">
        <f t="shared" si="11"/>
        <v/>
      </c>
      <c r="AH70" s="62" t="str">
        <f>IF(AB70="","· enter odds",IF(AND(AF70&gt;=Method!$B$7,AG70&gt;=Method!$B$8),"BET","PASS"))</f>
        <v>· enter odds</v>
      </c>
      <c r="AI70" s="63">
        <f>IF(AH70&lt;&gt;"BET",0,ROUND(MIN(Method!$B$6,Method!$B$5*AL70)*100,1))</f>
        <v>0</v>
      </c>
      <c r="AJ70" s="64">
        <f>IF(OR(AH70&lt;&gt;"BET",Method!$B$55=TRUE()),0,IF(AI70*Method!$B$10/100&lt;Method!$B$9,0,ROUND(AI70*Method!$B$10/100,0)))</f>
        <v>0</v>
      </c>
      <c r="AK70" s="59" t="str">
        <f t="shared" si="12"/>
        <v/>
      </c>
      <c r="AL70" s="59" t="str">
        <f t="shared" si="13"/>
        <v/>
      </c>
      <c r="AM70" s="56" t="str">
        <f t="shared" si="14"/>
        <v/>
      </c>
      <c r="AN70" s="65" t="str">
        <f>IF(Matchday!N72="","",Matchday!N72)</f>
        <v/>
      </c>
      <c r="AO70" s="58" t="str">
        <f>IF(Matchday!P72="","",Matchday!P72)</f>
        <v/>
      </c>
      <c r="AP70" s="66" t="str">
        <f>IF(Matchday!Q72="","",Matchday!Q72)</f>
        <v/>
      </c>
      <c r="AQ70" s="65" t="str">
        <f>IF(Matchday!R72="","",Matchday!R72)</f>
        <v/>
      </c>
      <c r="AR70" s="67" t="str">
        <f t="shared" si="15"/>
        <v/>
      </c>
      <c r="AS70" s="67" t="str">
        <f t="shared" si="16"/>
        <v/>
      </c>
      <c r="AT70" s="26" t="str">
        <f>IF(AB70="","Type the 3 odds on the Matchday tab",IF(Method!$B$55=TRUE(),"🛑 PAUSED — drawdown "&amp;TEXT(Method!$B$51,"0.0%")&amp;" ≥ "&amp;TEXT(Method!$B$52,"0.0%")&amp;". Set Method!B54=Y to override.",IF(AH70="BET",IF(AJ70=0,"Edge found but stake rounds under £"&amp;Method!$B$9&amp;" — skip","Value found: EV "&amp;TEXT(AF70,"0.0%")&amp;", edge "&amp;TEXT(AG70,"0.0%")),IF(AF70&lt;Method!$B$7,"Price too short — EV "&amp;TEXT(AF70,"0.0%")&amp;" (need "&amp;TEXT(Method!$B$7,"0.0%")&amp;"+)","Model ≈ market — edge "&amp;TEXT(AG70,"0.0%")&amp;" (need "&amp;TEXT(Method!$B$8,"0.0%")&amp;"+)"))))</f>
        <v>Type the 3 odds on the Matchday tab</v>
      </c>
      <c r="AU70" s="26" t="str">
        <f t="shared" si="17"/>
        <v/>
      </c>
      <c r="AV70" s="25" t="str">
        <f>IF(Matchday!O72="","",Matchday!O72)</f>
        <v/>
      </c>
      <c r="AW70" s="68"/>
      <c r="AX70" s="68"/>
      <c r="AY70" s="68"/>
      <c r="AZ70" s="68" t="str">
        <f t="shared" si="18"/>
        <v>· enter odds</v>
      </c>
      <c r="BA70" s="69">
        <f>IF(AX70&lt;&gt;"",AX70,IF(AH70&lt;&gt;"BET",0,IF(AI70*Method!$B$10/100&lt;Method!$B$9,0,ROUND(AI70*Method!$B$10/100,0))))</f>
        <v>0</v>
      </c>
      <c r="BB70" s="70">
        <v>0.0</v>
      </c>
      <c r="BC70" s="70">
        <v>0.34350233190589174</v>
      </c>
      <c r="BD70" s="70">
        <v>0.28856276830807626</v>
      </c>
      <c r="BE70" s="70">
        <v>0.3702903672457963</v>
      </c>
      <c r="BF70" s="71"/>
      <c r="BG70" s="70">
        <v>2.0</v>
      </c>
      <c r="BH70" s="71" t="s">
        <v>252</v>
      </c>
      <c r="BI70" s="70">
        <v>2439.1</v>
      </c>
    </row>
    <row r="71" ht="15.0" customHeight="1">
      <c r="A71" s="25">
        <v>70.0</v>
      </c>
      <c r="B71" s="55">
        <v>46200.0</v>
      </c>
      <c r="C71" s="25" t="s">
        <v>267</v>
      </c>
      <c r="D71" s="56" t="s">
        <v>269</v>
      </c>
      <c r="E71" s="56" t="s">
        <v>277</v>
      </c>
      <c r="F71" s="56" t="s">
        <v>242</v>
      </c>
      <c r="G71" s="25" t="s">
        <v>293</v>
      </c>
      <c r="H71" s="25" t="s">
        <v>294</v>
      </c>
      <c r="I71" s="57">
        <v>0.27411063227772875</v>
      </c>
      <c r="J71" s="57">
        <v>0.3128495457907328</v>
      </c>
      <c r="K71" s="57">
        <v>0.4130398219315384</v>
      </c>
      <c r="L71" s="58" t="str">
        <f>IF(Matchday!E73="","",Matchday!E73)</f>
        <v/>
      </c>
      <c r="M71" s="58" t="str">
        <f>IF(Matchday!F73="","",Matchday!F73)</f>
        <v/>
      </c>
      <c r="N71" s="58" t="str">
        <f>IF(Matchday!G73="","",Matchday!G73)</f>
        <v/>
      </c>
      <c r="O71" s="59" t="str">
        <f t="shared" ref="O71:Q71" si="153">IF(L71="","",1/L71)</f>
        <v/>
      </c>
      <c r="P71" s="59" t="str">
        <f t="shared" si="153"/>
        <v/>
      </c>
      <c r="Q71" s="59" t="str">
        <f t="shared" si="153"/>
        <v/>
      </c>
      <c r="R71" s="59" t="str">
        <f t="shared" si="4"/>
        <v/>
      </c>
      <c r="S71" s="59" t="str">
        <f t="array" ref="S71">IF($R71="","",IF(Method!$B$56="proportional",O71/$R71,IF(Method!$B$56="power",IFERROR(INDEX(power_devig($L71,$M71,$N71),1,1),O71/$R71),IFERROR(INDEX(shin($L71,$M71,$N71),1,1),O71/$R71))))</f>
        <v/>
      </c>
      <c r="T71" s="59" t="str">
        <f t="array" ref="T71">IF($R71="","",IF(Method!$B$56="proportional",P71/$R71,IF(Method!$B$56="power",IFERROR(INDEX(power_devig($L71,$M71,$N71),2,1),P71/$R71),IFERROR(INDEX(shin($L71,$M71,$N71),2,1),P71/$R71))))</f>
        <v/>
      </c>
      <c r="U71" s="59" t="str">
        <f t="array" ref="U71">IF($R71="","",IF(Method!$B$56="proportional",Q71/$R71,IF(Method!$B$56="power",IFERROR(INDEX(power_devig($L71,$M71,$N71),3,1),Q71/$R71),IFERROR(INDEX(shin($L71,$M71,$N71),3,1),Q71/$R71))))</f>
        <v/>
      </c>
      <c r="V71" s="59" t="str">
        <f>IF(S71="","",Method!$B$4*I71+(1-Method!$B$4)*S71/($S71+$T71+$U71))</f>
        <v/>
      </c>
      <c r="W71" s="59" t="str">
        <f>IF(T71="","",Method!$B$4*J71+(1-Method!$B$4)*T71/($S71+$T71+$U71))</f>
        <v/>
      </c>
      <c r="X71" s="59" t="str">
        <f>IF(U71="","",Method!$B$4*K71+(1-Method!$B$4)*U71/($S71+$T71+$U71))</f>
        <v/>
      </c>
      <c r="Y71" s="60" t="str">
        <f t="shared" ref="Y71:AA71" si="154">IF(V71="","",V71*L71-1)</f>
        <v/>
      </c>
      <c r="Z71" s="60" t="str">
        <f t="shared" si="154"/>
        <v/>
      </c>
      <c r="AA71" s="60" t="str">
        <f t="shared" si="154"/>
        <v/>
      </c>
      <c r="AB71" s="56" t="str">
        <f t="shared" si="6"/>
        <v/>
      </c>
      <c r="AC71" s="56" t="str">
        <f t="shared" si="7"/>
        <v/>
      </c>
      <c r="AD71" s="61" t="str">
        <f t="shared" si="8"/>
        <v/>
      </c>
      <c r="AE71" s="28" t="str">
        <f t="shared" si="9"/>
        <v/>
      </c>
      <c r="AF71" s="60" t="str">
        <f t="shared" si="10"/>
        <v/>
      </c>
      <c r="AG71" s="60" t="str">
        <f t="shared" si="11"/>
        <v/>
      </c>
      <c r="AH71" s="62" t="str">
        <f>IF(AB71="","· enter odds",IF(AND(AF71&gt;=Method!$B$7,AG71&gt;=Method!$B$8),"BET","PASS"))</f>
        <v>· enter odds</v>
      </c>
      <c r="AI71" s="63">
        <f>IF(AH71&lt;&gt;"BET",0,ROUND(MIN(Method!$B$6,Method!$B$5*AL71)*100,1))</f>
        <v>0</v>
      </c>
      <c r="AJ71" s="64">
        <f>IF(OR(AH71&lt;&gt;"BET",Method!$B$55=TRUE()),0,IF(AI71*Method!$B$10/100&lt;Method!$B$9,0,ROUND(AI71*Method!$B$10/100,0)))</f>
        <v>0</v>
      </c>
      <c r="AK71" s="59" t="str">
        <f t="shared" si="12"/>
        <v/>
      </c>
      <c r="AL71" s="59" t="str">
        <f t="shared" si="13"/>
        <v/>
      </c>
      <c r="AM71" s="56" t="str">
        <f t="shared" si="14"/>
        <v/>
      </c>
      <c r="AN71" s="65" t="str">
        <f>IF(Matchday!N73="","",Matchday!N73)</f>
        <v/>
      </c>
      <c r="AO71" s="58" t="str">
        <f>IF(Matchday!P73="","",Matchday!P73)</f>
        <v/>
      </c>
      <c r="AP71" s="66" t="str">
        <f>IF(Matchday!Q73="","",Matchday!Q73)</f>
        <v/>
      </c>
      <c r="AQ71" s="65" t="str">
        <f>IF(Matchday!R73="","",Matchday!R73)</f>
        <v/>
      </c>
      <c r="AR71" s="67" t="str">
        <f t="shared" si="15"/>
        <v/>
      </c>
      <c r="AS71" s="67" t="str">
        <f t="shared" si="16"/>
        <v/>
      </c>
      <c r="AT71" s="26" t="str">
        <f>IF(AB71="","Type the 3 odds on the Matchday tab",IF(Method!$B$55=TRUE(),"🛑 PAUSED — drawdown "&amp;TEXT(Method!$B$51,"0.0%")&amp;" ≥ "&amp;TEXT(Method!$B$52,"0.0%")&amp;". Set Method!B54=Y to override.",IF(AH71="BET",IF(AJ71=0,"Edge found but stake rounds under £"&amp;Method!$B$9&amp;" — skip","Value found: EV "&amp;TEXT(AF71,"0.0%")&amp;", edge "&amp;TEXT(AG71,"0.0%")),IF(AF71&lt;Method!$B$7,"Price too short — EV "&amp;TEXT(AF71,"0.0%")&amp;" (need "&amp;TEXT(Method!$B$7,"0.0%")&amp;"+)","Model ≈ market — edge "&amp;TEXT(AG71,"0.0%")&amp;" (need "&amp;TEXT(Method!$B$8,"0.0%")&amp;"+)"))))</f>
        <v>Type the 3 odds on the Matchday tab</v>
      </c>
      <c r="AU71" s="26" t="str">
        <f t="shared" si="17"/>
        <v/>
      </c>
      <c r="AV71" s="25" t="str">
        <f>IF(Matchday!O73="","",Matchday!O73)</f>
        <v/>
      </c>
      <c r="AW71" s="68"/>
      <c r="AX71" s="68"/>
      <c r="AY71" s="68"/>
      <c r="AZ71" s="68" t="str">
        <f t="shared" si="18"/>
        <v>· enter odds</v>
      </c>
      <c r="BA71" s="69">
        <f>IF(AX71&lt;&gt;"",AX71,IF(AH71&lt;&gt;"BET",0,IF(AI71*Method!$B$10/100&lt;Method!$B$9,0,ROUND(AI71*Method!$B$10/100,0))))</f>
        <v>0</v>
      </c>
      <c r="BB71" s="70">
        <v>-1.0</v>
      </c>
      <c r="BC71" s="70">
        <v>0.2603650262991865</v>
      </c>
      <c r="BD71" s="70">
        <v>0.2962962962962963</v>
      </c>
      <c r="BE71" s="70">
        <v>0.41609998793701464</v>
      </c>
      <c r="BF71" s="71" t="s">
        <v>295</v>
      </c>
      <c r="BG71" s="70">
        <v>320.0</v>
      </c>
      <c r="BH71" s="71" t="s">
        <v>244</v>
      </c>
      <c r="BI71" s="70">
        <v>2373.1</v>
      </c>
    </row>
    <row r="72" ht="15.0" customHeight="1">
      <c r="A72" s="25">
        <v>71.0</v>
      </c>
      <c r="B72" s="55">
        <v>46200.0</v>
      </c>
      <c r="C72" s="25" t="s">
        <v>260</v>
      </c>
      <c r="D72" s="56" t="s">
        <v>262</v>
      </c>
      <c r="E72" s="56" t="s">
        <v>265</v>
      </c>
      <c r="F72" s="56" t="s">
        <v>263</v>
      </c>
      <c r="G72" s="25" t="s">
        <v>283</v>
      </c>
      <c r="H72" s="25" t="s">
        <v>289</v>
      </c>
      <c r="I72" s="57">
        <v>0.29588562634276605</v>
      </c>
      <c r="J72" s="57">
        <v>0.32004733031774957</v>
      </c>
      <c r="K72" s="57">
        <v>0.3840670433394842</v>
      </c>
      <c r="L72" s="58" t="str">
        <f>IF(Matchday!E74="","",Matchday!E74)</f>
        <v/>
      </c>
      <c r="M72" s="58" t="str">
        <f>IF(Matchday!F74="","",Matchday!F74)</f>
        <v/>
      </c>
      <c r="N72" s="58" t="str">
        <f>IF(Matchday!G74="","",Matchday!G74)</f>
        <v/>
      </c>
      <c r="O72" s="59" t="str">
        <f t="shared" ref="O72:Q72" si="155">IF(L72="","",1/L72)</f>
        <v/>
      </c>
      <c r="P72" s="59" t="str">
        <f t="shared" si="155"/>
        <v/>
      </c>
      <c r="Q72" s="59" t="str">
        <f t="shared" si="155"/>
        <v/>
      </c>
      <c r="R72" s="59" t="str">
        <f t="shared" si="4"/>
        <v/>
      </c>
      <c r="S72" s="59" t="str">
        <f t="array" ref="S72">IF($R72="","",IF(Method!$B$56="proportional",O72/$R72,IF(Method!$B$56="power",IFERROR(INDEX(power_devig($L72,$M72,$N72),1,1),O72/$R72),IFERROR(INDEX(shin($L72,$M72,$N72),1,1),O72/$R72))))</f>
        <v/>
      </c>
      <c r="T72" s="59" t="str">
        <f t="array" ref="T72">IF($R72="","",IF(Method!$B$56="proportional",P72/$R72,IF(Method!$B$56="power",IFERROR(INDEX(power_devig($L72,$M72,$N72),2,1),P72/$R72),IFERROR(INDEX(shin($L72,$M72,$N72),2,1),P72/$R72))))</f>
        <v/>
      </c>
      <c r="U72" s="59" t="str">
        <f t="array" ref="U72">IF($R72="","",IF(Method!$B$56="proportional",Q72/$R72,IF(Method!$B$56="power",IFERROR(INDEX(power_devig($L72,$M72,$N72),3,1),Q72/$R72),IFERROR(INDEX(shin($L72,$M72,$N72),3,1),Q72/$R72))))</f>
        <v/>
      </c>
      <c r="V72" s="59" t="str">
        <f>IF(S72="","",Method!$B$4*I72+(1-Method!$B$4)*S72/($S72+$T72+$U72))</f>
        <v/>
      </c>
      <c r="W72" s="59" t="str">
        <f>IF(T72="","",Method!$B$4*J72+(1-Method!$B$4)*T72/($S72+$T72+$U72))</f>
        <v/>
      </c>
      <c r="X72" s="59" t="str">
        <f>IF(U72="","",Method!$B$4*K72+(1-Method!$B$4)*U72/($S72+$T72+$U72))</f>
        <v/>
      </c>
      <c r="Y72" s="60" t="str">
        <f t="shared" ref="Y72:AA72" si="156">IF(V72="","",V72*L72-1)</f>
        <v/>
      </c>
      <c r="Z72" s="60" t="str">
        <f t="shared" si="156"/>
        <v/>
      </c>
      <c r="AA72" s="60" t="str">
        <f t="shared" si="156"/>
        <v/>
      </c>
      <c r="AB72" s="56" t="str">
        <f t="shared" si="6"/>
        <v/>
      </c>
      <c r="AC72" s="56" t="str">
        <f t="shared" si="7"/>
        <v/>
      </c>
      <c r="AD72" s="61" t="str">
        <f t="shared" si="8"/>
        <v/>
      </c>
      <c r="AE72" s="28" t="str">
        <f t="shared" si="9"/>
        <v/>
      </c>
      <c r="AF72" s="60" t="str">
        <f t="shared" si="10"/>
        <v/>
      </c>
      <c r="AG72" s="60" t="str">
        <f t="shared" si="11"/>
        <v/>
      </c>
      <c r="AH72" s="62" t="str">
        <f>IF(AB72="","· enter odds",IF(AND(AF72&gt;=Method!$B$7,AG72&gt;=Method!$B$8),"BET","PASS"))</f>
        <v>· enter odds</v>
      </c>
      <c r="AI72" s="63">
        <f>IF(AH72&lt;&gt;"BET",0,ROUND(MIN(Method!$B$6,Method!$B$5*AL72)*100,1))</f>
        <v>0</v>
      </c>
      <c r="AJ72" s="64">
        <f>IF(OR(AH72&lt;&gt;"BET",Method!$B$55=TRUE()),0,IF(AI72*Method!$B$10/100&lt;Method!$B$9,0,ROUND(AI72*Method!$B$10/100,0)))</f>
        <v>0</v>
      </c>
      <c r="AK72" s="59" t="str">
        <f t="shared" si="12"/>
        <v/>
      </c>
      <c r="AL72" s="59" t="str">
        <f t="shared" si="13"/>
        <v/>
      </c>
      <c r="AM72" s="56" t="str">
        <f t="shared" si="14"/>
        <v/>
      </c>
      <c r="AN72" s="65" t="str">
        <f>IF(Matchday!N74="","",Matchday!N74)</f>
        <v/>
      </c>
      <c r="AO72" s="58" t="str">
        <f>IF(Matchday!P74="","",Matchday!P74)</f>
        <v/>
      </c>
      <c r="AP72" s="66" t="str">
        <f>IF(Matchday!Q74="","",Matchday!Q74)</f>
        <v/>
      </c>
      <c r="AQ72" s="65" t="str">
        <f>IF(Matchday!R74="","",Matchday!R74)</f>
        <v/>
      </c>
      <c r="AR72" s="67" t="str">
        <f t="shared" si="15"/>
        <v/>
      </c>
      <c r="AS72" s="67" t="str">
        <f t="shared" si="16"/>
        <v/>
      </c>
      <c r="AT72" s="26" t="str">
        <f>IF(AB72="","Type the 3 odds on the Matchday tab",IF(Method!$B$55=TRUE(),"🛑 PAUSED — drawdown "&amp;TEXT(Method!$B$51,"0.0%")&amp;" ≥ "&amp;TEXT(Method!$B$52,"0.0%")&amp;". Set Method!B54=Y to override.",IF(AH72="BET",IF(AJ72=0,"Edge found but stake rounds under £"&amp;Method!$B$9&amp;" — skip","Value found: EV "&amp;TEXT(AF72,"0.0%")&amp;", edge "&amp;TEXT(AG72,"0.0%")),IF(AF72&lt;Method!$B$7,"Price too short — EV "&amp;TEXT(AF72,"0.0%")&amp;" (need "&amp;TEXT(Method!$B$7,"0.0%")&amp;"+)","Model ≈ market — edge "&amp;TEXT(AG72,"0.0%")&amp;" (need "&amp;TEXT(Method!$B$8,"0.0%")&amp;"+)"))))</f>
        <v>Type the 3 odds on the Matchday tab</v>
      </c>
      <c r="AU72" s="26" t="str">
        <f t="shared" si="17"/>
        <v/>
      </c>
      <c r="AV72" s="25" t="str">
        <f>IF(Matchday!O74="","",Matchday!O74)</f>
        <v/>
      </c>
      <c r="AW72" s="68"/>
      <c r="AX72" s="68"/>
      <c r="AY72" s="68"/>
      <c r="AZ72" s="68" t="str">
        <f t="shared" si="18"/>
        <v>· enter odds</v>
      </c>
      <c r="BA72" s="69">
        <f>IF(AX72&lt;&gt;"",AX72,IF(AH72&lt;&gt;"BET",0,IF(AI72*Method!$B$10/100&lt;Method!$B$9,0,ROUND(AI72*Method!$B$10/100,0))))</f>
        <v>0</v>
      </c>
      <c r="BB72" s="70">
        <v>0.0</v>
      </c>
      <c r="BC72" s="70">
        <v>0.28350638825492</v>
      </c>
      <c r="BD72" s="70">
        <v>0.2962962962962963</v>
      </c>
      <c r="BE72" s="70">
        <v>0.3907933062457713</v>
      </c>
      <c r="BG72" s="70">
        <v>270.0</v>
      </c>
      <c r="BH72" s="71" t="s">
        <v>264</v>
      </c>
      <c r="BI72" s="70">
        <v>2398.8</v>
      </c>
    </row>
    <row r="73" ht="15.0" customHeight="1">
      <c r="A73" s="25">
        <v>72.0</v>
      </c>
      <c r="B73" s="55">
        <v>46200.0</v>
      </c>
      <c r="C73" s="25" t="s">
        <v>260</v>
      </c>
      <c r="D73" s="56" t="s">
        <v>266</v>
      </c>
      <c r="E73" s="56" t="s">
        <v>261</v>
      </c>
      <c r="F73" s="56" t="s">
        <v>228</v>
      </c>
      <c r="G73" s="25" t="s">
        <v>283</v>
      </c>
      <c r="H73" s="25" t="s">
        <v>289</v>
      </c>
      <c r="I73" s="57">
        <v>0.02642678232730996</v>
      </c>
      <c r="J73" s="57">
        <v>0.13178512042274612</v>
      </c>
      <c r="K73" s="57">
        <v>0.841788097249944</v>
      </c>
      <c r="L73" s="58" t="str">
        <f>IF(Matchday!E75="","",Matchday!E75)</f>
        <v/>
      </c>
      <c r="M73" s="58" t="str">
        <f>IF(Matchday!F75="","",Matchday!F75)</f>
        <v/>
      </c>
      <c r="N73" s="58" t="str">
        <f>IF(Matchday!G75="","",Matchday!G75)</f>
        <v/>
      </c>
      <c r="O73" s="59" t="str">
        <f t="shared" ref="O73:Q73" si="157">IF(L73="","",1/L73)</f>
        <v/>
      </c>
      <c r="P73" s="59" t="str">
        <f t="shared" si="157"/>
        <v/>
      </c>
      <c r="Q73" s="59" t="str">
        <f t="shared" si="157"/>
        <v/>
      </c>
      <c r="R73" s="59" t="str">
        <f t="shared" si="4"/>
        <v/>
      </c>
      <c r="S73" s="59" t="str">
        <f t="array" ref="S73">IF($R73="","",IF(Method!$B$56="proportional",O73/$R73,IF(Method!$B$56="power",IFERROR(INDEX(power_devig($L73,$M73,$N73),1,1),O73/$R73),IFERROR(INDEX(shin($L73,$M73,$N73),1,1),O73/$R73))))</f>
        <v/>
      </c>
      <c r="T73" s="59" t="str">
        <f t="array" ref="T73">IF($R73="","",IF(Method!$B$56="proportional",P73/$R73,IF(Method!$B$56="power",IFERROR(INDEX(power_devig($L73,$M73,$N73),2,1),P73/$R73),IFERROR(INDEX(shin($L73,$M73,$N73),2,1),P73/$R73))))</f>
        <v/>
      </c>
      <c r="U73" s="59" t="str">
        <f t="array" ref="U73">IF($R73="","",IF(Method!$B$56="proportional",Q73/$R73,IF(Method!$B$56="power",IFERROR(INDEX(power_devig($L73,$M73,$N73),3,1),Q73/$R73),IFERROR(INDEX(shin($L73,$M73,$N73),3,1),Q73/$R73))))</f>
        <v/>
      </c>
      <c r="V73" s="59" t="str">
        <f>IF(S73="","",Method!$B$4*I73+(1-Method!$B$4)*S73/($S73+$T73+$U73))</f>
        <v/>
      </c>
      <c r="W73" s="59" t="str">
        <f>IF(T73="","",Method!$B$4*J73+(1-Method!$B$4)*T73/($S73+$T73+$U73))</f>
        <v/>
      </c>
      <c r="X73" s="59" t="str">
        <f>IF(U73="","",Method!$B$4*K73+(1-Method!$B$4)*U73/($S73+$T73+$U73))</f>
        <v/>
      </c>
      <c r="Y73" s="60" t="str">
        <f t="shared" ref="Y73:AA73" si="158">IF(V73="","",V73*L73-1)</f>
        <v/>
      </c>
      <c r="Z73" s="60" t="str">
        <f t="shared" si="158"/>
        <v/>
      </c>
      <c r="AA73" s="60" t="str">
        <f t="shared" si="158"/>
        <v/>
      </c>
      <c r="AB73" s="56" t="str">
        <f t="shared" si="6"/>
        <v/>
      </c>
      <c r="AC73" s="56" t="str">
        <f t="shared" si="7"/>
        <v/>
      </c>
      <c r="AD73" s="61" t="str">
        <f t="shared" si="8"/>
        <v/>
      </c>
      <c r="AE73" s="28" t="str">
        <f t="shared" si="9"/>
        <v/>
      </c>
      <c r="AF73" s="60" t="str">
        <f t="shared" si="10"/>
        <v/>
      </c>
      <c r="AG73" s="60" t="str">
        <f t="shared" si="11"/>
        <v/>
      </c>
      <c r="AH73" s="62" t="str">
        <f>IF(AB73="","· enter odds",IF(AND(AF73&gt;=Method!$B$7,AG73&gt;=Method!$B$8),"BET","PASS"))</f>
        <v>· enter odds</v>
      </c>
      <c r="AI73" s="63">
        <f>IF(AH73&lt;&gt;"BET",0,ROUND(MIN(Method!$B$6,Method!$B$5*AL73)*100,1))</f>
        <v>0</v>
      </c>
      <c r="AJ73" s="64">
        <f>IF(OR(AH73&lt;&gt;"BET",Method!$B$55=TRUE()),0,IF(AI73*Method!$B$10/100&lt;Method!$B$9,0,ROUND(AI73*Method!$B$10/100,0)))</f>
        <v>0</v>
      </c>
      <c r="AK73" s="59" t="str">
        <f t="shared" si="12"/>
        <v/>
      </c>
      <c r="AL73" s="59" t="str">
        <f t="shared" si="13"/>
        <v/>
      </c>
      <c r="AM73" s="56" t="str">
        <f t="shared" si="14"/>
        <v/>
      </c>
      <c r="AN73" s="65" t="str">
        <f>IF(Matchday!N75="","",Matchday!N75)</f>
        <v/>
      </c>
      <c r="AO73" s="58" t="str">
        <f>IF(Matchday!P75="","",Matchday!P75)</f>
        <v/>
      </c>
      <c r="AP73" s="66" t="str">
        <f>IF(Matchday!Q75="","",Matchday!Q75)</f>
        <v/>
      </c>
      <c r="AQ73" s="65" t="str">
        <f>IF(Matchday!R75="","",Matchday!R75)</f>
        <v/>
      </c>
      <c r="AR73" s="67" t="str">
        <f t="shared" si="15"/>
        <v/>
      </c>
      <c r="AS73" s="67" t="str">
        <f t="shared" si="16"/>
        <v/>
      </c>
      <c r="AT73" s="26" t="str">
        <f>IF(AB73="","Type the 3 odds on the Matchday tab",IF(Method!$B$55=TRUE(),"🛑 PAUSED — drawdown "&amp;TEXT(Method!$B$51,"0.0%")&amp;" ≥ "&amp;TEXT(Method!$B$52,"0.0%")&amp;". Set Method!B54=Y to override.",IF(AH73="BET",IF(AJ73=0,"Edge found but stake rounds under £"&amp;Method!$B$9&amp;" — skip","Value found: EV "&amp;TEXT(AF73,"0.0%")&amp;", edge "&amp;TEXT(AG73,"0.0%")),IF(AF73&lt;Method!$B$7,"Price too short — EV "&amp;TEXT(AF73,"0.0%")&amp;" (need "&amp;TEXT(Method!$B$7,"0.0%")&amp;"+)","Model ≈ market — edge "&amp;TEXT(AG73,"0.0%")&amp;" (need "&amp;TEXT(Method!$B$8,"0.0%")&amp;"+)"))))</f>
        <v>Type the 3 odds on the Matchday tab</v>
      </c>
      <c r="AU73" s="26" t="str">
        <f t="shared" si="17"/>
        <v/>
      </c>
      <c r="AV73" s="25" t="str">
        <f>IF(Matchday!O75="","",Matchday!O75)</f>
        <v/>
      </c>
      <c r="AW73" s="68"/>
      <c r="AX73" s="68"/>
      <c r="AY73" s="68"/>
      <c r="AZ73" s="68" t="str">
        <f t="shared" si="18"/>
        <v>· enter odds</v>
      </c>
      <c r="BA73" s="69">
        <f>IF(AX73&lt;&gt;"",AX73,IF(AH73&lt;&gt;"BET",0,IF(AI73*Method!$B$10/100&lt;Method!$B$9,0,ROUND(AI73*Method!$B$10/100,0))))</f>
        <v>0</v>
      </c>
      <c r="BB73" s="70">
        <v>-1.0</v>
      </c>
      <c r="BC73" s="70">
        <v>0.047619047619047616</v>
      </c>
      <c r="BD73" s="70">
        <v>0.15042062733863898</v>
      </c>
      <c r="BE73" s="70">
        <v>0.8694475960211991</v>
      </c>
      <c r="BF73" s="71" t="s">
        <v>296</v>
      </c>
      <c r="BG73" s="70">
        <v>175.0</v>
      </c>
      <c r="BH73" s="71" t="s">
        <v>229</v>
      </c>
      <c r="BI73" s="70">
        <v>2314.9</v>
      </c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</sheetData>
  <conditionalFormatting sqref="AH2:AH73">
    <cfRule type="cellIs" dxfId="2" priority="1" operator="equal">
      <formula>"BET"</formula>
    </cfRule>
  </conditionalFormatting>
  <conditionalFormatting sqref="AH2:AH73">
    <cfRule type="cellIs" dxfId="3" priority="2" operator="equal">
      <formula>"PASS"</formula>
    </cfRule>
  </conditionalFormatting>
  <conditionalFormatting sqref="AG2:AG73">
    <cfRule type="colorScale" priority="3">
      <colorScale>
        <cfvo type="formula" val="-0.05"/>
        <cfvo type="formula" val="0"/>
        <cfvo type="formula" val="0.08"/>
        <color rgb="FFFCA5A5"/>
        <color rgb="FFFFFFFF"/>
        <color rgb="FF4ADE80"/>
      </colorScale>
    </cfRule>
  </conditionalFormatting>
  <conditionalFormatting sqref="AR2:AR73">
    <cfRule type="cellIs" dxfId="0" priority="4" operator="lessThan">
      <formula>0</formula>
    </cfRule>
  </conditionalFormatting>
  <conditionalFormatting sqref="AR2:AR73">
    <cfRule type="cellIs" dxfId="1" priority="5" operator="greaterThan">
      <formula>0</formula>
    </cfRule>
  </conditionalFormatting>
  <conditionalFormatting sqref="AU2:AU73">
    <cfRule type="expression" dxfId="4" priority="6">
      <formula>ISNUMBER(SEARCH("⚠",AU2))</formula>
    </cfRule>
  </conditionalFormatting>
  <conditionalFormatting sqref="AU2:AU73">
    <cfRule type="expression" dxfId="1" priority="7">
      <formula>ISNUMBER(SEARCH("✓",AU2))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8.0"/>
    <col customWidth="1" min="4" max="4" width="32.0"/>
    <col customWidth="1" min="5" max="7" width="8.0"/>
    <col customWidth="1" min="8" max="8" width="22.0"/>
    <col customWidth="1" min="9" max="9" width="12.0"/>
    <col customWidth="1" min="10" max="10" width="11.0"/>
    <col customWidth="1" min="11" max="11" width="36.0"/>
    <col customWidth="1" min="12" max="12" width="13.0"/>
    <col customWidth="1" min="13" max="13" width="30.0"/>
    <col customWidth="1" min="14" max="15" width="9.0"/>
    <col customWidth="1" min="16" max="16" width="10.0"/>
    <col customWidth="1" min="17" max="18" width="11.0"/>
    <col customWidth="1" min="19" max="19" width="46.14"/>
    <col customWidth="1" min="20" max="20" width="10.0"/>
    <col customWidth="1" min="21" max="21" width="8.0"/>
    <col customWidth="1" min="22" max="22" width="14.0"/>
    <col customWidth="1" min="23" max="23" width="13.0"/>
  </cols>
  <sheetData>
    <row r="1" ht="15.75" customHeight="1">
      <c r="A1" s="74" t="s">
        <v>297</v>
      </c>
      <c r="V1" s="75"/>
      <c r="W1" s="75"/>
      <c r="X1" s="2"/>
      <c r="Y1" s="2"/>
      <c r="Z1" s="2"/>
    </row>
    <row r="2" ht="15.0" customHeight="1">
      <c r="A2" s="76" t="s">
        <v>298</v>
      </c>
      <c r="B2" s="35"/>
      <c r="C2" s="35"/>
      <c r="D2" s="36"/>
      <c r="E2" s="77" t="s">
        <v>299</v>
      </c>
      <c r="F2" s="35"/>
      <c r="G2" s="36"/>
      <c r="H2" s="78" t="s">
        <v>300</v>
      </c>
      <c r="I2" s="35"/>
      <c r="J2" s="35"/>
      <c r="K2" s="36"/>
      <c r="L2" s="79" t="s">
        <v>301</v>
      </c>
      <c r="M2" s="36"/>
      <c r="N2" s="80" t="s">
        <v>302</v>
      </c>
      <c r="O2" s="35"/>
      <c r="P2" s="35"/>
      <c r="Q2" s="35"/>
      <c r="R2" s="36"/>
      <c r="S2" s="81" t="s">
        <v>303</v>
      </c>
      <c r="T2" s="76" t="s">
        <v>304</v>
      </c>
      <c r="U2" s="36"/>
      <c r="V2" s="75" t="s">
        <v>305</v>
      </c>
      <c r="X2" s="2"/>
      <c r="Y2" s="2"/>
      <c r="Z2" s="2"/>
    </row>
    <row r="3" ht="25.5" customHeight="1">
      <c r="A3" s="82" t="s">
        <v>46</v>
      </c>
      <c r="B3" s="82" t="s">
        <v>47</v>
      </c>
      <c r="C3" s="82" t="s">
        <v>306</v>
      </c>
      <c r="D3" s="82" t="s">
        <v>49</v>
      </c>
      <c r="E3" s="82" t="s">
        <v>307</v>
      </c>
      <c r="F3" s="82" t="s">
        <v>308</v>
      </c>
      <c r="G3" s="82" t="s">
        <v>309</v>
      </c>
      <c r="H3" s="82" t="s">
        <v>144</v>
      </c>
      <c r="I3" s="82" t="s">
        <v>147</v>
      </c>
      <c r="J3" s="82" t="s">
        <v>149</v>
      </c>
      <c r="K3" s="82" t="s">
        <v>310</v>
      </c>
      <c r="L3" s="82" t="s">
        <v>311</v>
      </c>
      <c r="M3" s="82" t="s">
        <v>312</v>
      </c>
      <c r="N3" s="82" t="s">
        <v>313</v>
      </c>
      <c r="O3" s="82" t="s">
        <v>314</v>
      </c>
      <c r="P3" s="82" t="s">
        <v>315</v>
      </c>
      <c r="Q3" s="82" t="s">
        <v>316</v>
      </c>
      <c r="R3" s="82" t="s">
        <v>317</v>
      </c>
      <c r="S3" s="82" t="s">
        <v>95</v>
      </c>
      <c r="T3" s="82" t="s">
        <v>318</v>
      </c>
      <c r="U3" s="82" t="s">
        <v>319</v>
      </c>
      <c r="V3" s="75" t="s">
        <v>320</v>
      </c>
      <c r="W3" s="75" t="s">
        <v>321</v>
      </c>
      <c r="X3" s="2"/>
      <c r="Y3" s="2"/>
      <c r="Z3" s="2"/>
    </row>
    <row r="4" ht="15.0" customHeight="1">
      <c r="A4" s="83">
        <f>Bets!A2</f>
        <v>1</v>
      </c>
      <c r="B4" s="84">
        <f>Bets!B2</f>
        <v>46184</v>
      </c>
      <c r="C4" s="83" t="str">
        <f>IF(Bets!H2="","TBC",Bets!H2)</f>
        <v>20:00</v>
      </c>
      <c r="D4" s="85" t="str">
        <f>Bets!D2&amp;"  v  "&amp;Bets!E2</f>
        <v>Mexico  v  South Africa</v>
      </c>
      <c r="E4" s="86">
        <v>1.42</v>
      </c>
      <c r="F4" s="86">
        <v>4.5</v>
      </c>
      <c r="G4" s="86">
        <v>8.5</v>
      </c>
      <c r="H4" s="87" t="str">
        <f>Bets!AD2</f>
        <v>1  Mexico</v>
      </c>
      <c r="I4" s="88" t="str">
        <f>Bets!AH2</f>
        <v>PASS</v>
      </c>
      <c r="J4" s="89">
        <f>Bets!AJ2</f>
        <v>0</v>
      </c>
      <c r="K4" s="90" t="str">
        <f>Bets!AT2</f>
        <v>🛑 PAUSED — drawdown 0.6% ≥ 15.0%. Set Method!B54=Y to override.</v>
      </c>
      <c r="L4" s="91" t="s">
        <v>322</v>
      </c>
      <c r="M4" s="87" t="str">
        <f>IF(Bets!AH2="· enter odds","",IF(Method!$B$55=TRUE(),"🛑 PAUSED — drawdown protection. Override Method!B54=Y if intended.",IF(Bets!AH2&lt;&gt;"BET","❌ NO BET — price not good enough",IF(Bets!AJ2=0,"❌ NO BET — stake under minimum",IF(L4="","🟡 WAIT — check team news first",IF(L4="N","🔴 SKIP — team news concern",IF(L4="Y","🟢 PLACE £"&amp;Bets!AJ2&amp;" on "&amp;Bets!AD2,"")))))))</f>
        <v>🛑 PAUSED — drawdown protection. Override Method!B54=Y if intended.</v>
      </c>
      <c r="N4" s="91" t="s">
        <v>322</v>
      </c>
      <c r="O4" s="91" t="s">
        <v>178</v>
      </c>
      <c r="P4" s="86">
        <v>1.42</v>
      </c>
      <c r="Q4" s="92">
        <v>20.0</v>
      </c>
      <c r="R4" s="91" t="s">
        <v>178</v>
      </c>
      <c r="S4" s="90" t="str">
        <f>Bets!AU2</f>
        <v>⚠ FUN BET — engine said pass · staked £20 vs engine £0</v>
      </c>
      <c r="T4" s="86">
        <v>0.48</v>
      </c>
      <c r="U4" s="93">
        <f t="shared" ref="U4:U75" si="1">IF(OR(T4="",P4=""),"",P4/T4-1)</f>
        <v>1.958333333</v>
      </c>
      <c r="V4" s="75">
        <v>50.0</v>
      </c>
      <c r="W4" s="75">
        <v>180.0</v>
      </c>
      <c r="X4" s="2"/>
      <c r="Y4" s="2"/>
      <c r="Z4" s="2"/>
    </row>
    <row r="5" ht="15.0" customHeight="1">
      <c r="A5" s="83">
        <f>Bets!A3</f>
        <v>2</v>
      </c>
      <c r="B5" s="84">
        <f>Bets!B3</f>
        <v>46184</v>
      </c>
      <c r="C5" s="83" t="str">
        <f>IF(Bets!H3="","TBC",Bets!H3)</f>
        <v>03:00 +1d</v>
      </c>
      <c r="D5" s="85" t="str">
        <f>Bets!D3&amp;"  v  "&amp;Bets!E3</f>
        <v>South Korea  v  Czechia</v>
      </c>
      <c r="E5" s="86">
        <v>2.7</v>
      </c>
      <c r="F5" s="86">
        <v>3.1</v>
      </c>
      <c r="G5" s="86">
        <v>2.8</v>
      </c>
      <c r="H5" s="87" t="str">
        <f>Bets!AD3</f>
        <v>1  South Korea</v>
      </c>
      <c r="I5" s="88" t="str">
        <f>Bets!AH3</f>
        <v>BET</v>
      </c>
      <c r="J5" s="89">
        <f>Bets!AJ3</f>
        <v>0</v>
      </c>
      <c r="K5" s="90" t="str">
        <f>Bets!AT3</f>
        <v>🛑 PAUSED — drawdown 0.6% ≥ 15.0%. Set Method!B54=Y to override.</v>
      </c>
      <c r="L5" s="91" t="s">
        <v>322</v>
      </c>
      <c r="M5" s="87" t="str">
        <f>IF(Bets!AH3="· enter odds","",IF(Method!$B$55=TRUE(),"🛑 PAUSED — drawdown protection. Override Method!B54=Y if intended.",IF(Bets!AH3&lt;&gt;"BET","❌ NO BET — price not good enough",IF(Bets!AJ3=0,"❌ NO BET — stake under minimum",IF(L5="","🟡 WAIT — check team news first",IF(L5="N","🔴 SKIP — team news concern",IF(L5="Y","🟢 PLACE £"&amp;Bets!AJ3&amp;" on "&amp;Bets!AD3,"")))))))</f>
        <v>🛑 PAUSED — drawdown protection. Override Method!B54=Y if intended.</v>
      </c>
      <c r="N5" s="91" t="s">
        <v>322</v>
      </c>
      <c r="O5" s="91" t="s">
        <v>178</v>
      </c>
      <c r="P5" s="86">
        <v>2.6</v>
      </c>
      <c r="Q5" s="92">
        <v>10.0</v>
      </c>
      <c r="R5" s="91" t="s">
        <v>178</v>
      </c>
      <c r="S5" s="90" t="str">
        <f>Bets!AU3</f>
        <v>⚠ stake over engine £3</v>
      </c>
      <c r="T5" s="86">
        <v>1.66</v>
      </c>
      <c r="U5" s="93">
        <f t="shared" si="1"/>
        <v>0.5662650602</v>
      </c>
      <c r="V5" s="75">
        <v>10.0</v>
      </c>
      <c r="W5" s="75">
        <v>26.0</v>
      </c>
      <c r="X5" s="2"/>
      <c r="Y5" s="2"/>
      <c r="Z5" s="2"/>
    </row>
    <row r="6" ht="15.0" customHeight="1">
      <c r="A6" s="83">
        <f>Bets!A4</f>
        <v>3</v>
      </c>
      <c r="B6" s="84">
        <f>Bets!B4</f>
        <v>46185</v>
      </c>
      <c r="C6" s="83" t="str">
        <f>IF(Bets!H4="","TBC",Bets!H4)</f>
        <v>20:00</v>
      </c>
      <c r="D6" s="85" t="str">
        <f>Bets!D4&amp;"  v  "&amp;Bets!E4</f>
        <v>Canada  v  Bosnia and Herzegovina</v>
      </c>
      <c r="E6" s="86">
        <v>1.85</v>
      </c>
      <c r="F6" s="86">
        <v>3.5</v>
      </c>
      <c r="G6" s="86">
        <v>4.5</v>
      </c>
      <c r="H6" s="87" t="str">
        <f>Bets!AD4</f>
        <v>1  Canada</v>
      </c>
      <c r="I6" s="88" t="str">
        <f>Bets!AH4</f>
        <v>BET</v>
      </c>
      <c r="J6" s="89">
        <f>Bets!AJ4</f>
        <v>0</v>
      </c>
      <c r="K6" s="90" t="str">
        <f>Bets!AT4</f>
        <v>🛑 PAUSED — drawdown 0.6% ≥ 15.0%. Set Method!B54=Y to override.</v>
      </c>
      <c r="L6" s="91" t="s">
        <v>323</v>
      </c>
      <c r="M6" s="87" t="str">
        <f>IF(Bets!AH4="· enter odds","",IF(Method!$B$55=TRUE(),"🛑 PAUSED — drawdown protection. Override Method!B54=Y if intended.",IF(Bets!AH4&lt;&gt;"BET","❌ NO BET — price not good enough",IF(Bets!AJ4=0,"❌ NO BET — stake under minimum",IF(L6="","🟡 WAIT — check team news first",IF(L6="N","🔴 SKIP — team news concern",IF(L6="Y","🟢 PLACE £"&amp;Bets!AJ4&amp;" on "&amp;Bets!AD4,"")))))))</f>
        <v>🛑 PAUSED — drawdown protection. Override Method!B54=Y if intended.</v>
      </c>
      <c r="N6" s="91" t="s">
        <v>322</v>
      </c>
      <c r="O6" s="91" t="s">
        <v>178</v>
      </c>
      <c r="P6" s="86">
        <v>1.85</v>
      </c>
      <c r="Q6" s="92">
        <v>24.0</v>
      </c>
      <c r="R6" s="91" t="s">
        <v>193</v>
      </c>
      <c r="S6" s="90" t="str">
        <f>Bets!AU4</f>
        <v>⚠ stake over engine £12</v>
      </c>
      <c r="T6" s="86"/>
      <c r="U6" s="93" t="str">
        <f t="shared" si="1"/>
        <v/>
      </c>
      <c r="V6" s="75">
        <v>74.0</v>
      </c>
      <c r="W6" s="75">
        <v>0.0</v>
      </c>
      <c r="X6" s="2"/>
      <c r="Y6" s="2"/>
      <c r="Z6" s="2"/>
    </row>
    <row r="7" ht="15.0" customHeight="1">
      <c r="A7" s="83">
        <f>Bets!A5</f>
        <v>4</v>
      </c>
      <c r="B7" s="84">
        <f>Bets!B5</f>
        <v>46185</v>
      </c>
      <c r="C7" s="83" t="str">
        <f>IF(Bets!H5="","TBC",Bets!H5)</f>
        <v>02:00 +1d</v>
      </c>
      <c r="D7" s="85" t="str">
        <f>Bets!D5&amp;"  v  "&amp;Bets!E5</f>
        <v>United States  v  Paraguay</v>
      </c>
      <c r="E7" s="86">
        <v>2.18</v>
      </c>
      <c r="F7" s="86">
        <v>3.3</v>
      </c>
      <c r="G7" s="86">
        <v>4.1</v>
      </c>
      <c r="H7" s="87" t="str">
        <f>Bets!AD5</f>
        <v>1  United States</v>
      </c>
      <c r="I7" s="88" t="str">
        <f>Bets!AH5</f>
        <v>PASS</v>
      </c>
      <c r="J7" s="89">
        <f>Bets!AJ5</f>
        <v>0</v>
      </c>
      <c r="K7" s="90" t="str">
        <f>Bets!AT5</f>
        <v>🛑 PAUSED — drawdown 0.6% ≥ 15.0%. Set Method!B54=Y to override.</v>
      </c>
      <c r="L7" s="91" t="s">
        <v>322</v>
      </c>
      <c r="M7" s="87" t="str">
        <f>IF(Bets!AH5="· enter odds","",IF(Method!$B$55=TRUE(),"🛑 PAUSED — drawdown protection. Override Method!B54=Y if intended.",IF(Bets!AH5&lt;&gt;"BET","❌ NO BET — price not good enough",IF(Bets!AJ5=0,"❌ NO BET — stake under minimum",IF(L7="","🟡 WAIT — check team news first",IF(L7="N","🔴 SKIP — team news concern",IF(L7="Y","🟢 PLACE £"&amp;Bets!AJ5&amp;" on "&amp;Bets!AD5,"")))))))</f>
        <v>🛑 PAUSED — drawdown protection. Override Method!B54=Y if intended.</v>
      </c>
      <c r="N7" s="91" t="s">
        <v>322</v>
      </c>
      <c r="O7" s="91" t="s">
        <v>178</v>
      </c>
      <c r="P7" s="86">
        <v>2.05</v>
      </c>
      <c r="Q7" s="92">
        <v>20.0</v>
      </c>
      <c r="R7" s="91" t="s">
        <v>178</v>
      </c>
      <c r="S7" s="90" t="str">
        <f>Bets!AU5</f>
        <v>⚠ FUN BET — engine said pass · staked £20 vs engine £0</v>
      </c>
      <c r="T7" s="86">
        <f>28/25</f>
        <v>1.12</v>
      </c>
      <c r="U7" s="93">
        <f t="shared" si="1"/>
        <v>0.8303571429</v>
      </c>
      <c r="V7" s="75">
        <v>20.0</v>
      </c>
      <c r="W7" s="75">
        <v>40.0</v>
      </c>
      <c r="X7" s="2"/>
      <c r="Y7" s="2"/>
      <c r="Z7" s="2"/>
    </row>
    <row r="8" ht="15.0" customHeight="1">
      <c r="A8" s="83">
        <f>Bets!A6</f>
        <v>5</v>
      </c>
      <c r="B8" s="84">
        <f>Bets!B6</f>
        <v>46186</v>
      </c>
      <c r="C8" s="83" t="str">
        <f>IF(Bets!H6="","TBC",Bets!H6)</f>
        <v>20:00</v>
      </c>
      <c r="D8" s="85" t="str">
        <f>Bets!D6&amp;"  v  "&amp;Bets!E6</f>
        <v>Qatar  v  Switzerland</v>
      </c>
      <c r="E8" s="86">
        <f>14/1</f>
        <v>14</v>
      </c>
      <c r="F8" s="86">
        <v>7.5</v>
      </c>
      <c r="G8" s="94">
        <v>1.2</v>
      </c>
      <c r="H8" s="87" t="str">
        <f>Bets!AD6</f>
        <v>X  Draw</v>
      </c>
      <c r="I8" s="88" t="str">
        <f>Bets!AH6</f>
        <v>BET</v>
      </c>
      <c r="J8" s="89">
        <f>Bets!AJ6</f>
        <v>0</v>
      </c>
      <c r="K8" s="90" t="str">
        <f>Bets!AT6</f>
        <v>🛑 PAUSED — drawdown 0.6% ≥ 15.0%. Set Method!B54=Y to override.</v>
      </c>
      <c r="L8" s="91" t="s">
        <v>322</v>
      </c>
      <c r="M8" s="87" t="str">
        <f>IF(Bets!AH6="· enter odds","",IF(Method!$B$55=TRUE(),"🛑 PAUSED — drawdown protection. Override Method!B54=Y if intended.",IF(Bets!AH6&lt;&gt;"BET","❌ NO BET — price not good enough",IF(Bets!AJ6=0,"❌ NO BET — stake under minimum",IF(L8="","🟡 WAIT — check team news first",IF(L8="N","🔴 SKIP — team news concern",IF(L8="Y","🟢 PLACE £"&amp;Bets!AJ6&amp;" on "&amp;Bets!AD6,"")))))))</f>
        <v>🛑 PAUSED — drawdown protection. Override Method!B54=Y if intended.</v>
      </c>
      <c r="N8" s="91" t="s">
        <v>322</v>
      </c>
      <c r="O8" s="91" t="s">
        <v>172</v>
      </c>
      <c r="P8" s="86">
        <v>7.5</v>
      </c>
      <c r="Q8" s="92">
        <v>20.0</v>
      </c>
      <c r="R8" s="91" t="s">
        <v>193</v>
      </c>
      <c r="S8" s="90" t="str">
        <f>Bets!AU6</f>
        <v>⚠ FUN BET — engine said pass · staked £20 vs engine £0</v>
      </c>
      <c r="T8" s="86"/>
      <c r="U8" s="93" t="str">
        <f t="shared" si="1"/>
        <v/>
      </c>
      <c r="V8" s="75">
        <v>20.0</v>
      </c>
      <c r="W8" s="95">
        <v>0.0</v>
      </c>
      <c r="X8" s="2"/>
      <c r="Y8" s="2"/>
      <c r="Z8" s="2"/>
    </row>
    <row r="9" ht="15.0" customHeight="1">
      <c r="A9" s="83">
        <f>Bets!A7</f>
        <v>6</v>
      </c>
      <c r="B9" s="84">
        <f>Bets!B7</f>
        <v>46186</v>
      </c>
      <c r="C9" s="83" t="str">
        <f>IF(Bets!H7="","TBC",Bets!H7)</f>
        <v>23:00</v>
      </c>
      <c r="D9" s="85" t="str">
        <f>Bets!D7&amp;"  v  "&amp;Bets!E7</f>
        <v>Brazil  v  Morocco</v>
      </c>
      <c r="E9" s="86">
        <v>1.7</v>
      </c>
      <c r="F9" s="86">
        <v>3.75</v>
      </c>
      <c r="G9" s="86">
        <v>5.5</v>
      </c>
      <c r="H9" s="87" t="str">
        <f>Bets!AD7</f>
        <v>2  Morocco</v>
      </c>
      <c r="I9" s="88" t="str">
        <f>Bets!AH7</f>
        <v>BET</v>
      </c>
      <c r="J9" s="89">
        <f>Bets!AJ7</f>
        <v>0</v>
      </c>
      <c r="K9" s="90" t="str">
        <f>Bets!AT7</f>
        <v>🛑 PAUSED — drawdown 0.6% ≥ 15.0%. Set Method!B54=Y to override.</v>
      </c>
      <c r="L9" s="96" t="s">
        <v>323</v>
      </c>
      <c r="M9" s="87" t="str">
        <f>IF(Bets!AH7="· enter odds","",IF(Method!$B$55=TRUE(),"🛑 PAUSED — drawdown protection. Override Method!B54=Y if intended.",IF(Bets!AH7&lt;&gt;"BET","❌ NO BET — price not good enough",IF(Bets!AJ7=0,"❌ NO BET — stake under minimum",IF(L9="","🟡 WAIT — check team news first",IF(L9="N","🔴 SKIP — team news concern",IF(L9="Y","🟢 PLACE £"&amp;Bets!AJ7&amp;" on "&amp;Bets!AD7,"")))))))</f>
        <v>🛑 PAUSED — drawdown protection. Override Method!B54=Y if intended.</v>
      </c>
      <c r="N9" s="91" t="s">
        <v>322</v>
      </c>
      <c r="O9" s="91" t="s">
        <v>178</v>
      </c>
      <c r="P9" s="86">
        <v>1.68</v>
      </c>
      <c r="Q9" s="92">
        <v>30.0</v>
      </c>
      <c r="R9" s="91" t="s">
        <v>178</v>
      </c>
      <c r="S9" s="90" t="str">
        <f>Bets!AU7</f>
        <v>⚠ backed H but engine pick was A</v>
      </c>
      <c r="T9" s="86"/>
      <c r="U9" s="93" t="str">
        <f t="shared" si="1"/>
        <v/>
      </c>
      <c r="V9" s="75">
        <f>0.78+20+0.4+10</f>
        <v>31.18</v>
      </c>
      <c r="W9" s="95">
        <v>0.0</v>
      </c>
      <c r="X9" s="2"/>
      <c r="Y9" s="2"/>
      <c r="Z9" s="2"/>
    </row>
    <row r="10" ht="15.0" customHeight="1">
      <c r="A10" s="83">
        <f>Bets!A8</f>
        <v>7</v>
      </c>
      <c r="B10" s="84">
        <f>Bets!B8</f>
        <v>46186</v>
      </c>
      <c r="C10" s="83" t="str">
        <f>IF(Bets!H8="","TBC",Bets!H8)</f>
        <v>02:00 +1d</v>
      </c>
      <c r="D10" s="85" t="str">
        <f>Bets!D8&amp;"  v  "&amp;Bets!E8</f>
        <v>Haiti  v  Scotland</v>
      </c>
      <c r="E10" s="86">
        <v>6.0</v>
      </c>
      <c r="F10" s="86">
        <v>4.5</v>
      </c>
      <c r="G10" s="86">
        <v>0.53</v>
      </c>
      <c r="H10" s="87" t="str">
        <f>Bets!AD8</f>
        <v>1  Haiti</v>
      </c>
      <c r="I10" s="88" t="str">
        <f>Bets!AH8</f>
        <v>PASS</v>
      </c>
      <c r="J10" s="89">
        <f>Bets!AJ8</f>
        <v>0</v>
      </c>
      <c r="K10" s="90" t="str">
        <f>Bets!AT8</f>
        <v>🛑 PAUSED — drawdown 0.6% ≥ 15.0%. Set Method!B54=Y to override.</v>
      </c>
      <c r="L10" s="91"/>
      <c r="M10" s="87" t="str">
        <f>IF(Bets!AH8="· enter odds","",IF(Method!$B$55=TRUE(),"🛑 PAUSED — drawdown protection. Override Method!B54=Y if intended.",IF(Bets!AH8&lt;&gt;"BET","❌ NO BET — price not good enough",IF(Bets!AJ8=0,"❌ NO BET — stake under minimum",IF(L10="","🟡 WAIT — check team news first",IF(L10="N","🔴 SKIP — team news concern",IF(L10="Y","🟢 PLACE £"&amp;Bets!AJ8&amp;" on "&amp;Bets!AD8,"")))))))</f>
        <v>🛑 PAUSED — drawdown protection. Override Method!B54=Y if intended.</v>
      </c>
      <c r="N10" s="96" t="s">
        <v>323</v>
      </c>
      <c r="O10" s="91"/>
      <c r="P10" s="86"/>
      <c r="Q10" s="92"/>
      <c r="R10" s="91"/>
      <c r="S10" s="90" t="str">
        <f>Bets!AU8</f>
        <v/>
      </c>
      <c r="T10" s="86"/>
      <c r="U10" s="93" t="str">
        <f t="shared" si="1"/>
        <v/>
      </c>
      <c r="V10" s="75"/>
      <c r="W10" s="75"/>
      <c r="X10" s="2"/>
      <c r="Y10" s="2"/>
      <c r="Z10" s="2"/>
    </row>
    <row r="11" ht="15.0" customHeight="1">
      <c r="A11" s="83">
        <f>Bets!A9</f>
        <v>8</v>
      </c>
      <c r="B11" s="84">
        <f>Bets!B9</f>
        <v>46186</v>
      </c>
      <c r="C11" s="83" t="str">
        <f>IF(Bets!H9="","TBC",Bets!H9)</f>
        <v>05:00 +1d</v>
      </c>
      <c r="D11" s="85" t="str">
        <f>Bets!D9&amp;"  v  "&amp;Bets!E9</f>
        <v>Australia  v  Turkey</v>
      </c>
      <c r="E11" s="86">
        <v>5.25</v>
      </c>
      <c r="F11" s="86">
        <v>3.8</v>
      </c>
      <c r="G11" s="86">
        <v>1.66</v>
      </c>
      <c r="H11" s="87" t="str">
        <f>Bets!AD9</f>
        <v>1  Australia</v>
      </c>
      <c r="I11" s="88" t="str">
        <f>Bets!AH9</f>
        <v>BET</v>
      </c>
      <c r="J11" s="89">
        <f>Bets!AJ9</f>
        <v>0</v>
      </c>
      <c r="K11" s="90" t="str">
        <f>Bets!AT9</f>
        <v>🛑 PAUSED — drawdown 0.6% ≥ 15.0%. Set Method!B54=Y to override.</v>
      </c>
      <c r="L11" s="91" t="s">
        <v>322</v>
      </c>
      <c r="M11" s="87" t="str">
        <f>IF(Bets!AH9="· enter odds","",IF(Method!$B$55=TRUE(),"🛑 PAUSED — drawdown protection. Override Method!B54=Y if intended.",IF(Bets!AH9&lt;&gt;"BET","❌ NO BET — price not good enough",IF(Bets!AJ9=0,"❌ NO BET — stake under minimum",IF(L11="","🟡 WAIT — check team news first",IF(L11="N","🔴 SKIP — team news concern",IF(L11="Y","🟢 PLACE £"&amp;Bets!AJ9&amp;" on "&amp;Bets!AD9,"")))))))</f>
        <v>🛑 PAUSED — drawdown protection. Override Method!B54=Y if intended.</v>
      </c>
      <c r="N11" s="96" t="s">
        <v>322</v>
      </c>
      <c r="O11" s="96" t="s">
        <v>178</v>
      </c>
      <c r="P11" s="97">
        <v>5.25</v>
      </c>
      <c r="Q11" s="98">
        <v>10.0</v>
      </c>
      <c r="R11" s="96" t="s">
        <v>178</v>
      </c>
      <c r="S11" s="90" t="str">
        <f>Bets!AU9</f>
        <v>⚠ stake over engine £0</v>
      </c>
      <c r="T11" s="86">
        <f>19/4</f>
        <v>4.75</v>
      </c>
      <c r="U11" s="93">
        <f t="shared" si="1"/>
        <v>0.1052631579</v>
      </c>
      <c r="V11" s="95">
        <v>10.0</v>
      </c>
      <c r="W11" s="95">
        <v>52.5</v>
      </c>
      <c r="X11" s="2"/>
      <c r="Y11" s="2"/>
      <c r="Z11" s="2"/>
    </row>
    <row r="12" ht="15.0" customHeight="1">
      <c r="A12" s="83">
        <f>Bets!A10</f>
        <v>9</v>
      </c>
      <c r="B12" s="84">
        <f>Bets!B10</f>
        <v>46187</v>
      </c>
      <c r="C12" s="83" t="str">
        <f>IF(Bets!H10="","TBC",Bets!H10)</f>
        <v>18:00</v>
      </c>
      <c r="D12" s="85" t="str">
        <f>Bets!D10&amp;"  v  "&amp;Bets!E10</f>
        <v>Germany  v  Curacao</v>
      </c>
      <c r="E12" s="97">
        <v>1.03</v>
      </c>
      <c r="F12" s="97">
        <v>19.0</v>
      </c>
      <c r="G12" s="97">
        <v>34.0</v>
      </c>
      <c r="H12" s="87" t="str">
        <f>Bets!AD10</f>
        <v>X  Draw</v>
      </c>
      <c r="I12" s="88" t="str">
        <f>Bets!AH10</f>
        <v>BET</v>
      </c>
      <c r="J12" s="89">
        <f>Bets!AJ10</f>
        <v>0</v>
      </c>
      <c r="K12" s="90" t="str">
        <f>Bets!AT10</f>
        <v>🛑 PAUSED — drawdown 0.6% ≥ 15.0%. Set Method!B54=Y to override.</v>
      </c>
      <c r="L12" s="96" t="s">
        <v>322</v>
      </c>
      <c r="M12" s="87" t="str">
        <f>IF(Bets!AH10="· enter odds","",IF(Method!$B$55=TRUE(),"🛑 PAUSED — drawdown protection. Override Method!B54=Y if intended.",IF(Bets!AH10&lt;&gt;"BET","❌ NO BET — price not good enough",IF(Bets!AJ10=0,"❌ NO BET — stake under minimum",IF(L12="","🟡 WAIT — check team news first",IF(L12="N","🔴 SKIP — team news concern",IF(L12="Y","🟢 PLACE £"&amp;Bets!AJ10&amp;" on "&amp;Bets!AD10,"")))))))</f>
        <v>🛑 PAUSED — drawdown protection. Override Method!B54=Y if intended.</v>
      </c>
      <c r="N12" s="96" t="s">
        <v>322</v>
      </c>
      <c r="O12" s="96" t="s">
        <v>193</v>
      </c>
      <c r="P12" s="97">
        <v>19.0</v>
      </c>
      <c r="Q12" s="98">
        <v>6.0</v>
      </c>
      <c r="R12" s="96" t="s">
        <v>178</v>
      </c>
      <c r="S12" s="90" t="str">
        <f>Bets!AU10</f>
        <v>✓ engine bet</v>
      </c>
      <c r="T12" s="86"/>
      <c r="U12" s="93" t="str">
        <f t="shared" si="1"/>
        <v/>
      </c>
      <c r="V12" s="75"/>
      <c r="W12" s="75"/>
      <c r="X12" s="2"/>
      <c r="Y12" s="2"/>
      <c r="Z12" s="2"/>
    </row>
    <row r="13" ht="15.0" customHeight="1">
      <c r="A13" s="83">
        <f>Bets!A11</f>
        <v>10</v>
      </c>
      <c r="B13" s="84">
        <f>Bets!B11</f>
        <v>46187</v>
      </c>
      <c r="C13" s="83" t="str">
        <f>IF(Bets!H11="","TBC",Bets!H11)</f>
        <v>21:00</v>
      </c>
      <c r="D13" s="85" t="str">
        <f>Bets!D11&amp;"  v  "&amp;Bets!E11</f>
        <v>Netherlands  v  Japan</v>
      </c>
      <c r="E13" s="97">
        <v>2.05</v>
      </c>
      <c r="F13" s="97">
        <v>3.5</v>
      </c>
      <c r="G13" s="97">
        <v>3.7</v>
      </c>
      <c r="H13" s="87" t="str">
        <f>Bets!AD11</f>
        <v>2  Japan</v>
      </c>
      <c r="I13" s="88" t="str">
        <f>Bets!AH11</f>
        <v>PASS</v>
      </c>
      <c r="J13" s="89">
        <f>Bets!AJ11</f>
        <v>0</v>
      </c>
      <c r="K13" s="90" t="str">
        <f>Bets!AT11</f>
        <v>🛑 PAUSED — drawdown 0.6% ≥ 15.0%. Set Method!B54=Y to override.</v>
      </c>
      <c r="L13" s="96" t="s">
        <v>323</v>
      </c>
      <c r="M13" s="87" t="str">
        <f>IF(Bets!AH11="· enter odds","",IF(Method!$B$55=TRUE(),"🛑 PAUSED — drawdown protection. Override Method!B54=Y if intended.",IF(Bets!AH11&lt;&gt;"BET","❌ NO BET — price not good enough",IF(Bets!AJ11=0,"❌ NO BET — stake under minimum",IF(L13="","🟡 WAIT — check team news first",IF(L13="N","🔴 SKIP — team news concern",IF(L13="Y","🟢 PLACE £"&amp;Bets!AJ11&amp;" on "&amp;Bets!AD11,"")))))))</f>
        <v>🛑 PAUSED — drawdown protection. Override Method!B54=Y if intended.</v>
      </c>
      <c r="N13" s="96" t="s">
        <v>322</v>
      </c>
      <c r="O13" s="96" t="s">
        <v>178</v>
      </c>
      <c r="P13" s="86">
        <f>1/1</f>
        <v>1</v>
      </c>
      <c r="Q13" s="92"/>
      <c r="R13" s="91"/>
      <c r="S13" s="90" t="str">
        <f>Bets!AU11</f>
        <v>⚠ log backed pick, odds &amp; stake</v>
      </c>
      <c r="T13" s="86"/>
      <c r="U13" s="93" t="str">
        <f t="shared" si="1"/>
        <v/>
      </c>
      <c r="V13" s="75"/>
      <c r="W13" s="75"/>
      <c r="X13" s="2"/>
      <c r="Y13" s="2"/>
      <c r="Z13" s="2"/>
    </row>
    <row r="14" ht="15.0" customHeight="1">
      <c r="A14" s="83">
        <f>Bets!A12</f>
        <v>11</v>
      </c>
      <c r="B14" s="84">
        <f>Bets!B12</f>
        <v>46187</v>
      </c>
      <c r="C14" s="83" t="str">
        <f>IF(Bets!H12="","TBC",Bets!H12)</f>
        <v>00:00 +1d</v>
      </c>
      <c r="D14" s="85" t="str">
        <f>Bets!D12&amp;"  v  "&amp;Bets!E12</f>
        <v>Ivory Coast  v  Ecuador</v>
      </c>
      <c r="E14" s="99">
        <f>21/10</f>
        <v>2.1</v>
      </c>
      <c r="F14" s="86">
        <f>7/4</f>
        <v>1.75</v>
      </c>
      <c r="G14" s="86">
        <f>8/5</f>
        <v>1.6</v>
      </c>
      <c r="H14" s="87" t="str">
        <f>Bets!AD12</f>
        <v>2  Ecuador</v>
      </c>
      <c r="I14" s="88" t="str">
        <f>Bets!AH12</f>
        <v>PASS</v>
      </c>
      <c r="J14" s="89">
        <f>Bets!AJ12</f>
        <v>0</v>
      </c>
      <c r="K14" s="90" t="str">
        <f>Bets!AT12</f>
        <v>🛑 PAUSED — drawdown 0.6% ≥ 15.0%. Set Method!B54=Y to override.</v>
      </c>
      <c r="L14" s="91"/>
      <c r="M14" s="87" t="str">
        <f>IF(Bets!AH12="· enter odds","",IF(Method!$B$55=TRUE(),"🛑 PAUSED — drawdown protection. Override Method!B54=Y if intended.",IF(Bets!AH12&lt;&gt;"BET","❌ NO BET — price not good enough",IF(Bets!AJ12=0,"❌ NO BET — stake under minimum",IF(L14="","🟡 WAIT — check team news first",IF(L14="N","🔴 SKIP — team news concern",IF(L14="Y","🟢 PLACE £"&amp;Bets!AJ12&amp;" on "&amp;Bets!AD12,"")))))))</f>
        <v>🛑 PAUSED — drawdown protection. Override Method!B54=Y if intended.</v>
      </c>
      <c r="N14" s="91"/>
      <c r="O14" s="91"/>
      <c r="P14" s="86"/>
      <c r="Q14" s="92"/>
      <c r="R14" s="91"/>
      <c r="S14" s="90" t="str">
        <f>Bets!AU12</f>
        <v/>
      </c>
      <c r="T14" s="86"/>
      <c r="U14" s="93" t="str">
        <f t="shared" si="1"/>
        <v/>
      </c>
      <c r="V14" s="75"/>
      <c r="W14" s="75"/>
      <c r="X14" s="2"/>
      <c r="Y14" s="2"/>
      <c r="Z14" s="2"/>
    </row>
    <row r="15" ht="15.0" customHeight="1">
      <c r="A15" s="83">
        <f>Bets!A13</f>
        <v>12</v>
      </c>
      <c r="B15" s="84">
        <f>Bets!B13</f>
        <v>46187</v>
      </c>
      <c r="C15" s="83" t="str">
        <f>IF(Bets!H13="","TBC",Bets!H13)</f>
        <v>03:00 +1d</v>
      </c>
      <c r="D15" s="85" t="str">
        <f>Bets!D13&amp;"  v  "&amp;Bets!E13</f>
        <v>Sweden  v  Tunisia</v>
      </c>
      <c r="E15" s="97">
        <v>1.9</v>
      </c>
      <c r="F15" s="97">
        <v>3.4</v>
      </c>
      <c r="G15" s="97">
        <v>4.33</v>
      </c>
      <c r="H15" s="87" t="str">
        <f>Bets!AD13</f>
        <v>2  Tunisia</v>
      </c>
      <c r="I15" s="88" t="str">
        <f>Bets!AH13</f>
        <v>BET</v>
      </c>
      <c r="J15" s="89">
        <f>Bets!AJ13</f>
        <v>0</v>
      </c>
      <c r="K15" s="90" t="str">
        <f>Bets!AT13</f>
        <v>🛑 PAUSED — drawdown 0.6% ≥ 15.0%. Set Method!B54=Y to override.</v>
      </c>
      <c r="L15" s="96" t="s">
        <v>323</v>
      </c>
      <c r="M15" s="87" t="str">
        <f>IF(Bets!AH13="· enter odds","",IF(Method!$B$55=TRUE(),"🛑 PAUSED — drawdown protection. Override Method!B54=Y if intended.",IF(Bets!AH13&lt;&gt;"BET","❌ NO BET — price not good enough",IF(Bets!AJ13=0,"❌ NO BET — stake under minimum",IF(L15="","🟡 WAIT — check team news first",IF(L15="N","🔴 SKIP — team news concern",IF(L15="Y","🟢 PLACE £"&amp;Bets!AJ13&amp;" on "&amp;Bets!AD13,"")))))))</f>
        <v>🛑 PAUSED — drawdown protection. Override Method!B54=Y if intended.</v>
      </c>
      <c r="N15" s="91"/>
      <c r="O15" s="91"/>
      <c r="P15" s="86"/>
      <c r="Q15" s="92"/>
      <c r="R15" s="91"/>
      <c r="S15" s="90" t="str">
        <f>Bets!AU13</f>
        <v/>
      </c>
      <c r="T15" s="86"/>
      <c r="U15" s="93" t="str">
        <f t="shared" si="1"/>
        <v/>
      </c>
      <c r="V15" s="75"/>
      <c r="W15" s="75"/>
      <c r="X15" s="2"/>
      <c r="Y15" s="2"/>
      <c r="Z15" s="2"/>
    </row>
    <row r="16" ht="15.0" customHeight="1">
      <c r="A16" s="83">
        <f>Bets!A14</f>
        <v>13</v>
      </c>
      <c r="B16" s="84">
        <f>Bets!B14</f>
        <v>46188</v>
      </c>
      <c r="C16" s="83" t="str">
        <f>IF(Bets!H14="","TBC",Bets!H14)</f>
        <v>17:00</v>
      </c>
      <c r="D16" s="85" t="str">
        <f>Bets!D14&amp;"  v  "&amp;Bets!E14</f>
        <v>Spain  v  Cape Verde</v>
      </c>
      <c r="E16" s="97">
        <v>1.1</v>
      </c>
      <c r="F16" s="97">
        <v>14.0</v>
      </c>
      <c r="G16" s="97">
        <v>23.0</v>
      </c>
      <c r="H16" s="87" t="str">
        <f>Bets!AD14</f>
        <v>X  Draw</v>
      </c>
      <c r="I16" s="88" t="str">
        <f>Bets!AH14</f>
        <v>BET</v>
      </c>
      <c r="J16" s="89">
        <f>Bets!AJ14</f>
        <v>0</v>
      </c>
      <c r="K16" s="90" t="str">
        <f>Bets!AT14</f>
        <v>🛑 PAUSED — drawdown 0.6% ≥ 15.0%. Set Method!B54=Y to override.</v>
      </c>
      <c r="L16" s="96" t="s">
        <v>322</v>
      </c>
      <c r="M16" s="87" t="str">
        <f>IF(Bets!AH14="· enter odds","",IF(Method!$B$55=TRUE(),"🛑 PAUSED — drawdown protection. Override Method!B54=Y if intended.",IF(Bets!AH14&lt;&gt;"BET","❌ NO BET — price not good enough",IF(Bets!AJ14=0,"❌ NO BET — stake under minimum",IF(L16="","🟡 WAIT — check team news first",IF(L16="N","🔴 SKIP — team news concern",IF(L16="Y","🟢 PLACE £"&amp;Bets!AJ14&amp;" on "&amp;Bets!AD14,"")))))))</f>
        <v>🛑 PAUSED — drawdown protection. Override Method!B54=Y if intended.</v>
      </c>
      <c r="N16" s="91"/>
      <c r="O16" s="91"/>
      <c r="P16" s="86"/>
      <c r="Q16" s="92"/>
      <c r="R16" s="91"/>
      <c r="S16" s="90" t="str">
        <f>Bets!AU14</f>
        <v/>
      </c>
      <c r="T16" s="86"/>
      <c r="U16" s="93" t="str">
        <f t="shared" si="1"/>
        <v/>
      </c>
      <c r="V16" s="75"/>
      <c r="W16" s="75"/>
      <c r="X16" s="2"/>
      <c r="Y16" s="2"/>
      <c r="Z16" s="2"/>
    </row>
    <row r="17" ht="15.0" customHeight="1">
      <c r="A17" s="83">
        <f>Bets!A15</f>
        <v>14</v>
      </c>
      <c r="B17" s="84">
        <f>Bets!B15</f>
        <v>46188</v>
      </c>
      <c r="C17" s="83" t="str">
        <f>IF(Bets!H15="","TBC",Bets!H15)</f>
        <v>23:00</v>
      </c>
      <c r="D17" s="85" t="str">
        <f>Bets!D15&amp;"  v  "&amp;Bets!E15</f>
        <v>Belgium  v  Egypt</v>
      </c>
      <c r="E17" s="97">
        <v>1.61</v>
      </c>
      <c r="F17" s="97">
        <v>4.0</v>
      </c>
      <c r="G17" s="97">
        <v>5.75</v>
      </c>
      <c r="H17" s="87" t="str">
        <f>Bets!AD15</f>
        <v>2  Egypt</v>
      </c>
      <c r="I17" s="88" t="str">
        <f>Bets!AH15</f>
        <v>PASS</v>
      </c>
      <c r="J17" s="89">
        <f>Bets!AJ15</f>
        <v>0</v>
      </c>
      <c r="K17" s="90" t="str">
        <f>Bets!AT15</f>
        <v>🛑 PAUSED — drawdown 0.6% ≥ 15.0%. Set Method!B54=Y to override.</v>
      </c>
      <c r="L17" s="91"/>
      <c r="M17" s="87" t="str">
        <f>IF(Bets!AH15="· enter odds","",IF(Method!$B$55=TRUE(),"🛑 PAUSED — drawdown protection. Override Method!B54=Y if intended.",IF(Bets!AH15&lt;&gt;"BET","❌ NO BET — price not good enough",IF(Bets!AJ15=0,"❌ NO BET — stake under minimum",IF(L17="","🟡 WAIT — check team news first",IF(L17="N","🔴 SKIP — team news concern",IF(L17="Y","🟢 PLACE £"&amp;Bets!AJ15&amp;" on "&amp;Bets!AD15,"")))))))</f>
        <v>🛑 PAUSED — drawdown protection. Override Method!B54=Y if intended.</v>
      </c>
      <c r="N17" s="91"/>
      <c r="O17" s="91"/>
      <c r="P17" s="86"/>
      <c r="Q17" s="92"/>
      <c r="R17" s="91"/>
      <c r="S17" s="90" t="str">
        <f>Bets!AU15</f>
        <v/>
      </c>
      <c r="T17" s="86"/>
      <c r="U17" s="93" t="str">
        <f t="shared" si="1"/>
        <v/>
      </c>
      <c r="V17" s="75"/>
      <c r="W17" s="75"/>
      <c r="X17" s="2"/>
      <c r="Y17" s="2"/>
      <c r="Z17" s="2"/>
    </row>
    <row r="18" ht="15.0" customHeight="1">
      <c r="A18" s="83">
        <f>Bets!A16</f>
        <v>15</v>
      </c>
      <c r="B18" s="84">
        <f>Bets!B16</f>
        <v>46188</v>
      </c>
      <c r="C18" s="83" t="str">
        <f>IF(Bets!H16="","TBC",Bets!H16)</f>
        <v>23:00</v>
      </c>
      <c r="D18" s="85" t="str">
        <f>Bets!D16&amp;"  v  "&amp;Bets!E16</f>
        <v>Saudi Arabia  v  Uruguay</v>
      </c>
      <c r="E18" s="97">
        <v>7.5</v>
      </c>
      <c r="F18" s="97">
        <v>4.2</v>
      </c>
      <c r="G18" s="97">
        <v>1.48</v>
      </c>
      <c r="H18" s="87" t="str">
        <f>Bets!AD16</f>
        <v>X  Draw</v>
      </c>
      <c r="I18" s="88" t="str">
        <f>Bets!AH16</f>
        <v>PASS</v>
      </c>
      <c r="J18" s="89">
        <f>Bets!AJ16</f>
        <v>0</v>
      </c>
      <c r="K18" s="90" t="str">
        <f>Bets!AT16</f>
        <v>🛑 PAUSED — drawdown 0.6% ≥ 15.0%. Set Method!B54=Y to override.</v>
      </c>
      <c r="L18" s="91"/>
      <c r="M18" s="87" t="str">
        <f>IF(Bets!AH16="· enter odds","",IF(Method!$B$55=TRUE(),"🛑 PAUSED — drawdown protection. Override Method!B54=Y if intended.",IF(Bets!AH16&lt;&gt;"BET","❌ NO BET — price not good enough",IF(Bets!AJ16=0,"❌ NO BET — stake under minimum",IF(L18="","🟡 WAIT — check team news first",IF(L18="N","🔴 SKIP — team news concern",IF(L18="Y","🟢 PLACE £"&amp;Bets!AJ16&amp;" on "&amp;Bets!AD16,"")))))))</f>
        <v>🛑 PAUSED — drawdown protection. Override Method!B54=Y if intended.</v>
      </c>
      <c r="N18" s="91"/>
      <c r="O18" s="91"/>
      <c r="P18" s="86"/>
      <c r="Q18" s="92"/>
      <c r="R18" s="91"/>
      <c r="S18" s="90" t="str">
        <f>Bets!AU16</f>
        <v/>
      </c>
      <c r="T18" s="86"/>
      <c r="U18" s="93" t="str">
        <f t="shared" si="1"/>
        <v/>
      </c>
      <c r="V18" s="75"/>
      <c r="W18" s="75"/>
      <c r="X18" s="2"/>
      <c r="Y18" s="2"/>
      <c r="Z18" s="2"/>
    </row>
    <row r="19" ht="15.0" customHeight="1">
      <c r="A19" s="83">
        <f>Bets!A17</f>
        <v>16</v>
      </c>
      <c r="B19" s="84">
        <f>Bets!B17</f>
        <v>46188</v>
      </c>
      <c r="C19" s="83" t="str">
        <f>IF(Bets!H17="","TBC",Bets!H17)</f>
        <v>05:00 +1d</v>
      </c>
      <c r="D19" s="85" t="str">
        <f>Bets!D17&amp;"  v  "&amp;Bets!E17</f>
        <v>Iran  v  New Zealand</v>
      </c>
      <c r="E19" s="97">
        <v>1.8</v>
      </c>
      <c r="F19" s="97">
        <v>3.5</v>
      </c>
      <c r="G19" s="97">
        <v>5.0</v>
      </c>
      <c r="H19" s="87" t="str">
        <f>Bets!AD17</f>
        <v>2  New Zealand</v>
      </c>
      <c r="I19" s="88" t="str">
        <f>Bets!AH17</f>
        <v>PASS</v>
      </c>
      <c r="J19" s="89">
        <f>Bets!AJ17</f>
        <v>0</v>
      </c>
      <c r="K19" s="90" t="str">
        <f>Bets!AT17</f>
        <v>🛑 PAUSED — drawdown 0.6% ≥ 15.0%. Set Method!B54=Y to override.</v>
      </c>
      <c r="L19" s="91"/>
      <c r="M19" s="87" t="str">
        <f>IF(Bets!AH17="· enter odds","",IF(Method!$B$55=TRUE(),"🛑 PAUSED — drawdown protection. Override Method!B54=Y if intended.",IF(Bets!AH17&lt;&gt;"BET","❌ NO BET — price not good enough",IF(Bets!AJ17=0,"❌ NO BET — stake under minimum",IF(L19="","🟡 WAIT — check team news first",IF(L19="N","🔴 SKIP — team news concern",IF(L19="Y","🟢 PLACE £"&amp;Bets!AJ17&amp;" on "&amp;Bets!AD17,"")))))))</f>
        <v>🛑 PAUSED — drawdown protection. Override Method!B54=Y if intended.</v>
      </c>
      <c r="N19" s="91"/>
      <c r="O19" s="91"/>
      <c r="P19" s="86"/>
      <c r="Q19" s="92"/>
      <c r="R19" s="91"/>
      <c r="S19" s="90" t="str">
        <f>Bets!AU17</f>
        <v/>
      </c>
      <c r="T19" s="86"/>
      <c r="U19" s="93" t="str">
        <f t="shared" si="1"/>
        <v/>
      </c>
      <c r="V19" s="75"/>
      <c r="W19" s="75"/>
      <c r="X19" s="2"/>
      <c r="Y19" s="2"/>
      <c r="Z19" s="2"/>
    </row>
    <row r="20" ht="15.0" customHeight="1">
      <c r="A20" s="100">
        <f>Bets!A18</f>
        <v>17</v>
      </c>
      <c r="B20" s="101">
        <f>Bets!B18</f>
        <v>46189</v>
      </c>
      <c r="C20" s="100" t="str">
        <f>IF(Bets!H18="","TBC",Bets!H18)</f>
        <v>20:00</v>
      </c>
      <c r="D20" s="90" t="str">
        <f>Bets!D18&amp;"  v  "&amp;Bets!E18</f>
        <v>France  v  Senegal</v>
      </c>
      <c r="E20" s="86">
        <f>4/9</f>
        <v>0.4444444444</v>
      </c>
      <c r="F20" s="86">
        <f>10/3</f>
        <v>3.333333333</v>
      </c>
      <c r="G20" s="86">
        <f>6/1</f>
        <v>6</v>
      </c>
      <c r="H20" s="87" t="str">
        <f>Bets!AD18</f>
        <v>2  Senegal</v>
      </c>
      <c r="I20" s="88" t="str">
        <f>Bets!AH18</f>
        <v>PASS</v>
      </c>
      <c r="J20" s="89">
        <f>Bets!AJ18</f>
        <v>0</v>
      </c>
      <c r="K20" s="90" t="str">
        <f>Bets!AT18</f>
        <v>🛑 PAUSED — drawdown 0.6% ≥ 15.0%. Set Method!B54=Y to override.</v>
      </c>
      <c r="L20" s="91"/>
      <c r="M20" s="87" t="str">
        <f>IF(Bets!AH18="· enter odds","",IF(Method!$B$55=TRUE(),"🛑 PAUSED — drawdown protection. Override Method!B54=Y if intended.",IF(Bets!AH18&lt;&gt;"BET","❌ NO BET — price not good enough",IF(Bets!AJ18=0,"❌ NO BET — stake under minimum",IF(L20="","🟡 WAIT — check team news first",IF(L20="N","🔴 SKIP — team news concern",IF(L20="Y","🟢 PLACE £"&amp;Bets!AJ18&amp;" on "&amp;Bets!AD18,"")))))))</f>
        <v>🛑 PAUSED — drawdown protection. Override Method!B54=Y if intended.</v>
      </c>
      <c r="N20" s="91"/>
      <c r="O20" s="91"/>
      <c r="P20" s="86"/>
      <c r="Q20" s="92"/>
      <c r="R20" s="91"/>
      <c r="S20" s="90" t="str">
        <f>Bets!AU18</f>
        <v/>
      </c>
      <c r="T20" s="86"/>
      <c r="U20" s="93" t="str">
        <f t="shared" si="1"/>
        <v/>
      </c>
      <c r="V20" s="75"/>
      <c r="W20" s="75"/>
      <c r="X20" s="2"/>
      <c r="Y20" s="2"/>
      <c r="Z20" s="2"/>
    </row>
    <row r="21" ht="15.0" customHeight="1">
      <c r="A21" s="100">
        <f>Bets!A19</f>
        <v>18</v>
      </c>
      <c r="B21" s="101">
        <f>Bets!B19</f>
        <v>46189</v>
      </c>
      <c r="C21" s="100" t="str">
        <f>IF(Bets!H19="","TBC",Bets!H19)</f>
        <v>23:00</v>
      </c>
      <c r="D21" s="90" t="str">
        <f>Bets!D19&amp;"  v  "&amp;Bets!E19</f>
        <v>Iraq  v  Norway</v>
      </c>
      <c r="E21" s="86">
        <f>14/1</f>
        <v>14</v>
      </c>
      <c r="F21" s="86">
        <f>11/2</f>
        <v>5.5</v>
      </c>
      <c r="G21" s="86">
        <f>1/5</f>
        <v>0.2</v>
      </c>
      <c r="H21" s="87" t="str">
        <f>Bets!AD19</f>
        <v>1  Iraq</v>
      </c>
      <c r="I21" s="88" t="str">
        <f>Bets!AH19</f>
        <v>PASS</v>
      </c>
      <c r="J21" s="89">
        <f>Bets!AJ19</f>
        <v>0</v>
      </c>
      <c r="K21" s="90" t="str">
        <f>Bets!AT19</f>
        <v>🛑 PAUSED — drawdown 0.6% ≥ 15.0%. Set Method!B54=Y to override.</v>
      </c>
      <c r="L21" s="91"/>
      <c r="M21" s="87" t="str">
        <f>IF(Bets!AH19="· enter odds","",IF(Method!$B$55=TRUE(),"🛑 PAUSED — drawdown protection. Override Method!B54=Y if intended.",IF(Bets!AH19&lt;&gt;"BET","❌ NO BET — price not good enough",IF(Bets!AJ19=0,"❌ NO BET — stake under minimum",IF(L21="","🟡 WAIT — check team news first",IF(L21="N","🔴 SKIP — team news concern",IF(L21="Y","🟢 PLACE £"&amp;Bets!AJ19&amp;" on "&amp;Bets!AD19,"")))))))</f>
        <v>🛑 PAUSED — drawdown protection. Override Method!B54=Y if intended.</v>
      </c>
      <c r="N21" s="91"/>
      <c r="O21" s="91"/>
      <c r="P21" s="86"/>
      <c r="Q21" s="92"/>
      <c r="R21" s="91"/>
      <c r="S21" s="90" t="str">
        <f>Bets!AU19</f>
        <v/>
      </c>
      <c r="T21" s="86"/>
      <c r="U21" s="93" t="str">
        <f t="shared" si="1"/>
        <v/>
      </c>
      <c r="V21" s="75"/>
      <c r="W21" s="75"/>
      <c r="X21" s="2"/>
      <c r="Y21" s="2"/>
      <c r="Z21" s="2"/>
    </row>
    <row r="22" ht="15.0" customHeight="1">
      <c r="A22" s="100">
        <f>Bets!A20</f>
        <v>19</v>
      </c>
      <c r="B22" s="101">
        <f>Bets!B20</f>
        <v>46189</v>
      </c>
      <c r="C22" s="100" t="str">
        <f>IF(Bets!H20="","TBC",Bets!H20)</f>
        <v>02:00 +1d</v>
      </c>
      <c r="D22" s="90" t="str">
        <f>Bets!D20&amp;"  v  "&amp;Bets!E20</f>
        <v>Argentina  v  Algeria</v>
      </c>
      <c r="E22" s="86">
        <f>2/5</f>
        <v>0.4</v>
      </c>
      <c r="F22" s="86">
        <f>10/3</f>
        <v>3.333333333</v>
      </c>
      <c r="G22" s="86">
        <f>15/2</f>
        <v>7.5</v>
      </c>
      <c r="H22" s="87" t="str">
        <f>Bets!AD20</f>
        <v>2  Algeria</v>
      </c>
      <c r="I22" s="88" t="str">
        <f>Bets!AH20</f>
        <v>PASS</v>
      </c>
      <c r="J22" s="89">
        <f>Bets!AJ20</f>
        <v>0</v>
      </c>
      <c r="K22" s="90" t="str">
        <f>Bets!AT20</f>
        <v>🛑 PAUSED — drawdown 0.6% ≥ 15.0%. Set Method!B54=Y to override.</v>
      </c>
      <c r="L22" s="91"/>
      <c r="M22" s="87" t="str">
        <f>IF(Bets!AH20="· enter odds","",IF(Method!$B$55=TRUE(),"🛑 PAUSED — drawdown protection. Override Method!B54=Y if intended.",IF(Bets!AH20&lt;&gt;"BET","❌ NO BET — price not good enough",IF(Bets!AJ20=0,"❌ NO BET — stake under minimum",IF(L22="","🟡 WAIT — check team news first",IF(L22="N","🔴 SKIP — team news concern",IF(L22="Y","🟢 PLACE £"&amp;Bets!AJ20&amp;" on "&amp;Bets!AD20,"")))))))</f>
        <v>🛑 PAUSED — drawdown protection. Override Method!B54=Y if intended.</v>
      </c>
      <c r="N22" s="91"/>
      <c r="O22" s="91"/>
      <c r="P22" s="86"/>
      <c r="Q22" s="92"/>
      <c r="R22" s="91"/>
      <c r="S22" s="90" t="str">
        <f>Bets!AU20</f>
        <v/>
      </c>
      <c r="T22" s="86"/>
      <c r="U22" s="93" t="str">
        <f t="shared" si="1"/>
        <v/>
      </c>
      <c r="V22" s="75"/>
      <c r="W22" s="75"/>
      <c r="X22" s="2"/>
      <c r="Y22" s="2"/>
      <c r="Z22" s="2"/>
    </row>
    <row r="23" ht="15.0" customHeight="1">
      <c r="A23" s="100">
        <f>Bets!A21</f>
        <v>20</v>
      </c>
      <c r="B23" s="101">
        <f>Bets!B21</f>
        <v>46189</v>
      </c>
      <c r="C23" s="100" t="str">
        <f>IF(Bets!H21="","TBC",Bets!H21)</f>
        <v>05:00 +1d</v>
      </c>
      <c r="D23" s="90" t="str">
        <f>Bets!D21&amp;"  v  "&amp;Bets!E21</f>
        <v>Austria  v  Jordan</v>
      </c>
      <c r="E23" s="86">
        <f>4/11</f>
        <v>0.3636363636</v>
      </c>
      <c r="F23" s="86">
        <f>18/5</f>
        <v>3.6</v>
      </c>
      <c r="G23" s="86">
        <f>8/1</f>
        <v>8</v>
      </c>
      <c r="H23" s="87" t="str">
        <f>Bets!AD21</f>
        <v>2  Jordan</v>
      </c>
      <c r="I23" s="88" t="str">
        <f>Bets!AH21</f>
        <v>PASS</v>
      </c>
      <c r="J23" s="89">
        <f>Bets!AJ21</f>
        <v>0</v>
      </c>
      <c r="K23" s="90" t="str">
        <f>Bets!AT21</f>
        <v>🛑 PAUSED — drawdown 0.6% ≥ 15.0%. Set Method!B54=Y to override.</v>
      </c>
      <c r="L23" s="91"/>
      <c r="M23" s="87" t="str">
        <f>IF(Bets!AH21="· enter odds","",IF(Method!$B$55=TRUE(),"🛑 PAUSED — drawdown protection. Override Method!B54=Y if intended.",IF(Bets!AH21&lt;&gt;"BET","❌ NO BET — price not good enough",IF(Bets!AJ21=0,"❌ NO BET — stake under minimum",IF(L23="","🟡 WAIT — check team news first",IF(L23="N","🔴 SKIP — team news concern",IF(L23="Y","🟢 PLACE £"&amp;Bets!AJ21&amp;" on "&amp;Bets!AD21,"")))))))</f>
        <v>🛑 PAUSED — drawdown protection. Override Method!B54=Y if intended.</v>
      </c>
      <c r="N23" s="91"/>
      <c r="O23" s="91"/>
      <c r="P23" s="86"/>
      <c r="Q23" s="92"/>
      <c r="R23" s="91"/>
      <c r="S23" s="90" t="str">
        <f>Bets!AU21</f>
        <v/>
      </c>
      <c r="T23" s="86"/>
      <c r="U23" s="93" t="str">
        <f t="shared" si="1"/>
        <v/>
      </c>
      <c r="V23" s="75"/>
      <c r="W23" s="75"/>
      <c r="X23" s="2"/>
      <c r="Y23" s="2"/>
      <c r="Z23" s="2"/>
    </row>
    <row r="24" ht="15.0" customHeight="1">
      <c r="A24" s="100">
        <f>Bets!A22</f>
        <v>21</v>
      </c>
      <c r="B24" s="101">
        <f>Bets!B22</f>
        <v>46190</v>
      </c>
      <c r="C24" s="100" t="str">
        <f>IF(Bets!H22="","TBC",Bets!H22)</f>
        <v>18:00</v>
      </c>
      <c r="D24" s="90" t="str">
        <f>Bets!D22&amp;"  v  "&amp;Bets!E22</f>
        <v>Portugal  v  DR Congo</v>
      </c>
      <c r="E24" s="86">
        <f>2/7</f>
        <v>0.2857142857</v>
      </c>
      <c r="F24" s="86">
        <f>9/2</f>
        <v>4.5</v>
      </c>
      <c r="G24" s="86">
        <f>10/1</f>
        <v>10</v>
      </c>
      <c r="H24" s="87" t="str">
        <f>Bets!AD22</f>
        <v>2  DR Congo</v>
      </c>
      <c r="I24" s="88" t="str">
        <f>Bets!AH22</f>
        <v>PASS</v>
      </c>
      <c r="J24" s="89">
        <f>Bets!AJ22</f>
        <v>0</v>
      </c>
      <c r="K24" s="90" t="str">
        <f>Bets!AT22</f>
        <v>🛑 PAUSED — drawdown 0.6% ≥ 15.0%. Set Method!B54=Y to override.</v>
      </c>
      <c r="L24" s="91"/>
      <c r="M24" s="87" t="str">
        <f>IF(Bets!AH22="· enter odds","",IF(Method!$B$55=TRUE(),"🛑 PAUSED — drawdown protection. Override Method!B54=Y if intended.",IF(Bets!AH22&lt;&gt;"BET","❌ NO BET — price not good enough",IF(Bets!AJ22=0,"❌ NO BET — stake under minimum",IF(L24="","🟡 WAIT — check team news first",IF(L24="N","🔴 SKIP — team news concern",IF(L24="Y","🟢 PLACE £"&amp;Bets!AJ22&amp;" on "&amp;Bets!AD22,"")))))))</f>
        <v>🛑 PAUSED — drawdown protection. Override Method!B54=Y if intended.</v>
      </c>
      <c r="N24" s="91"/>
      <c r="O24" s="91"/>
      <c r="P24" s="86"/>
      <c r="Q24" s="92"/>
      <c r="R24" s="91"/>
      <c r="S24" s="90" t="str">
        <f>Bets!AU22</f>
        <v/>
      </c>
      <c r="T24" s="86"/>
      <c r="U24" s="93" t="str">
        <f t="shared" si="1"/>
        <v/>
      </c>
      <c r="V24" s="75"/>
      <c r="W24" s="75"/>
      <c r="X24" s="2"/>
      <c r="Y24" s="2"/>
      <c r="Z24" s="2"/>
    </row>
    <row r="25" ht="15.0" customHeight="1">
      <c r="A25" s="100">
        <f>Bets!A23</f>
        <v>22</v>
      </c>
      <c r="B25" s="101">
        <f>Bets!B23</f>
        <v>46190</v>
      </c>
      <c r="C25" s="100" t="str">
        <f>IF(Bets!H23="","TBC",Bets!H23)</f>
        <v>21:00</v>
      </c>
      <c r="D25" s="90" t="str">
        <f>Bets!D23&amp;"  v  "&amp;Bets!E23</f>
        <v>England  v  Croatia</v>
      </c>
      <c r="E25" s="86">
        <f>8/11</f>
        <v>0.7272727273</v>
      </c>
      <c r="F25" s="86">
        <f>13/5</f>
        <v>2.6</v>
      </c>
      <c r="G25" s="86">
        <f>4/1</f>
        <v>4</v>
      </c>
      <c r="H25" s="87" t="str">
        <f>Bets!AD23</f>
        <v>2  Croatia</v>
      </c>
      <c r="I25" s="88" t="str">
        <f>Bets!AH23</f>
        <v>PASS</v>
      </c>
      <c r="J25" s="89">
        <f>Bets!AJ23</f>
        <v>0</v>
      </c>
      <c r="K25" s="90" t="str">
        <f>Bets!AT23</f>
        <v>🛑 PAUSED — drawdown 0.6% ≥ 15.0%. Set Method!B54=Y to override.</v>
      </c>
      <c r="L25" s="91"/>
      <c r="M25" s="87" t="str">
        <f>IF(Bets!AH23="· enter odds","",IF(Method!$B$55=TRUE(),"🛑 PAUSED — drawdown protection. Override Method!B54=Y if intended.",IF(Bets!AH23&lt;&gt;"BET","❌ NO BET — price not good enough",IF(Bets!AJ23=0,"❌ NO BET — stake under minimum",IF(L25="","🟡 WAIT — check team news first",IF(L25="N","🔴 SKIP — team news concern",IF(L25="Y","🟢 PLACE £"&amp;Bets!AJ23&amp;" on "&amp;Bets!AD23,"")))))))</f>
        <v>🛑 PAUSED — drawdown protection. Override Method!B54=Y if intended.</v>
      </c>
      <c r="N25" s="91"/>
      <c r="O25" s="91"/>
      <c r="P25" s="86"/>
      <c r="Q25" s="92"/>
      <c r="R25" s="91"/>
      <c r="S25" s="90" t="str">
        <f>Bets!AU23</f>
        <v/>
      </c>
      <c r="T25" s="86"/>
      <c r="U25" s="93" t="str">
        <f t="shared" si="1"/>
        <v/>
      </c>
      <c r="V25" s="75"/>
      <c r="W25" s="75"/>
      <c r="X25" s="2"/>
      <c r="Y25" s="2"/>
      <c r="Z25" s="2"/>
    </row>
    <row r="26" ht="15.0" customHeight="1">
      <c r="A26" s="100">
        <f>Bets!A24</f>
        <v>23</v>
      </c>
      <c r="B26" s="101">
        <f>Bets!B24</f>
        <v>46190</v>
      </c>
      <c r="C26" s="100" t="str">
        <f>IF(Bets!H24="","TBC",Bets!H24)</f>
        <v>00:00 +1d</v>
      </c>
      <c r="D26" s="90" t="str">
        <f>Bets!D24&amp;"  v  "&amp;Bets!E24</f>
        <v>Ghana  v  Panama</v>
      </c>
      <c r="E26" s="86"/>
      <c r="F26" s="86"/>
      <c r="G26" s="86"/>
      <c r="H26" s="87" t="str">
        <f>Bets!AD24</f>
        <v/>
      </c>
      <c r="I26" s="88" t="str">
        <f>Bets!AH24</f>
        <v>· enter odds</v>
      </c>
      <c r="J26" s="89">
        <f>Bets!AJ24</f>
        <v>0</v>
      </c>
      <c r="K26" s="90" t="str">
        <f>Bets!AT24</f>
        <v>Type the 3 odds on the Matchday tab</v>
      </c>
      <c r="L26" s="91"/>
      <c r="M26" s="87" t="str">
        <f>IF(Bets!AH24="· enter odds","",IF(Method!$B$55=TRUE(),"🛑 PAUSED — drawdown protection. Override Method!B54=Y if intended.",IF(Bets!AH24&lt;&gt;"BET","❌ NO BET — price not good enough",IF(Bets!AJ24=0,"❌ NO BET — stake under minimum",IF(L26="","🟡 WAIT — check team news first",IF(L26="N","🔴 SKIP — team news concern",IF(L26="Y","🟢 PLACE £"&amp;Bets!AJ24&amp;" on "&amp;Bets!AD24,"")))))))</f>
        <v/>
      </c>
      <c r="N26" s="91"/>
      <c r="O26" s="91"/>
      <c r="P26" s="86"/>
      <c r="Q26" s="92"/>
      <c r="R26" s="91"/>
      <c r="S26" s="90" t="str">
        <f>Bets!AU24</f>
        <v/>
      </c>
      <c r="T26" s="86"/>
      <c r="U26" s="93" t="str">
        <f t="shared" si="1"/>
        <v/>
      </c>
      <c r="V26" s="75"/>
      <c r="W26" s="75"/>
      <c r="X26" s="2"/>
      <c r="Y26" s="2"/>
      <c r="Z26" s="2"/>
    </row>
    <row r="27" ht="15.0" customHeight="1">
      <c r="A27" s="100">
        <f>Bets!A25</f>
        <v>24</v>
      </c>
      <c r="B27" s="101">
        <f>Bets!B25</f>
        <v>46190</v>
      </c>
      <c r="C27" s="100" t="str">
        <f>IF(Bets!H25="","TBC",Bets!H25)</f>
        <v>03:00 +1d</v>
      </c>
      <c r="D27" s="90" t="str">
        <f>Bets!D25&amp;"  v  "&amp;Bets!E25</f>
        <v>Uzbekistan  v  Colombia</v>
      </c>
      <c r="E27" s="86"/>
      <c r="F27" s="86"/>
      <c r="G27" s="86"/>
      <c r="H27" s="87" t="str">
        <f>Bets!AD25</f>
        <v/>
      </c>
      <c r="I27" s="88" t="str">
        <f>Bets!AH25</f>
        <v>· enter odds</v>
      </c>
      <c r="J27" s="89">
        <f>Bets!AJ25</f>
        <v>0</v>
      </c>
      <c r="K27" s="90" t="str">
        <f>Bets!AT25</f>
        <v>Type the 3 odds on the Matchday tab</v>
      </c>
      <c r="L27" s="91"/>
      <c r="M27" s="87" t="str">
        <f>IF(Bets!AH25="· enter odds","",IF(Method!$B$55=TRUE(),"🛑 PAUSED — drawdown protection. Override Method!B54=Y if intended.",IF(Bets!AH25&lt;&gt;"BET","❌ NO BET — price not good enough",IF(Bets!AJ25=0,"❌ NO BET — stake under minimum",IF(L27="","🟡 WAIT — check team news first",IF(L27="N","🔴 SKIP — team news concern",IF(L27="Y","🟢 PLACE £"&amp;Bets!AJ25&amp;" on "&amp;Bets!AD25,"")))))))</f>
        <v/>
      </c>
      <c r="N27" s="91"/>
      <c r="O27" s="91"/>
      <c r="P27" s="86"/>
      <c r="Q27" s="92"/>
      <c r="R27" s="91"/>
      <c r="S27" s="90" t="str">
        <f>Bets!AU25</f>
        <v/>
      </c>
      <c r="T27" s="86"/>
      <c r="U27" s="93" t="str">
        <f t="shared" si="1"/>
        <v/>
      </c>
      <c r="V27" s="75"/>
      <c r="W27" s="75"/>
      <c r="X27" s="2"/>
      <c r="Y27" s="2"/>
      <c r="Z27" s="2"/>
    </row>
    <row r="28" ht="15.0" customHeight="1">
      <c r="A28" s="100">
        <f>Bets!A26</f>
        <v>25</v>
      </c>
      <c r="B28" s="101">
        <f>Bets!B26</f>
        <v>46191</v>
      </c>
      <c r="C28" s="100" t="str">
        <f>IF(Bets!H26="","TBC",Bets!H26)</f>
        <v>17:00</v>
      </c>
      <c r="D28" s="90" t="str">
        <f>Bets!D26&amp;"  v  "&amp;Bets!E26</f>
        <v>Czechia  v  South Africa</v>
      </c>
      <c r="E28" s="86"/>
      <c r="F28" s="86"/>
      <c r="G28" s="86"/>
      <c r="H28" s="87" t="str">
        <f>Bets!AD26</f>
        <v/>
      </c>
      <c r="I28" s="88" t="str">
        <f>Bets!AH26</f>
        <v>· enter odds</v>
      </c>
      <c r="J28" s="89">
        <f>Bets!AJ26</f>
        <v>0</v>
      </c>
      <c r="K28" s="90" t="str">
        <f>Bets!AT26</f>
        <v>Type the 3 odds on the Matchday tab</v>
      </c>
      <c r="L28" s="91"/>
      <c r="M28" s="87" t="str">
        <f>IF(Bets!AH26="· enter odds","",IF(Method!$B$55=TRUE(),"🛑 PAUSED — drawdown protection. Override Method!B54=Y if intended.",IF(Bets!AH26&lt;&gt;"BET","❌ NO BET — price not good enough",IF(Bets!AJ26=0,"❌ NO BET — stake under minimum",IF(L28="","🟡 WAIT — check team news first",IF(L28="N","🔴 SKIP — team news concern",IF(L28="Y","🟢 PLACE £"&amp;Bets!AJ26&amp;" on "&amp;Bets!AD26,"")))))))</f>
        <v/>
      </c>
      <c r="N28" s="91"/>
      <c r="O28" s="91"/>
      <c r="P28" s="86"/>
      <c r="Q28" s="92"/>
      <c r="R28" s="91"/>
      <c r="S28" s="90" t="str">
        <f>Bets!AU26</f>
        <v/>
      </c>
      <c r="T28" s="86"/>
      <c r="U28" s="93" t="str">
        <f t="shared" si="1"/>
        <v/>
      </c>
      <c r="V28" s="75"/>
      <c r="W28" s="75"/>
      <c r="X28" s="2"/>
      <c r="Y28" s="2"/>
      <c r="Z28" s="2"/>
    </row>
    <row r="29" ht="15.0" customHeight="1">
      <c r="A29" s="100">
        <f>Bets!A27</f>
        <v>26</v>
      </c>
      <c r="B29" s="101">
        <f>Bets!B27</f>
        <v>46191</v>
      </c>
      <c r="C29" s="100" t="str">
        <f>IF(Bets!H27="","TBC",Bets!H27)</f>
        <v>23:00</v>
      </c>
      <c r="D29" s="90" t="str">
        <f>Bets!D27&amp;"  v  "&amp;Bets!E27</f>
        <v>Switzerland  v  Bosnia and Herzegovina</v>
      </c>
      <c r="E29" s="86"/>
      <c r="F29" s="86"/>
      <c r="G29" s="86"/>
      <c r="H29" s="87" t="str">
        <f>Bets!AD27</f>
        <v/>
      </c>
      <c r="I29" s="88" t="str">
        <f>Bets!AH27</f>
        <v>· enter odds</v>
      </c>
      <c r="J29" s="89">
        <f>Bets!AJ27</f>
        <v>0</v>
      </c>
      <c r="K29" s="90" t="str">
        <f>Bets!AT27</f>
        <v>Type the 3 odds on the Matchday tab</v>
      </c>
      <c r="L29" s="91"/>
      <c r="M29" s="87" t="str">
        <f>IF(Bets!AH27="· enter odds","",IF(Method!$B$55=TRUE(),"🛑 PAUSED — drawdown protection. Override Method!B54=Y if intended.",IF(Bets!AH27&lt;&gt;"BET","❌ NO BET — price not good enough",IF(Bets!AJ27=0,"❌ NO BET — stake under minimum",IF(L29="","🟡 WAIT — check team news first",IF(L29="N","🔴 SKIP — team news concern",IF(L29="Y","🟢 PLACE £"&amp;Bets!AJ27&amp;" on "&amp;Bets!AD27,"")))))))</f>
        <v/>
      </c>
      <c r="N29" s="91"/>
      <c r="O29" s="91"/>
      <c r="P29" s="86"/>
      <c r="Q29" s="92"/>
      <c r="R29" s="91"/>
      <c r="S29" s="90" t="str">
        <f>Bets!AU27</f>
        <v/>
      </c>
      <c r="T29" s="86"/>
      <c r="U29" s="93" t="str">
        <f t="shared" si="1"/>
        <v/>
      </c>
      <c r="V29" s="75"/>
      <c r="W29" s="75"/>
      <c r="X29" s="2"/>
      <c r="Y29" s="2"/>
      <c r="Z29" s="2"/>
    </row>
    <row r="30" ht="15.0" customHeight="1">
      <c r="A30" s="100">
        <f>Bets!A28</f>
        <v>27</v>
      </c>
      <c r="B30" s="101">
        <f>Bets!B28</f>
        <v>46191</v>
      </c>
      <c r="C30" s="100" t="str">
        <f>IF(Bets!H28="","TBC",Bets!H28)</f>
        <v>02:00 +1d</v>
      </c>
      <c r="D30" s="90" t="str">
        <f>Bets!D28&amp;"  v  "&amp;Bets!E28</f>
        <v>Canada  v  Qatar</v>
      </c>
      <c r="E30" s="86"/>
      <c r="F30" s="86"/>
      <c r="G30" s="86"/>
      <c r="H30" s="87" t="str">
        <f>Bets!AD28</f>
        <v/>
      </c>
      <c r="I30" s="88" t="str">
        <f>Bets!AH28</f>
        <v>· enter odds</v>
      </c>
      <c r="J30" s="89">
        <f>Bets!AJ28</f>
        <v>0</v>
      </c>
      <c r="K30" s="90" t="str">
        <f>Bets!AT28</f>
        <v>Type the 3 odds on the Matchday tab</v>
      </c>
      <c r="L30" s="91"/>
      <c r="M30" s="87" t="str">
        <f>IF(Bets!AH28="· enter odds","",IF(Method!$B$55=TRUE(),"🛑 PAUSED — drawdown protection. Override Method!B54=Y if intended.",IF(Bets!AH28&lt;&gt;"BET","❌ NO BET — price not good enough",IF(Bets!AJ28=0,"❌ NO BET — stake under minimum",IF(L30="","🟡 WAIT — check team news first",IF(L30="N","🔴 SKIP — team news concern",IF(L30="Y","🟢 PLACE £"&amp;Bets!AJ28&amp;" on "&amp;Bets!AD28,"")))))))</f>
        <v/>
      </c>
      <c r="N30" s="91"/>
      <c r="O30" s="91"/>
      <c r="P30" s="86"/>
      <c r="Q30" s="92"/>
      <c r="R30" s="91"/>
      <c r="S30" s="90" t="str">
        <f>Bets!AU28</f>
        <v/>
      </c>
      <c r="T30" s="86"/>
      <c r="U30" s="93" t="str">
        <f t="shared" si="1"/>
        <v/>
      </c>
      <c r="V30" s="75"/>
      <c r="W30" s="75"/>
      <c r="X30" s="2"/>
      <c r="Y30" s="2"/>
      <c r="Z30" s="2"/>
    </row>
    <row r="31" ht="15.0" customHeight="1">
      <c r="A31" s="100">
        <f>Bets!A29</f>
        <v>28</v>
      </c>
      <c r="B31" s="101">
        <f>Bets!B29</f>
        <v>46191</v>
      </c>
      <c r="C31" s="100" t="str">
        <f>IF(Bets!H29="","TBC",Bets!H29)</f>
        <v>06:00 +1d</v>
      </c>
      <c r="D31" s="90" t="str">
        <f>Bets!D29&amp;"  v  "&amp;Bets!E29</f>
        <v>Mexico  v  South Korea</v>
      </c>
      <c r="E31" s="86"/>
      <c r="F31" s="86"/>
      <c r="G31" s="86"/>
      <c r="H31" s="87" t="str">
        <f>Bets!AD29</f>
        <v/>
      </c>
      <c r="I31" s="88" t="str">
        <f>Bets!AH29</f>
        <v>· enter odds</v>
      </c>
      <c r="J31" s="89">
        <f>Bets!AJ29</f>
        <v>0</v>
      </c>
      <c r="K31" s="90" t="str">
        <f>Bets!AT29</f>
        <v>Type the 3 odds on the Matchday tab</v>
      </c>
      <c r="L31" s="91"/>
      <c r="M31" s="87" t="str">
        <f>IF(Bets!AH29="· enter odds","",IF(Method!$B$55=TRUE(),"🛑 PAUSED — drawdown protection. Override Method!B54=Y if intended.",IF(Bets!AH29&lt;&gt;"BET","❌ NO BET — price not good enough",IF(Bets!AJ29=0,"❌ NO BET — stake under minimum",IF(L31="","🟡 WAIT — check team news first",IF(L31="N","🔴 SKIP — team news concern",IF(L31="Y","🟢 PLACE £"&amp;Bets!AJ29&amp;" on "&amp;Bets!AD29,"")))))))</f>
        <v/>
      </c>
      <c r="N31" s="91"/>
      <c r="O31" s="91"/>
      <c r="P31" s="86"/>
      <c r="Q31" s="92"/>
      <c r="R31" s="91"/>
      <c r="S31" s="90" t="str">
        <f>Bets!AU29</f>
        <v/>
      </c>
      <c r="T31" s="86"/>
      <c r="U31" s="93" t="str">
        <f t="shared" si="1"/>
        <v/>
      </c>
      <c r="V31" s="75"/>
      <c r="W31" s="75"/>
      <c r="X31" s="2"/>
      <c r="Y31" s="2"/>
      <c r="Z31" s="2"/>
    </row>
    <row r="32" ht="15.0" customHeight="1">
      <c r="A32" s="100">
        <f>Bets!A30</f>
        <v>29</v>
      </c>
      <c r="B32" s="101">
        <f>Bets!B30</f>
        <v>46192</v>
      </c>
      <c r="C32" s="100" t="str">
        <f>IF(Bets!H30="","TBC",Bets!H30)</f>
        <v>23:00</v>
      </c>
      <c r="D32" s="90" t="str">
        <f>Bets!D30&amp;"  v  "&amp;Bets!E30</f>
        <v>United States  v  Australia</v>
      </c>
      <c r="E32" s="86"/>
      <c r="F32" s="86"/>
      <c r="G32" s="86"/>
      <c r="H32" s="87" t="str">
        <f>Bets!AD30</f>
        <v/>
      </c>
      <c r="I32" s="88" t="str">
        <f>Bets!AH30</f>
        <v>· enter odds</v>
      </c>
      <c r="J32" s="89">
        <f>Bets!AJ30</f>
        <v>0</v>
      </c>
      <c r="K32" s="90" t="str">
        <f>Bets!AT30</f>
        <v>Type the 3 odds on the Matchday tab</v>
      </c>
      <c r="L32" s="91"/>
      <c r="M32" s="87" t="str">
        <f>IF(Bets!AH30="· enter odds","",IF(Method!$B$55=TRUE(),"🛑 PAUSED — drawdown protection. Override Method!B54=Y if intended.",IF(Bets!AH30&lt;&gt;"BET","❌ NO BET — price not good enough",IF(Bets!AJ30=0,"❌ NO BET — stake under minimum",IF(L32="","🟡 WAIT — check team news first",IF(L32="N","🔴 SKIP — team news concern",IF(L32="Y","🟢 PLACE £"&amp;Bets!AJ30&amp;" on "&amp;Bets!AD30,"")))))))</f>
        <v/>
      </c>
      <c r="N32" s="91"/>
      <c r="O32" s="91"/>
      <c r="P32" s="86"/>
      <c r="Q32" s="92"/>
      <c r="R32" s="91"/>
      <c r="S32" s="90" t="str">
        <f>Bets!AU30</f>
        <v/>
      </c>
      <c r="T32" s="86"/>
      <c r="U32" s="93" t="str">
        <f t="shared" si="1"/>
        <v/>
      </c>
      <c r="V32" s="75"/>
      <c r="W32" s="75"/>
      <c r="X32" s="2"/>
      <c r="Y32" s="2"/>
      <c r="Z32" s="2"/>
    </row>
    <row r="33" ht="15.0" customHeight="1">
      <c r="A33" s="100">
        <f>Bets!A31</f>
        <v>30</v>
      </c>
      <c r="B33" s="101">
        <f>Bets!B31</f>
        <v>46192</v>
      </c>
      <c r="C33" s="100" t="str">
        <f>IF(Bets!H31="","TBC",Bets!H31)</f>
        <v>23:00</v>
      </c>
      <c r="D33" s="90" t="str">
        <f>Bets!D31&amp;"  v  "&amp;Bets!E31</f>
        <v>Scotland  v  Morocco</v>
      </c>
      <c r="E33" s="86"/>
      <c r="F33" s="86"/>
      <c r="G33" s="86"/>
      <c r="H33" s="87" t="str">
        <f>Bets!AD31</f>
        <v/>
      </c>
      <c r="I33" s="88" t="str">
        <f>Bets!AH31</f>
        <v>· enter odds</v>
      </c>
      <c r="J33" s="89">
        <f>Bets!AJ31</f>
        <v>0</v>
      </c>
      <c r="K33" s="90" t="str">
        <f>Bets!AT31</f>
        <v>Type the 3 odds on the Matchday tab</v>
      </c>
      <c r="L33" s="91"/>
      <c r="M33" s="87" t="str">
        <f>IF(Bets!AH31="· enter odds","",IF(Method!$B$55=TRUE(),"🛑 PAUSED — drawdown protection. Override Method!B54=Y if intended.",IF(Bets!AH31&lt;&gt;"BET","❌ NO BET — price not good enough",IF(Bets!AJ31=0,"❌ NO BET — stake under minimum",IF(L33="","🟡 WAIT — check team news first",IF(L33="N","🔴 SKIP — team news concern",IF(L33="Y","🟢 PLACE £"&amp;Bets!AJ31&amp;" on "&amp;Bets!AD31,"")))))))</f>
        <v/>
      </c>
      <c r="N33" s="91"/>
      <c r="O33" s="91"/>
      <c r="P33" s="86"/>
      <c r="Q33" s="92"/>
      <c r="R33" s="91"/>
      <c r="S33" s="90" t="str">
        <f>Bets!AU31</f>
        <v/>
      </c>
      <c r="T33" s="86"/>
      <c r="U33" s="93" t="str">
        <f t="shared" si="1"/>
        <v/>
      </c>
      <c r="V33" s="75"/>
      <c r="W33" s="75"/>
      <c r="X33" s="2"/>
      <c r="Y33" s="2"/>
      <c r="Z33" s="2"/>
    </row>
    <row r="34" ht="15.0" customHeight="1">
      <c r="A34" s="100">
        <f>Bets!A32</f>
        <v>31</v>
      </c>
      <c r="B34" s="101">
        <f>Bets!B32</f>
        <v>46192</v>
      </c>
      <c r="C34" s="100" t="str">
        <f>IF(Bets!H32="","TBC",Bets!H32)</f>
        <v>02:00 +1d</v>
      </c>
      <c r="D34" s="90" t="str">
        <f>Bets!D32&amp;"  v  "&amp;Bets!E32</f>
        <v>Brazil  v  Haiti</v>
      </c>
      <c r="E34" s="86"/>
      <c r="F34" s="86"/>
      <c r="G34" s="86"/>
      <c r="H34" s="87" t="str">
        <f>Bets!AD32</f>
        <v/>
      </c>
      <c r="I34" s="88" t="str">
        <f>Bets!AH32</f>
        <v>· enter odds</v>
      </c>
      <c r="J34" s="89">
        <f>Bets!AJ32</f>
        <v>0</v>
      </c>
      <c r="K34" s="90" t="str">
        <f>Bets!AT32</f>
        <v>Type the 3 odds on the Matchday tab</v>
      </c>
      <c r="L34" s="91"/>
      <c r="M34" s="87" t="str">
        <f>IF(Bets!AH32="· enter odds","",IF(Method!$B$55=TRUE(),"🛑 PAUSED — drawdown protection. Override Method!B54=Y if intended.",IF(Bets!AH32&lt;&gt;"BET","❌ NO BET — price not good enough",IF(Bets!AJ32=0,"❌ NO BET — stake under minimum",IF(L34="","🟡 WAIT — check team news first",IF(L34="N","🔴 SKIP — team news concern",IF(L34="Y","🟢 PLACE £"&amp;Bets!AJ32&amp;" on "&amp;Bets!AD32,"")))))))</f>
        <v/>
      </c>
      <c r="N34" s="91"/>
      <c r="O34" s="91"/>
      <c r="P34" s="86"/>
      <c r="Q34" s="92"/>
      <c r="R34" s="91"/>
      <c r="S34" s="90" t="str">
        <f>Bets!AU32</f>
        <v/>
      </c>
      <c r="T34" s="86"/>
      <c r="U34" s="93" t="str">
        <f t="shared" si="1"/>
        <v/>
      </c>
      <c r="V34" s="75"/>
      <c r="W34" s="75"/>
      <c r="X34" s="2"/>
      <c r="Y34" s="2"/>
      <c r="Z34" s="2"/>
    </row>
    <row r="35" ht="15.0" customHeight="1">
      <c r="A35" s="100">
        <f>Bets!A33</f>
        <v>32</v>
      </c>
      <c r="B35" s="101">
        <f>Bets!B33</f>
        <v>46192</v>
      </c>
      <c r="C35" s="100" t="str">
        <f>IF(Bets!H33="","TBC",Bets!H33)</f>
        <v>05:00 +1d</v>
      </c>
      <c r="D35" s="90" t="str">
        <f>Bets!D33&amp;"  v  "&amp;Bets!E33</f>
        <v>Turkey  v  Paraguay</v>
      </c>
      <c r="E35" s="86"/>
      <c r="F35" s="86"/>
      <c r="G35" s="86"/>
      <c r="H35" s="87" t="str">
        <f>Bets!AD33</f>
        <v/>
      </c>
      <c r="I35" s="88" t="str">
        <f>Bets!AH33</f>
        <v>· enter odds</v>
      </c>
      <c r="J35" s="89">
        <f>Bets!AJ33</f>
        <v>0</v>
      </c>
      <c r="K35" s="90" t="str">
        <f>Bets!AT33</f>
        <v>Type the 3 odds on the Matchday tab</v>
      </c>
      <c r="L35" s="91"/>
      <c r="M35" s="87" t="str">
        <f>IF(Bets!AH33="· enter odds","",IF(Method!$B$55=TRUE(),"🛑 PAUSED — drawdown protection. Override Method!B54=Y if intended.",IF(Bets!AH33&lt;&gt;"BET","❌ NO BET — price not good enough",IF(Bets!AJ33=0,"❌ NO BET — stake under minimum",IF(L35="","🟡 WAIT — check team news first",IF(L35="N","🔴 SKIP — team news concern",IF(L35="Y","🟢 PLACE £"&amp;Bets!AJ33&amp;" on "&amp;Bets!AD33,"")))))))</f>
        <v/>
      </c>
      <c r="N35" s="91"/>
      <c r="O35" s="91"/>
      <c r="P35" s="86"/>
      <c r="Q35" s="92"/>
      <c r="R35" s="91"/>
      <c r="S35" s="90" t="str">
        <f>Bets!AU33</f>
        <v/>
      </c>
      <c r="T35" s="86"/>
      <c r="U35" s="93" t="str">
        <f t="shared" si="1"/>
        <v/>
      </c>
      <c r="V35" s="75"/>
      <c r="W35" s="75"/>
      <c r="X35" s="2"/>
      <c r="Y35" s="2"/>
      <c r="Z35" s="2"/>
    </row>
    <row r="36" ht="15.0" customHeight="1">
      <c r="A36" s="100">
        <f>Bets!A34</f>
        <v>33</v>
      </c>
      <c r="B36" s="101">
        <f>Bets!B34</f>
        <v>46193</v>
      </c>
      <c r="C36" s="100" t="str">
        <f>IF(Bets!H34="","TBC",Bets!H34)</f>
        <v>19:00</v>
      </c>
      <c r="D36" s="90" t="str">
        <f>Bets!D34&amp;"  v  "&amp;Bets!E34</f>
        <v>Netherlands  v  Sweden</v>
      </c>
      <c r="E36" s="86"/>
      <c r="F36" s="86"/>
      <c r="G36" s="86"/>
      <c r="H36" s="87" t="str">
        <f>Bets!AD34</f>
        <v/>
      </c>
      <c r="I36" s="88" t="str">
        <f>Bets!AH34</f>
        <v>· enter odds</v>
      </c>
      <c r="J36" s="89">
        <f>Bets!AJ34</f>
        <v>0</v>
      </c>
      <c r="K36" s="90" t="str">
        <f>Bets!AT34</f>
        <v>Type the 3 odds on the Matchday tab</v>
      </c>
      <c r="L36" s="91"/>
      <c r="M36" s="87" t="str">
        <f>IF(Bets!AH34="· enter odds","",IF(Method!$B$55=TRUE(),"🛑 PAUSED — drawdown protection. Override Method!B54=Y if intended.",IF(Bets!AH34&lt;&gt;"BET","❌ NO BET — price not good enough",IF(Bets!AJ34=0,"❌ NO BET — stake under minimum",IF(L36="","🟡 WAIT — check team news first",IF(L36="N","🔴 SKIP — team news concern",IF(L36="Y","🟢 PLACE £"&amp;Bets!AJ34&amp;" on "&amp;Bets!AD34,"")))))))</f>
        <v/>
      </c>
      <c r="N36" s="91"/>
      <c r="O36" s="91"/>
      <c r="P36" s="86"/>
      <c r="Q36" s="92"/>
      <c r="R36" s="91"/>
      <c r="S36" s="90" t="str">
        <f>Bets!AU34</f>
        <v/>
      </c>
      <c r="T36" s="86"/>
      <c r="U36" s="93" t="str">
        <f t="shared" si="1"/>
        <v/>
      </c>
      <c r="V36" s="75"/>
      <c r="W36" s="75"/>
      <c r="X36" s="2"/>
      <c r="Y36" s="2"/>
      <c r="Z36" s="2"/>
    </row>
    <row r="37" ht="15.0" customHeight="1">
      <c r="A37" s="100">
        <f>Bets!A35</f>
        <v>34</v>
      </c>
      <c r="B37" s="101">
        <f>Bets!B35</f>
        <v>46193</v>
      </c>
      <c r="C37" s="100" t="str">
        <f>IF(Bets!H35="","TBC",Bets!H35)</f>
        <v>21:00</v>
      </c>
      <c r="D37" s="90" t="str">
        <f>Bets!D35&amp;"  v  "&amp;Bets!E35</f>
        <v>Germany  v  Ivory Coast</v>
      </c>
      <c r="E37" s="86"/>
      <c r="F37" s="86"/>
      <c r="G37" s="86"/>
      <c r="H37" s="87" t="str">
        <f>Bets!AD35</f>
        <v/>
      </c>
      <c r="I37" s="88" t="str">
        <f>Bets!AH35</f>
        <v>· enter odds</v>
      </c>
      <c r="J37" s="89">
        <f>Bets!AJ35</f>
        <v>0</v>
      </c>
      <c r="K37" s="90" t="str">
        <f>Bets!AT35</f>
        <v>Type the 3 odds on the Matchday tab</v>
      </c>
      <c r="L37" s="91"/>
      <c r="M37" s="87" t="str">
        <f>IF(Bets!AH35="· enter odds","",IF(Method!$B$55=TRUE(),"🛑 PAUSED — drawdown protection. Override Method!B54=Y if intended.",IF(Bets!AH35&lt;&gt;"BET","❌ NO BET — price not good enough",IF(Bets!AJ35=0,"❌ NO BET — stake under minimum",IF(L37="","🟡 WAIT — check team news first",IF(L37="N","🔴 SKIP — team news concern",IF(L37="Y","🟢 PLACE £"&amp;Bets!AJ35&amp;" on "&amp;Bets!AD35,"")))))))</f>
        <v/>
      </c>
      <c r="N37" s="91"/>
      <c r="O37" s="91"/>
      <c r="P37" s="86"/>
      <c r="Q37" s="92"/>
      <c r="R37" s="91"/>
      <c r="S37" s="90" t="str">
        <f>Bets!AU35</f>
        <v/>
      </c>
      <c r="T37" s="86"/>
      <c r="U37" s="93" t="str">
        <f t="shared" si="1"/>
        <v/>
      </c>
      <c r="V37" s="75"/>
      <c r="W37" s="75"/>
      <c r="X37" s="2"/>
      <c r="Y37" s="2"/>
      <c r="Z37" s="2"/>
    </row>
    <row r="38" ht="15.0" customHeight="1">
      <c r="A38" s="100">
        <f>Bets!A36</f>
        <v>35</v>
      </c>
      <c r="B38" s="101">
        <f>Bets!B36</f>
        <v>46193</v>
      </c>
      <c r="C38" s="100" t="str">
        <f>IF(Bets!H36="","TBC",Bets!H36)</f>
        <v>01:00 +1d</v>
      </c>
      <c r="D38" s="90" t="str">
        <f>Bets!D36&amp;"  v  "&amp;Bets!E36</f>
        <v>Ecuador  v  Curacao</v>
      </c>
      <c r="E38" s="86"/>
      <c r="F38" s="86"/>
      <c r="G38" s="86"/>
      <c r="H38" s="87" t="str">
        <f>Bets!AD36</f>
        <v/>
      </c>
      <c r="I38" s="88" t="str">
        <f>Bets!AH36</f>
        <v>· enter odds</v>
      </c>
      <c r="J38" s="89">
        <f>Bets!AJ36</f>
        <v>0</v>
      </c>
      <c r="K38" s="90" t="str">
        <f>Bets!AT36</f>
        <v>Type the 3 odds on the Matchday tab</v>
      </c>
      <c r="L38" s="91"/>
      <c r="M38" s="87" t="str">
        <f>IF(Bets!AH36="· enter odds","",IF(Method!$B$55=TRUE(),"🛑 PAUSED — drawdown protection. Override Method!B54=Y if intended.",IF(Bets!AH36&lt;&gt;"BET","❌ NO BET — price not good enough",IF(Bets!AJ36=0,"❌ NO BET — stake under minimum",IF(L38="","🟡 WAIT — check team news first",IF(L38="N","🔴 SKIP — team news concern",IF(L38="Y","🟢 PLACE £"&amp;Bets!AJ36&amp;" on "&amp;Bets!AD36,"")))))))</f>
        <v/>
      </c>
      <c r="N38" s="91"/>
      <c r="O38" s="91"/>
      <c r="P38" s="86"/>
      <c r="Q38" s="92"/>
      <c r="R38" s="91"/>
      <c r="S38" s="90" t="str">
        <f>Bets!AU36</f>
        <v/>
      </c>
      <c r="T38" s="86"/>
      <c r="U38" s="93" t="str">
        <f t="shared" si="1"/>
        <v/>
      </c>
      <c r="V38" s="75"/>
      <c r="W38" s="75"/>
      <c r="X38" s="2"/>
      <c r="Y38" s="2"/>
      <c r="Z38" s="2"/>
    </row>
    <row r="39" ht="15.0" customHeight="1">
      <c r="A39" s="100">
        <f>Bets!A37</f>
        <v>36</v>
      </c>
      <c r="B39" s="101">
        <f>Bets!B37</f>
        <v>46193</v>
      </c>
      <c r="C39" s="100" t="str">
        <f>IF(Bets!H37="","TBC",Bets!H37)</f>
        <v>05:00 +1d</v>
      </c>
      <c r="D39" s="90" t="str">
        <f>Bets!D37&amp;"  v  "&amp;Bets!E37</f>
        <v>Tunisia  v  Japan</v>
      </c>
      <c r="E39" s="86"/>
      <c r="F39" s="86"/>
      <c r="G39" s="86"/>
      <c r="H39" s="87" t="str">
        <f>Bets!AD37</f>
        <v/>
      </c>
      <c r="I39" s="88" t="str">
        <f>Bets!AH37</f>
        <v>· enter odds</v>
      </c>
      <c r="J39" s="89">
        <f>Bets!AJ37</f>
        <v>0</v>
      </c>
      <c r="K39" s="90" t="str">
        <f>Bets!AT37</f>
        <v>Type the 3 odds on the Matchday tab</v>
      </c>
      <c r="L39" s="91"/>
      <c r="M39" s="87" t="str">
        <f>IF(Bets!AH37="· enter odds","",IF(Method!$B$55=TRUE(),"🛑 PAUSED — drawdown protection. Override Method!B54=Y if intended.",IF(Bets!AH37&lt;&gt;"BET","❌ NO BET — price not good enough",IF(Bets!AJ37=0,"❌ NO BET — stake under minimum",IF(L39="","🟡 WAIT — check team news first",IF(L39="N","🔴 SKIP — team news concern",IF(L39="Y","🟢 PLACE £"&amp;Bets!AJ37&amp;" on "&amp;Bets!AD37,"")))))))</f>
        <v/>
      </c>
      <c r="N39" s="91"/>
      <c r="O39" s="91"/>
      <c r="P39" s="86"/>
      <c r="Q39" s="92"/>
      <c r="R39" s="91"/>
      <c r="S39" s="90" t="str">
        <f>Bets!AU37</f>
        <v/>
      </c>
      <c r="T39" s="86"/>
      <c r="U39" s="93" t="str">
        <f t="shared" si="1"/>
        <v/>
      </c>
      <c r="V39" s="75"/>
      <c r="W39" s="75"/>
      <c r="X39" s="2"/>
      <c r="Y39" s="2"/>
      <c r="Z39" s="2"/>
    </row>
    <row r="40" ht="15.0" customHeight="1">
      <c r="A40" s="100">
        <f>Bets!A38</f>
        <v>37</v>
      </c>
      <c r="B40" s="101">
        <f>Bets!B38</f>
        <v>46194</v>
      </c>
      <c r="C40" s="100" t="str">
        <f>IF(Bets!H38="","TBC",Bets!H38)</f>
        <v>17:00</v>
      </c>
      <c r="D40" s="90" t="str">
        <f>Bets!D38&amp;"  v  "&amp;Bets!E38</f>
        <v>Spain  v  Saudi Arabia</v>
      </c>
      <c r="E40" s="86"/>
      <c r="F40" s="86"/>
      <c r="G40" s="86"/>
      <c r="H40" s="87" t="str">
        <f>Bets!AD38</f>
        <v/>
      </c>
      <c r="I40" s="88" t="str">
        <f>Bets!AH38</f>
        <v>· enter odds</v>
      </c>
      <c r="J40" s="89">
        <f>Bets!AJ38</f>
        <v>0</v>
      </c>
      <c r="K40" s="90" t="str">
        <f>Bets!AT38</f>
        <v>Type the 3 odds on the Matchday tab</v>
      </c>
      <c r="L40" s="91"/>
      <c r="M40" s="87" t="str">
        <f>IF(Bets!AH38="· enter odds","",IF(Method!$B$55=TRUE(),"🛑 PAUSED — drawdown protection. Override Method!B54=Y if intended.",IF(Bets!AH38&lt;&gt;"BET","❌ NO BET — price not good enough",IF(Bets!AJ38=0,"❌ NO BET — stake under minimum",IF(L40="","🟡 WAIT — check team news first",IF(L40="N","🔴 SKIP — team news concern",IF(L40="Y","🟢 PLACE £"&amp;Bets!AJ38&amp;" on "&amp;Bets!AD38,"")))))))</f>
        <v/>
      </c>
      <c r="N40" s="91"/>
      <c r="O40" s="91"/>
      <c r="P40" s="86"/>
      <c r="Q40" s="92"/>
      <c r="R40" s="91"/>
      <c r="S40" s="90" t="str">
        <f>Bets!AU38</f>
        <v/>
      </c>
      <c r="T40" s="86"/>
      <c r="U40" s="93" t="str">
        <f t="shared" si="1"/>
        <v/>
      </c>
      <c r="V40" s="75"/>
      <c r="W40" s="75"/>
      <c r="X40" s="2"/>
      <c r="Y40" s="2"/>
      <c r="Z40" s="2"/>
    </row>
    <row r="41" ht="15.0" customHeight="1">
      <c r="A41" s="100">
        <f>Bets!A39</f>
        <v>38</v>
      </c>
      <c r="B41" s="101">
        <f>Bets!B39</f>
        <v>46194</v>
      </c>
      <c r="C41" s="100" t="str">
        <f>IF(Bets!H39="","TBC",Bets!H39)</f>
        <v>23:00</v>
      </c>
      <c r="D41" s="90" t="str">
        <f>Bets!D39&amp;"  v  "&amp;Bets!E39</f>
        <v>Belgium  v  Iran</v>
      </c>
      <c r="E41" s="86"/>
      <c r="F41" s="86"/>
      <c r="G41" s="86"/>
      <c r="H41" s="87" t="str">
        <f>Bets!AD39</f>
        <v/>
      </c>
      <c r="I41" s="88" t="str">
        <f>Bets!AH39</f>
        <v>· enter odds</v>
      </c>
      <c r="J41" s="89">
        <f>Bets!AJ39</f>
        <v>0</v>
      </c>
      <c r="K41" s="90" t="str">
        <f>Bets!AT39</f>
        <v>Type the 3 odds on the Matchday tab</v>
      </c>
      <c r="L41" s="91"/>
      <c r="M41" s="87" t="str">
        <f>IF(Bets!AH39="· enter odds","",IF(Method!$B$55=TRUE(),"🛑 PAUSED — drawdown protection. Override Method!B54=Y if intended.",IF(Bets!AH39&lt;&gt;"BET","❌ NO BET — price not good enough",IF(Bets!AJ39=0,"❌ NO BET — stake under minimum",IF(L41="","🟡 WAIT — check team news first",IF(L41="N","🔴 SKIP — team news concern",IF(L41="Y","🟢 PLACE £"&amp;Bets!AJ39&amp;" on "&amp;Bets!AD39,"")))))))</f>
        <v/>
      </c>
      <c r="N41" s="91"/>
      <c r="O41" s="91"/>
      <c r="P41" s="86"/>
      <c r="Q41" s="92"/>
      <c r="R41" s="91"/>
      <c r="S41" s="90" t="str">
        <f>Bets!AU39</f>
        <v/>
      </c>
      <c r="T41" s="86"/>
      <c r="U41" s="93" t="str">
        <f t="shared" si="1"/>
        <v/>
      </c>
      <c r="V41" s="75"/>
      <c r="W41" s="75"/>
      <c r="X41" s="2"/>
      <c r="Y41" s="2"/>
      <c r="Z41" s="2"/>
    </row>
    <row r="42" ht="15.0" customHeight="1">
      <c r="A42" s="100">
        <f>Bets!A40</f>
        <v>39</v>
      </c>
      <c r="B42" s="101">
        <f>Bets!B40</f>
        <v>46194</v>
      </c>
      <c r="C42" s="100" t="str">
        <f>IF(Bets!H40="","TBC",Bets!H40)</f>
        <v>23:00</v>
      </c>
      <c r="D42" s="90" t="str">
        <f>Bets!D40&amp;"  v  "&amp;Bets!E40</f>
        <v>Uruguay  v  Cape Verde</v>
      </c>
      <c r="E42" s="86"/>
      <c r="F42" s="86"/>
      <c r="G42" s="86"/>
      <c r="H42" s="87" t="str">
        <f>Bets!AD40</f>
        <v/>
      </c>
      <c r="I42" s="88" t="str">
        <f>Bets!AH40</f>
        <v>· enter odds</v>
      </c>
      <c r="J42" s="89">
        <f>Bets!AJ40</f>
        <v>0</v>
      </c>
      <c r="K42" s="90" t="str">
        <f>Bets!AT40</f>
        <v>Type the 3 odds on the Matchday tab</v>
      </c>
      <c r="L42" s="91"/>
      <c r="M42" s="87" t="str">
        <f>IF(Bets!AH40="· enter odds","",IF(Method!$B$55=TRUE(),"🛑 PAUSED — drawdown protection. Override Method!B54=Y if intended.",IF(Bets!AH40&lt;&gt;"BET","❌ NO BET — price not good enough",IF(Bets!AJ40=0,"❌ NO BET — stake under minimum",IF(L42="","🟡 WAIT — check team news first",IF(L42="N","🔴 SKIP — team news concern",IF(L42="Y","🟢 PLACE £"&amp;Bets!AJ40&amp;" on "&amp;Bets!AD40,"")))))))</f>
        <v/>
      </c>
      <c r="N42" s="91"/>
      <c r="O42" s="91"/>
      <c r="P42" s="86"/>
      <c r="Q42" s="92"/>
      <c r="R42" s="91"/>
      <c r="S42" s="90" t="str">
        <f>Bets!AU40</f>
        <v/>
      </c>
      <c r="T42" s="86"/>
      <c r="U42" s="93" t="str">
        <f t="shared" si="1"/>
        <v/>
      </c>
      <c r="V42" s="75"/>
      <c r="W42" s="75"/>
      <c r="X42" s="2"/>
      <c r="Y42" s="2"/>
      <c r="Z42" s="2"/>
    </row>
    <row r="43" ht="15.0" customHeight="1">
      <c r="A43" s="100">
        <f>Bets!A41</f>
        <v>40</v>
      </c>
      <c r="B43" s="101">
        <f>Bets!B41</f>
        <v>46194</v>
      </c>
      <c r="C43" s="100" t="str">
        <f>IF(Bets!H41="","TBC",Bets!H41)</f>
        <v>05:00 +1d</v>
      </c>
      <c r="D43" s="90" t="str">
        <f>Bets!D41&amp;"  v  "&amp;Bets!E41</f>
        <v>New Zealand  v  Egypt</v>
      </c>
      <c r="E43" s="86"/>
      <c r="F43" s="86"/>
      <c r="G43" s="86"/>
      <c r="H43" s="87" t="str">
        <f>Bets!AD41</f>
        <v/>
      </c>
      <c r="I43" s="88" t="str">
        <f>Bets!AH41</f>
        <v>· enter odds</v>
      </c>
      <c r="J43" s="89">
        <f>Bets!AJ41</f>
        <v>0</v>
      </c>
      <c r="K43" s="90" t="str">
        <f>Bets!AT41</f>
        <v>Type the 3 odds on the Matchday tab</v>
      </c>
      <c r="L43" s="91"/>
      <c r="M43" s="87" t="str">
        <f>IF(Bets!AH41="· enter odds","",IF(Method!$B$55=TRUE(),"🛑 PAUSED — drawdown protection. Override Method!B54=Y if intended.",IF(Bets!AH41&lt;&gt;"BET","❌ NO BET — price not good enough",IF(Bets!AJ41=0,"❌ NO BET — stake under minimum",IF(L43="","🟡 WAIT — check team news first",IF(L43="N","🔴 SKIP — team news concern",IF(L43="Y","🟢 PLACE £"&amp;Bets!AJ41&amp;" on "&amp;Bets!AD41,"")))))))</f>
        <v/>
      </c>
      <c r="N43" s="91"/>
      <c r="O43" s="91"/>
      <c r="P43" s="86"/>
      <c r="Q43" s="92"/>
      <c r="R43" s="91"/>
      <c r="S43" s="90" t="str">
        <f>Bets!AU41</f>
        <v/>
      </c>
      <c r="T43" s="86"/>
      <c r="U43" s="93" t="str">
        <f t="shared" si="1"/>
        <v/>
      </c>
      <c r="V43" s="75"/>
      <c r="W43" s="75"/>
      <c r="X43" s="2"/>
      <c r="Y43" s="2"/>
      <c r="Z43" s="2"/>
    </row>
    <row r="44" ht="15.0" customHeight="1">
      <c r="A44" s="100">
        <f>Bets!A42</f>
        <v>41</v>
      </c>
      <c r="B44" s="101">
        <f>Bets!B42</f>
        <v>46195</v>
      </c>
      <c r="C44" s="100" t="str">
        <f>IF(Bets!H42="","TBC",Bets!H42)</f>
        <v>19:00</v>
      </c>
      <c r="D44" s="90" t="str">
        <f>Bets!D42&amp;"  v  "&amp;Bets!E42</f>
        <v>Argentina  v  Austria</v>
      </c>
      <c r="E44" s="86"/>
      <c r="F44" s="86"/>
      <c r="G44" s="86"/>
      <c r="H44" s="87" t="str">
        <f>Bets!AD42</f>
        <v/>
      </c>
      <c r="I44" s="88" t="str">
        <f>Bets!AH42</f>
        <v>· enter odds</v>
      </c>
      <c r="J44" s="89">
        <f>Bets!AJ42</f>
        <v>0</v>
      </c>
      <c r="K44" s="90" t="str">
        <f>Bets!AT42</f>
        <v>Type the 3 odds on the Matchday tab</v>
      </c>
      <c r="L44" s="91"/>
      <c r="M44" s="87" t="str">
        <f>IF(Bets!AH42="· enter odds","",IF(Method!$B$55=TRUE(),"🛑 PAUSED — drawdown protection. Override Method!B54=Y if intended.",IF(Bets!AH42&lt;&gt;"BET","❌ NO BET — price not good enough",IF(Bets!AJ42=0,"❌ NO BET — stake under minimum",IF(L44="","🟡 WAIT — check team news first",IF(L44="N","🔴 SKIP — team news concern",IF(L44="Y","🟢 PLACE £"&amp;Bets!AJ42&amp;" on "&amp;Bets!AD42,"")))))))</f>
        <v/>
      </c>
      <c r="N44" s="91"/>
      <c r="O44" s="91"/>
      <c r="P44" s="86"/>
      <c r="Q44" s="92"/>
      <c r="R44" s="91"/>
      <c r="S44" s="90" t="str">
        <f>Bets!AU42</f>
        <v/>
      </c>
      <c r="T44" s="86"/>
      <c r="U44" s="93" t="str">
        <f t="shared" si="1"/>
        <v/>
      </c>
      <c r="V44" s="75"/>
      <c r="W44" s="75"/>
      <c r="X44" s="2"/>
      <c r="Y44" s="2"/>
      <c r="Z44" s="2"/>
    </row>
    <row r="45" ht="15.0" customHeight="1">
      <c r="A45" s="100">
        <f>Bets!A43</f>
        <v>42</v>
      </c>
      <c r="B45" s="101">
        <f>Bets!B43</f>
        <v>46195</v>
      </c>
      <c r="C45" s="100" t="str">
        <f>IF(Bets!H43="","TBC",Bets!H43)</f>
        <v>22:00</v>
      </c>
      <c r="D45" s="90" t="str">
        <f>Bets!D43&amp;"  v  "&amp;Bets!E43</f>
        <v>France  v  Iraq</v>
      </c>
      <c r="E45" s="86"/>
      <c r="F45" s="86"/>
      <c r="G45" s="86"/>
      <c r="H45" s="87" t="str">
        <f>Bets!AD43</f>
        <v/>
      </c>
      <c r="I45" s="88" t="str">
        <f>Bets!AH43</f>
        <v>· enter odds</v>
      </c>
      <c r="J45" s="89">
        <f>Bets!AJ43</f>
        <v>0</v>
      </c>
      <c r="K45" s="90" t="str">
        <f>Bets!AT43</f>
        <v>Type the 3 odds on the Matchday tab</v>
      </c>
      <c r="L45" s="91"/>
      <c r="M45" s="87" t="str">
        <f>IF(Bets!AH43="· enter odds","",IF(Method!$B$55=TRUE(),"🛑 PAUSED — drawdown protection. Override Method!B54=Y if intended.",IF(Bets!AH43&lt;&gt;"BET","❌ NO BET — price not good enough",IF(Bets!AJ43=0,"❌ NO BET — stake under minimum",IF(L45="","🟡 WAIT — check team news first",IF(L45="N","🔴 SKIP — team news concern",IF(L45="Y","🟢 PLACE £"&amp;Bets!AJ43&amp;" on "&amp;Bets!AD43,"")))))))</f>
        <v/>
      </c>
      <c r="N45" s="91"/>
      <c r="O45" s="91"/>
      <c r="P45" s="86"/>
      <c r="Q45" s="92"/>
      <c r="R45" s="91"/>
      <c r="S45" s="90" t="str">
        <f>Bets!AU43</f>
        <v/>
      </c>
      <c r="T45" s="86"/>
      <c r="U45" s="93" t="str">
        <f t="shared" si="1"/>
        <v/>
      </c>
      <c r="V45" s="75"/>
      <c r="W45" s="75"/>
      <c r="X45" s="2"/>
      <c r="Y45" s="2"/>
      <c r="Z45" s="2"/>
    </row>
    <row r="46" ht="15.0" customHeight="1">
      <c r="A46" s="100">
        <f>Bets!A44</f>
        <v>43</v>
      </c>
      <c r="B46" s="101">
        <f>Bets!B44</f>
        <v>46195</v>
      </c>
      <c r="C46" s="100" t="str">
        <f>IF(Bets!H44="","TBC",Bets!H44)</f>
        <v>01:00 +1d</v>
      </c>
      <c r="D46" s="90" t="str">
        <f>Bets!D44&amp;"  v  "&amp;Bets!E44</f>
        <v>Norway  v  Senegal</v>
      </c>
      <c r="E46" s="86"/>
      <c r="F46" s="86"/>
      <c r="G46" s="86"/>
      <c r="H46" s="87" t="str">
        <f>Bets!AD44</f>
        <v/>
      </c>
      <c r="I46" s="88" t="str">
        <f>Bets!AH44</f>
        <v>· enter odds</v>
      </c>
      <c r="J46" s="89">
        <f>Bets!AJ44</f>
        <v>0</v>
      </c>
      <c r="K46" s="90" t="str">
        <f>Bets!AT44</f>
        <v>Type the 3 odds on the Matchday tab</v>
      </c>
      <c r="L46" s="91"/>
      <c r="M46" s="87" t="str">
        <f>IF(Bets!AH44="· enter odds","",IF(Method!$B$55=TRUE(),"🛑 PAUSED — drawdown protection. Override Method!B54=Y if intended.",IF(Bets!AH44&lt;&gt;"BET","❌ NO BET — price not good enough",IF(Bets!AJ44=0,"❌ NO BET — stake under minimum",IF(L46="","🟡 WAIT — check team news first",IF(L46="N","🔴 SKIP — team news concern",IF(L46="Y","🟢 PLACE £"&amp;Bets!AJ44&amp;" on "&amp;Bets!AD44,"")))))))</f>
        <v/>
      </c>
      <c r="N46" s="91"/>
      <c r="O46" s="91"/>
      <c r="P46" s="86"/>
      <c r="Q46" s="92"/>
      <c r="R46" s="91"/>
      <c r="S46" s="90" t="str">
        <f>Bets!AU44</f>
        <v/>
      </c>
      <c r="T46" s="86"/>
      <c r="U46" s="93" t="str">
        <f t="shared" si="1"/>
        <v/>
      </c>
      <c r="V46" s="75"/>
      <c r="W46" s="75"/>
      <c r="X46" s="2"/>
      <c r="Y46" s="2"/>
      <c r="Z46" s="2"/>
    </row>
    <row r="47" ht="15.0" customHeight="1">
      <c r="A47" s="100">
        <f>Bets!A45</f>
        <v>44</v>
      </c>
      <c r="B47" s="101">
        <f>Bets!B45</f>
        <v>46195</v>
      </c>
      <c r="C47" s="100" t="str">
        <f>IF(Bets!H45="","TBC",Bets!H45)</f>
        <v>07:00 +1d</v>
      </c>
      <c r="D47" s="90" t="str">
        <f>Bets!D45&amp;"  v  "&amp;Bets!E45</f>
        <v>Jordan  v  Algeria</v>
      </c>
      <c r="E47" s="86"/>
      <c r="F47" s="86"/>
      <c r="G47" s="86"/>
      <c r="H47" s="87" t="str">
        <f>Bets!AD45</f>
        <v/>
      </c>
      <c r="I47" s="88" t="str">
        <f>Bets!AH45</f>
        <v>· enter odds</v>
      </c>
      <c r="J47" s="89">
        <f>Bets!AJ45</f>
        <v>0</v>
      </c>
      <c r="K47" s="90" t="str">
        <f>Bets!AT45</f>
        <v>Type the 3 odds on the Matchday tab</v>
      </c>
      <c r="L47" s="91"/>
      <c r="M47" s="87" t="str">
        <f>IF(Bets!AH45="· enter odds","",IF(Method!$B$55=TRUE(),"🛑 PAUSED — drawdown protection. Override Method!B54=Y if intended.",IF(Bets!AH45&lt;&gt;"BET","❌ NO BET — price not good enough",IF(Bets!AJ45=0,"❌ NO BET — stake under minimum",IF(L47="","🟡 WAIT — check team news first",IF(L47="N","🔴 SKIP — team news concern",IF(L47="Y","🟢 PLACE £"&amp;Bets!AJ45&amp;" on "&amp;Bets!AD45,"")))))))</f>
        <v/>
      </c>
      <c r="N47" s="91"/>
      <c r="O47" s="91"/>
      <c r="P47" s="86"/>
      <c r="Q47" s="92"/>
      <c r="R47" s="91"/>
      <c r="S47" s="90" t="str">
        <f>Bets!AU45</f>
        <v/>
      </c>
      <c r="T47" s="86"/>
      <c r="U47" s="93" t="str">
        <f t="shared" si="1"/>
        <v/>
      </c>
      <c r="V47" s="75"/>
      <c r="W47" s="75"/>
      <c r="X47" s="2"/>
      <c r="Y47" s="2"/>
      <c r="Z47" s="2"/>
    </row>
    <row r="48" ht="15.0" customHeight="1">
      <c r="A48" s="100">
        <f>Bets!A46</f>
        <v>45</v>
      </c>
      <c r="B48" s="101">
        <f>Bets!B46</f>
        <v>46196</v>
      </c>
      <c r="C48" s="100" t="str">
        <f>IF(Bets!H46="","TBC",Bets!H46)</f>
        <v>19:00</v>
      </c>
      <c r="D48" s="90" t="str">
        <f>Bets!D46&amp;"  v  "&amp;Bets!E46</f>
        <v>Portugal  v  Uzbekistan</v>
      </c>
      <c r="E48" s="86"/>
      <c r="F48" s="86"/>
      <c r="G48" s="86"/>
      <c r="H48" s="87" t="str">
        <f>Bets!AD46</f>
        <v/>
      </c>
      <c r="I48" s="88" t="str">
        <f>Bets!AH46</f>
        <v>· enter odds</v>
      </c>
      <c r="J48" s="89">
        <f>Bets!AJ46</f>
        <v>0</v>
      </c>
      <c r="K48" s="90" t="str">
        <f>Bets!AT46</f>
        <v>Type the 3 odds on the Matchday tab</v>
      </c>
      <c r="L48" s="91"/>
      <c r="M48" s="87" t="str">
        <f>IF(Bets!AH46="· enter odds","",IF(Method!$B$55=TRUE(),"🛑 PAUSED — drawdown protection. Override Method!B54=Y if intended.",IF(Bets!AH46&lt;&gt;"BET","❌ NO BET — price not good enough",IF(Bets!AJ46=0,"❌ NO BET — stake under minimum",IF(L48="","🟡 WAIT — check team news first",IF(L48="N","🔴 SKIP — team news concern",IF(L48="Y","🟢 PLACE £"&amp;Bets!AJ46&amp;" on "&amp;Bets!AD46,"")))))))</f>
        <v/>
      </c>
      <c r="N48" s="91"/>
      <c r="O48" s="91"/>
      <c r="P48" s="86"/>
      <c r="Q48" s="92"/>
      <c r="R48" s="91"/>
      <c r="S48" s="90" t="str">
        <f>Bets!AU46</f>
        <v/>
      </c>
      <c r="T48" s="86"/>
      <c r="U48" s="93" t="str">
        <f t="shared" si="1"/>
        <v/>
      </c>
      <c r="V48" s="75"/>
      <c r="W48" s="75"/>
      <c r="X48" s="2"/>
      <c r="Y48" s="2"/>
      <c r="Z48" s="2"/>
    </row>
    <row r="49" ht="15.0" customHeight="1">
      <c r="A49" s="100">
        <f>Bets!A47</f>
        <v>46</v>
      </c>
      <c r="B49" s="101">
        <f>Bets!B47</f>
        <v>46196</v>
      </c>
      <c r="C49" s="100" t="str">
        <f>IF(Bets!H47="","TBC",Bets!H47)</f>
        <v>21:00</v>
      </c>
      <c r="D49" s="90" t="str">
        <f>Bets!D47&amp;"  v  "&amp;Bets!E47</f>
        <v>England  v  Ghana</v>
      </c>
      <c r="E49" s="86"/>
      <c r="F49" s="86"/>
      <c r="G49" s="86"/>
      <c r="H49" s="87" t="str">
        <f>Bets!AD47</f>
        <v/>
      </c>
      <c r="I49" s="88" t="str">
        <f>Bets!AH47</f>
        <v>· enter odds</v>
      </c>
      <c r="J49" s="89">
        <f>Bets!AJ47</f>
        <v>0</v>
      </c>
      <c r="K49" s="90" t="str">
        <f>Bets!AT47</f>
        <v>Type the 3 odds on the Matchday tab</v>
      </c>
      <c r="L49" s="91"/>
      <c r="M49" s="87" t="str">
        <f>IF(Bets!AH47="· enter odds","",IF(Method!$B$55=TRUE(),"🛑 PAUSED — drawdown protection. Override Method!B54=Y if intended.",IF(Bets!AH47&lt;&gt;"BET","❌ NO BET — price not good enough",IF(Bets!AJ47=0,"❌ NO BET — stake under minimum",IF(L49="","🟡 WAIT — check team news first",IF(L49="N","🔴 SKIP — team news concern",IF(L49="Y","🟢 PLACE £"&amp;Bets!AJ47&amp;" on "&amp;Bets!AD47,"")))))))</f>
        <v/>
      </c>
      <c r="N49" s="91"/>
      <c r="O49" s="91"/>
      <c r="P49" s="86"/>
      <c r="Q49" s="92"/>
      <c r="R49" s="91"/>
      <c r="S49" s="90" t="str">
        <f>Bets!AU47</f>
        <v/>
      </c>
      <c r="T49" s="86"/>
      <c r="U49" s="93" t="str">
        <f t="shared" si="1"/>
        <v/>
      </c>
      <c r="V49" s="75"/>
      <c r="W49" s="75"/>
      <c r="X49" s="2"/>
      <c r="Y49" s="2"/>
      <c r="Z49" s="2"/>
    </row>
    <row r="50" ht="15.0" customHeight="1">
      <c r="A50" s="100">
        <f>Bets!A48</f>
        <v>47</v>
      </c>
      <c r="B50" s="101">
        <f>Bets!B48</f>
        <v>46196</v>
      </c>
      <c r="C50" s="100" t="str">
        <f>IF(Bets!H48="","TBC",Bets!H48)</f>
        <v>00:00 +1d</v>
      </c>
      <c r="D50" s="90" t="str">
        <f>Bets!D48&amp;"  v  "&amp;Bets!E48</f>
        <v>Panama  v  Croatia</v>
      </c>
      <c r="E50" s="86"/>
      <c r="F50" s="86"/>
      <c r="G50" s="86"/>
      <c r="H50" s="87" t="str">
        <f>Bets!AD48</f>
        <v/>
      </c>
      <c r="I50" s="88" t="str">
        <f>Bets!AH48</f>
        <v>· enter odds</v>
      </c>
      <c r="J50" s="89">
        <f>Bets!AJ48</f>
        <v>0</v>
      </c>
      <c r="K50" s="90" t="str">
        <f>Bets!AT48</f>
        <v>Type the 3 odds on the Matchday tab</v>
      </c>
      <c r="L50" s="91"/>
      <c r="M50" s="87" t="str">
        <f>IF(Bets!AH48="· enter odds","",IF(Method!$B$55=TRUE(),"🛑 PAUSED — drawdown protection. Override Method!B54=Y if intended.",IF(Bets!AH48&lt;&gt;"BET","❌ NO BET — price not good enough",IF(Bets!AJ48=0,"❌ NO BET — stake under minimum",IF(L50="","🟡 WAIT — check team news first",IF(L50="N","🔴 SKIP — team news concern",IF(L50="Y","🟢 PLACE £"&amp;Bets!AJ48&amp;" on "&amp;Bets!AD48,"")))))))</f>
        <v/>
      </c>
      <c r="N50" s="91"/>
      <c r="O50" s="91"/>
      <c r="P50" s="86"/>
      <c r="Q50" s="92"/>
      <c r="R50" s="91"/>
      <c r="S50" s="90" t="str">
        <f>Bets!AU48</f>
        <v/>
      </c>
      <c r="T50" s="86"/>
      <c r="U50" s="93" t="str">
        <f t="shared" si="1"/>
        <v/>
      </c>
      <c r="V50" s="75"/>
      <c r="W50" s="75"/>
      <c r="X50" s="2"/>
      <c r="Y50" s="2"/>
      <c r="Z50" s="2"/>
    </row>
    <row r="51" ht="15.0" customHeight="1">
      <c r="A51" s="100">
        <f>Bets!A49</f>
        <v>48</v>
      </c>
      <c r="B51" s="101">
        <f>Bets!B49</f>
        <v>46196</v>
      </c>
      <c r="C51" s="100" t="str">
        <f>IF(Bets!H49="","TBC",Bets!H49)</f>
        <v>05:00 +1d</v>
      </c>
      <c r="D51" s="90" t="str">
        <f>Bets!D49&amp;"  v  "&amp;Bets!E49</f>
        <v>Colombia  v  DR Congo</v>
      </c>
      <c r="E51" s="86"/>
      <c r="F51" s="86"/>
      <c r="G51" s="86"/>
      <c r="H51" s="87" t="str">
        <f>Bets!AD49</f>
        <v/>
      </c>
      <c r="I51" s="88" t="str">
        <f>Bets!AH49</f>
        <v>· enter odds</v>
      </c>
      <c r="J51" s="89">
        <f>Bets!AJ49</f>
        <v>0</v>
      </c>
      <c r="K51" s="90" t="str">
        <f>Bets!AT49</f>
        <v>Type the 3 odds on the Matchday tab</v>
      </c>
      <c r="L51" s="91"/>
      <c r="M51" s="87" t="str">
        <f>IF(Bets!AH49="· enter odds","",IF(Method!$B$55=TRUE(),"🛑 PAUSED — drawdown protection. Override Method!B54=Y if intended.",IF(Bets!AH49&lt;&gt;"BET","❌ NO BET — price not good enough",IF(Bets!AJ49=0,"❌ NO BET — stake under minimum",IF(L51="","🟡 WAIT — check team news first",IF(L51="N","🔴 SKIP — team news concern",IF(L51="Y","🟢 PLACE £"&amp;Bets!AJ49&amp;" on "&amp;Bets!AD49,"")))))))</f>
        <v/>
      </c>
      <c r="N51" s="91"/>
      <c r="O51" s="91"/>
      <c r="P51" s="86"/>
      <c r="Q51" s="92"/>
      <c r="R51" s="91"/>
      <c r="S51" s="90" t="str">
        <f>Bets!AU49</f>
        <v/>
      </c>
      <c r="T51" s="86"/>
      <c r="U51" s="93" t="str">
        <f t="shared" si="1"/>
        <v/>
      </c>
      <c r="V51" s="75"/>
      <c r="W51" s="75"/>
      <c r="X51" s="2"/>
      <c r="Y51" s="2"/>
      <c r="Z51" s="2"/>
    </row>
    <row r="52" ht="15.0" customHeight="1">
      <c r="A52" s="102">
        <f>Bets!A50</f>
        <v>49</v>
      </c>
      <c r="B52" s="103">
        <f>Bets!B50</f>
        <v>46197</v>
      </c>
      <c r="C52" s="100" t="str">
        <f>IF(Bets!H50="","TBC",Bets!H50)</f>
        <v>23:00</v>
      </c>
      <c r="D52" s="90" t="str">
        <f>Bets!D50&amp;"  v  "&amp;Bets!E50</f>
        <v>Switzerland  v  Canada</v>
      </c>
      <c r="E52" s="86"/>
      <c r="F52" s="86"/>
      <c r="G52" s="86"/>
      <c r="H52" s="87" t="str">
        <f>Bets!AD50</f>
        <v/>
      </c>
      <c r="I52" s="88" t="str">
        <f>Bets!AH50</f>
        <v>· enter odds</v>
      </c>
      <c r="J52" s="89">
        <f>Bets!AJ50</f>
        <v>0</v>
      </c>
      <c r="K52" s="90" t="str">
        <f>Bets!AT50</f>
        <v>Type the 3 odds on the Matchday tab</v>
      </c>
      <c r="L52" s="91"/>
      <c r="M52" s="87" t="str">
        <f>IF(Bets!AH50="· enter odds","",IF(Method!$B$55=TRUE(),"🛑 PAUSED — drawdown protection. Override Method!B54=Y if intended.",IF(Bets!AH50&lt;&gt;"BET","❌ NO BET — price not good enough",IF(Bets!AJ50=0,"❌ NO BET — stake under minimum",IF(L52="","🟡 WAIT — check team news first",IF(L52="N","🔴 SKIP — team news concern",IF(L52="Y","🟢 PLACE £"&amp;Bets!AJ50&amp;" on "&amp;Bets!AD50,"")))))))</f>
        <v/>
      </c>
      <c r="N52" s="91"/>
      <c r="O52" s="91"/>
      <c r="P52" s="86"/>
      <c r="Q52" s="92"/>
      <c r="R52" s="91"/>
      <c r="S52" s="90" t="str">
        <f>Bets!AU50</f>
        <v/>
      </c>
      <c r="T52" s="86"/>
      <c r="U52" s="93" t="str">
        <f t="shared" si="1"/>
        <v/>
      </c>
      <c r="V52" s="75"/>
      <c r="W52" s="75"/>
      <c r="X52" s="2"/>
      <c r="Y52" s="2"/>
      <c r="Z52" s="2"/>
    </row>
    <row r="53" ht="15.0" customHeight="1">
      <c r="A53" s="102">
        <f>Bets!A51</f>
        <v>50</v>
      </c>
      <c r="B53" s="103">
        <f>Bets!B51</f>
        <v>46197</v>
      </c>
      <c r="C53" s="100" t="str">
        <f>IF(Bets!H51="","TBC",Bets!H51)</f>
        <v>23:00</v>
      </c>
      <c r="D53" s="90" t="str">
        <f>Bets!D51&amp;"  v  "&amp;Bets!E51</f>
        <v>Bosnia and Herzegovina  v  Qatar</v>
      </c>
      <c r="E53" s="86"/>
      <c r="F53" s="86"/>
      <c r="G53" s="86"/>
      <c r="H53" s="87" t="str">
        <f>Bets!AD51</f>
        <v/>
      </c>
      <c r="I53" s="88" t="str">
        <f>Bets!AH51</f>
        <v>· enter odds</v>
      </c>
      <c r="J53" s="89">
        <f>Bets!AJ51</f>
        <v>0</v>
      </c>
      <c r="K53" s="90" t="str">
        <f>Bets!AT51</f>
        <v>Type the 3 odds on the Matchday tab</v>
      </c>
      <c r="L53" s="91"/>
      <c r="M53" s="87" t="str">
        <f>IF(Bets!AH51="· enter odds","",IF(Method!$B$55=TRUE(),"🛑 PAUSED — drawdown protection. Override Method!B54=Y if intended.",IF(Bets!AH51&lt;&gt;"BET","❌ NO BET — price not good enough",IF(Bets!AJ51=0,"❌ NO BET — stake under minimum",IF(L53="","🟡 WAIT — check team news first",IF(L53="N","🔴 SKIP — team news concern",IF(L53="Y","🟢 PLACE £"&amp;Bets!AJ51&amp;" on "&amp;Bets!AD51,"")))))))</f>
        <v/>
      </c>
      <c r="N53" s="91"/>
      <c r="O53" s="91"/>
      <c r="P53" s="86"/>
      <c r="Q53" s="92"/>
      <c r="R53" s="91"/>
      <c r="S53" s="90" t="str">
        <f>Bets!AU51</f>
        <v/>
      </c>
      <c r="T53" s="86"/>
      <c r="U53" s="93" t="str">
        <f t="shared" si="1"/>
        <v/>
      </c>
      <c r="V53" s="75"/>
      <c r="W53" s="75"/>
      <c r="X53" s="2"/>
      <c r="Y53" s="2"/>
      <c r="Z53" s="2"/>
    </row>
    <row r="54" ht="15.0" customHeight="1">
      <c r="A54" s="102">
        <f>Bets!A52</f>
        <v>51</v>
      </c>
      <c r="B54" s="103">
        <f>Bets!B52</f>
        <v>46197</v>
      </c>
      <c r="C54" s="100" t="str">
        <f>IF(Bets!H52="","TBC",Bets!H52)</f>
        <v>23:00</v>
      </c>
      <c r="D54" s="90" t="str">
        <f>Bets!D52&amp;"  v  "&amp;Bets!E52</f>
        <v>Scotland  v  Brazil</v>
      </c>
      <c r="E54" s="86"/>
      <c r="F54" s="86"/>
      <c r="G54" s="86"/>
      <c r="H54" s="87" t="str">
        <f>Bets!AD52</f>
        <v/>
      </c>
      <c r="I54" s="88" t="str">
        <f>Bets!AH52</f>
        <v>· enter odds</v>
      </c>
      <c r="J54" s="89">
        <f>Bets!AJ52</f>
        <v>0</v>
      </c>
      <c r="K54" s="90" t="str">
        <f>Bets!AT52</f>
        <v>Type the 3 odds on the Matchday tab</v>
      </c>
      <c r="L54" s="91"/>
      <c r="M54" s="87" t="str">
        <f>IF(Bets!AH52="· enter odds","",IF(Method!$B$55=TRUE(),"🛑 PAUSED — drawdown protection. Override Method!B54=Y if intended.",IF(Bets!AH52&lt;&gt;"BET","❌ NO BET — price not good enough",IF(Bets!AJ52=0,"❌ NO BET — stake under minimum",IF(L54="","🟡 WAIT — check team news first",IF(L54="N","🔴 SKIP — team news concern",IF(L54="Y","🟢 PLACE £"&amp;Bets!AJ52&amp;" on "&amp;Bets!AD52,"")))))))</f>
        <v/>
      </c>
      <c r="N54" s="91"/>
      <c r="O54" s="91"/>
      <c r="P54" s="86"/>
      <c r="Q54" s="92"/>
      <c r="R54" s="91"/>
      <c r="S54" s="90" t="str">
        <f>Bets!AU52</f>
        <v/>
      </c>
      <c r="T54" s="86"/>
      <c r="U54" s="93" t="str">
        <f t="shared" si="1"/>
        <v/>
      </c>
      <c r="V54" s="75"/>
      <c r="W54" s="75"/>
      <c r="X54" s="2"/>
      <c r="Y54" s="2"/>
      <c r="Z54" s="2"/>
    </row>
    <row r="55" ht="15.0" customHeight="1">
      <c r="A55" s="102">
        <f>Bets!A53</f>
        <v>52</v>
      </c>
      <c r="B55" s="103">
        <f>Bets!B53</f>
        <v>46197</v>
      </c>
      <c r="C55" s="100" t="str">
        <f>IF(Bets!H53="","TBC",Bets!H53)</f>
        <v>23:00</v>
      </c>
      <c r="D55" s="90" t="str">
        <f>Bets!D53&amp;"  v  "&amp;Bets!E53</f>
        <v>Morocco  v  Haiti</v>
      </c>
      <c r="E55" s="86"/>
      <c r="F55" s="86"/>
      <c r="G55" s="86"/>
      <c r="H55" s="87" t="str">
        <f>Bets!AD53</f>
        <v/>
      </c>
      <c r="I55" s="88" t="str">
        <f>Bets!AH53</f>
        <v>· enter odds</v>
      </c>
      <c r="J55" s="89">
        <f>Bets!AJ53</f>
        <v>0</v>
      </c>
      <c r="K55" s="90" t="str">
        <f>Bets!AT53</f>
        <v>Type the 3 odds on the Matchday tab</v>
      </c>
      <c r="L55" s="91"/>
      <c r="M55" s="87" t="str">
        <f>IF(Bets!AH53="· enter odds","",IF(Method!$B$55=TRUE(),"🛑 PAUSED — drawdown protection. Override Method!B54=Y if intended.",IF(Bets!AH53&lt;&gt;"BET","❌ NO BET — price not good enough",IF(Bets!AJ53=0,"❌ NO BET — stake under minimum",IF(L55="","🟡 WAIT — check team news first",IF(L55="N","🔴 SKIP — team news concern",IF(L55="Y","🟢 PLACE £"&amp;Bets!AJ53&amp;" on "&amp;Bets!AD53,"")))))))</f>
        <v/>
      </c>
      <c r="N55" s="91"/>
      <c r="O55" s="91"/>
      <c r="P55" s="86"/>
      <c r="Q55" s="92"/>
      <c r="R55" s="91"/>
      <c r="S55" s="90" t="str">
        <f>Bets!AU53</f>
        <v/>
      </c>
      <c r="T55" s="86"/>
      <c r="U55" s="93" t="str">
        <f t="shared" si="1"/>
        <v/>
      </c>
      <c r="V55" s="75"/>
      <c r="W55" s="75"/>
      <c r="X55" s="2"/>
      <c r="Y55" s="2"/>
      <c r="Z55" s="2"/>
    </row>
    <row r="56" ht="15.0" customHeight="1">
      <c r="A56" s="102">
        <f>Bets!A54</f>
        <v>53</v>
      </c>
      <c r="B56" s="103">
        <f>Bets!B54</f>
        <v>46197</v>
      </c>
      <c r="C56" s="100" t="str">
        <f>IF(Bets!H54="","TBC",Bets!H54)</f>
        <v>04:00 +1d</v>
      </c>
      <c r="D56" s="90" t="str">
        <f>Bets!D54&amp;"  v  "&amp;Bets!E54</f>
        <v>Czechia  v  Mexico</v>
      </c>
      <c r="E56" s="86"/>
      <c r="F56" s="86"/>
      <c r="G56" s="86"/>
      <c r="H56" s="87" t="str">
        <f>Bets!AD54</f>
        <v/>
      </c>
      <c r="I56" s="88" t="str">
        <f>Bets!AH54</f>
        <v>· enter odds</v>
      </c>
      <c r="J56" s="89">
        <f>Bets!AJ54</f>
        <v>0</v>
      </c>
      <c r="K56" s="90" t="str">
        <f>Bets!AT54</f>
        <v>Type the 3 odds on the Matchday tab</v>
      </c>
      <c r="L56" s="91"/>
      <c r="M56" s="87" t="str">
        <f>IF(Bets!AH54="· enter odds","",IF(Method!$B$55=TRUE(),"🛑 PAUSED — drawdown protection. Override Method!B54=Y if intended.",IF(Bets!AH54&lt;&gt;"BET","❌ NO BET — price not good enough",IF(Bets!AJ54=0,"❌ NO BET — stake under minimum",IF(L56="","🟡 WAIT — check team news first",IF(L56="N","🔴 SKIP — team news concern",IF(L56="Y","🟢 PLACE £"&amp;Bets!AJ54&amp;" on "&amp;Bets!AD54,"")))))))</f>
        <v/>
      </c>
      <c r="N56" s="91"/>
      <c r="O56" s="91"/>
      <c r="P56" s="86"/>
      <c r="Q56" s="92"/>
      <c r="R56" s="91"/>
      <c r="S56" s="90" t="str">
        <f>Bets!AU54</f>
        <v/>
      </c>
      <c r="T56" s="86"/>
      <c r="U56" s="93" t="str">
        <f t="shared" si="1"/>
        <v/>
      </c>
      <c r="V56" s="75"/>
      <c r="W56" s="75"/>
      <c r="X56" s="2"/>
      <c r="Y56" s="2"/>
      <c r="Z56" s="2"/>
    </row>
    <row r="57" ht="15.0" customHeight="1">
      <c r="A57" s="102">
        <f>Bets!A55</f>
        <v>54</v>
      </c>
      <c r="B57" s="103">
        <f>Bets!B55</f>
        <v>46197</v>
      </c>
      <c r="C57" s="100" t="str">
        <f>IF(Bets!H55="","TBC",Bets!H55)</f>
        <v>04:00 +1d</v>
      </c>
      <c r="D57" s="90" t="str">
        <f>Bets!D55&amp;"  v  "&amp;Bets!E55</f>
        <v>South Africa  v  South Korea</v>
      </c>
      <c r="E57" s="86"/>
      <c r="F57" s="86"/>
      <c r="G57" s="86"/>
      <c r="H57" s="87" t="str">
        <f>Bets!AD55</f>
        <v/>
      </c>
      <c r="I57" s="88" t="str">
        <f>Bets!AH55</f>
        <v>· enter odds</v>
      </c>
      <c r="J57" s="89">
        <f>Bets!AJ55</f>
        <v>0</v>
      </c>
      <c r="K57" s="90" t="str">
        <f>Bets!AT55</f>
        <v>Type the 3 odds on the Matchday tab</v>
      </c>
      <c r="L57" s="91"/>
      <c r="M57" s="87" t="str">
        <f>IF(Bets!AH55="· enter odds","",IF(Method!$B$55=TRUE(),"🛑 PAUSED — drawdown protection. Override Method!B54=Y if intended.",IF(Bets!AH55&lt;&gt;"BET","❌ NO BET — price not good enough",IF(Bets!AJ55=0,"❌ NO BET — stake under minimum",IF(L57="","🟡 WAIT — check team news first",IF(L57="N","🔴 SKIP — team news concern",IF(L57="Y","🟢 PLACE £"&amp;Bets!AJ55&amp;" on "&amp;Bets!AD55,"")))))))</f>
        <v/>
      </c>
      <c r="N57" s="91"/>
      <c r="O57" s="91"/>
      <c r="P57" s="86"/>
      <c r="Q57" s="92"/>
      <c r="R57" s="91"/>
      <c r="S57" s="90" t="str">
        <f>Bets!AU55</f>
        <v/>
      </c>
      <c r="T57" s="86"/>
      <c r="U57" s="93" t="str">
        <f t="shared" si="1"/>
        <v/>
      </c>
      <c r="V57" s="75"/>
      <c r="W57" s="75"/>
      <c r="X57" s="2"/>
      <c r="Y57" s="2"/>
      <c r="Z57" s="2"/>
    </row>
    <row r="58" ht="15.0" customHeight="1">
      <c r="A58" s="102">
        <f>Bets!A56</f>
        <v>55</v>
      </c>
      <c r="B58" s="103">
        <f>Bets!B56</f>
        <v>46198</v>
      </c>
      <c r="C58" s="100" t="str">
        <f>IF(Bets!H56="","TBC",Bets!H56)</f>
        <v>21:00</v>
      </c>
      <c r="D58" s="90" t="str">
        <f>Bets!D56&amp;"  v  "&amp;Bets!E56</f>
        <v>Ecuador  v  Germany</v>
      </c>
      <c r="E58" s="86"/>
      <c r="F58" s="86"/>
      <c r="G58" s="86"/>
      <c r="H58" s="87" t="str">
        <f>Bets!AD56</f>
        <v/>
      </c>
      <c r="I58" s="88" t="str">
        <f>Bets!AH56</f>
        <v>· enter odds</v>
      </c>
      <c r="J58" s="89">
        <f>Bets!AJ56</f>
        <v>0</v>
      </c>
      <c r="K58" s="90" t="str">
        <f>Bets!AT56</f>
        <v>Type the 3 odds on the Matchday tab</v>
      </c>
      <c r="L58" s="91"/>
      <c r="M58" s="87" t="str">
        <f>IF(Bets!AH56="· enter odds","",IF(Method!$B$55=TRUE(),"🛑 PAUSED — drawdown protection. Override Method!B54=Y if intended.",IF(Bets!AH56&lt;&gt;"BET","❌ NO BET — price not good enough",IF(Bets!AJ56=0,"❌ NO BET — stake under minimum",IF(L58="","🟡 WAIT — check team news first",IF(L58="N","🔴 SKIP — team news concern",IF(L58="Y","🟢 PLACE £"&amp;Bets!AJ56&amp;" on "&amp;Bets!AD56,"")))))))</f>
        <v/>
      </c>
      <c r="N58" s="91"/>
      <c r="O58" s="91"/>
      <c r="P58" s="86"/>
      <c r="Q58" s="92"/>
      <c r="R58" s="91"/>
      <c r="S58" s="90" t="str">
        <f>Bets!AU56</f>
        <v/>
      </c>
      <c r="T58" s="86"/>
      <c r="U58" s="93" t="str">
        <f t="shared" si="1"/>
        <v/>
      </c>
      <c r="V58" s="75"/>
      <c r="W58" s="75"/>
      <c r="X58" s="2"/>
      <c r="Y58" s="2"/>
      <c r="Z58" s="2"/>
    </row>
    <row r="59" ht="15.0" customHeight="1">
      <c r="A59" s="102">
        <f>Bets!A57</f>
        <v>56</v>
      </c>
      <c r="B59" s="103">
        <f>Bets!B57</f>
        <v>46198</v>
      </c>
      <c r="C59" s="100" t="str">
        <f>IF(Bets!H57="","TBC",Bets!H57)</f>
        <v>21:00</v>
      </c>
      <c r="D59" s="90" t="str">
        <f>Bets!D57&amp;"  v  "&amp;Bets!E57</f>
        <v>Curacao  v  Ivory Coast</v>
      </c>
      <c r="E59" s="86"/>
      <c r="F59" s="86"/>
      <c r="G59" s="86"/>
      <c r="H59" s="87" t="str">
        <f>Bets!AD57</f>
        <v/>
      </c>
      <c r="I59" s="88" t="str">
        <f>Bets!AH57</f>
        <v>· enter odds</v>
      </c>
      <c r="J59" s="89">
        <f>Bets!AJ57</f>
        <v>0</v>
      </c>
      <c r="K59" s="90" t="str">
        <f>Bets!AT57</f>
        <v>Type the 3 odds on the Matchday tab</v>
      </c>
      <c r="L59" s="91"/>
      <c r="M59" s="87" t="str">
        <f>IF(Bets!AH57="· enter odds","",IF(Method!$B$55=TRUE(),"🛑 PAUSED — drawdown protection. Override Method!B54=Y if intended.",IF(Bets!AH57&lt;&gt;"BET","❌ NO BET — price not good enough",IF(Bets!AJ57=0,"❌ NO BET — stake under minimum",IF(L59="","🟡 WAIT — check team news first",IF(L59="N","🔴 SKIP — team news concern",IF(L59="Y","🟢 PLACE £"&amp;Bets!AJ57&amp;" on "&amp;Bets!AD57,"")))))))</f>
        <v/>
      </c>
      <c r="N59" s="91"/>
      <c r="O59" s="91"/>
      <c r="P59" s="86"/>
      <c r="Q59" s="92"/>
      <c r="R59" s="91"/>
      <c r="S59" s="90" t="str">
        <f>Bets!AU57</f>
        <v/>
      </c>
      <c r="T59" s="86"/>
      <c r="U59" s="93" t="str">
        <f t="shared" si="1"/>
        <v/>
      </c>
      <c r="V59" s="75"/>
      <c r="W59" s="75"/>
      <c r="X59" s="2"/>
      <c r="Y59" s="2"/>
      <c r="Z59" s="2"/>
    </row>
    <row r="60" ht="15.0" customHeight="1">
      <c r="A60" s="102">
        <f>Bets!A58</f>
        <v>57</v>
      </c>
      <c r="B60" s="103">
        <f>Bets!B58</f>
        <v>46198</v>
      </c>
      <c r="C60" s="100" t="str">
        <f>IF(Bets!H58="","TBC",Bets!H58)</f>
        <v>01:00 +1d</v>
      </c>
      <c r="D60" s="90" t="str">
        <f>Bets!D58&amp;"  v  "&amp;Bets!E58</f>
        <v>Japan  v  Sweden</v>
      </c>
      <c r="E60" s="86"/>
      <c r="F60" s="86"/>
      <c r="G60" s="86"/>
      <c r="H60" s="87" t="str">
        <f>Bets!AD58</f>
        <v/>
      </c>
      <c r="I60" s="88" t="str">
        <f>Bets!AH58</f>
        <v>· enter odds</v>
      </c>
      <c r="J60" s="89">
        <f>Bets!AJ58</f>
        <v>0</v>
      </c>
      <c r="K60" s="90" t="str">
        <f>Bets!AT58</f>
        <v>Type the 3 odds on the Matchday tab</v>
      </c>
      <c r="L60" s="91"/>
      <c r="M60" s="87" t="str">
        <f>IF(Bets!AH58="· enter odds","",IF(Method!$B$55=TRUE(),"🛑 PAUSED — drawdown protection. Override Method!B54=Y if intended.",IF(Bets!AH58&lt;&gt;"BET","❌ NO BET — price not good enough",IF(Bets!AJ58=0,"❌ NO BET — stake under minimum",IF(L60="","🟡 WAIT — check team news first",IF(L60="N","🔴 SKIP — team news concern",IF(L60="Y","🟢 PLACE £"&amp;Bets!AJ58&amp;" on "&amp;Bets!AD58,"")))))))</f>
        <v/>
      </c>
      <c r="N60" s="91"/>
      <c r="O60" s="91"/>
      <c r="P60" s="86"/>
      <c r="Q60" s="92"/>
      <c r="R60" s="91"/>
      <c r="S60" s="90" t="str">
        <f>Bets!AU58</f>
        <v/>
      </c>
      <c r="T60" s="86"/>
      <c r="U60" s="93" t="str">
        <f t="shared" si="1"/>
        <v/>
      </c>
      <c r="V60" s="75"/>
      <c r="W60" s="75"/>
      <c r="X60" s="2"/>
      <c r="Y60" s="2"/>
      <c r="Z60" s="2"/>
    </row>
    <row r="61" ht="15.0" customHeight="1">
      <c r="A61" s="102">
        <f>Bets!A59</f>
        <v>58</v>
      </c>
      <c r="B61" s="103">
        <f>Bets!B59</f>
        <v>46198</v>
      </c>
      <c r="C61" s="100" t="str">
        <f>IF(Bets!H59="","TBC",Bets!H59)</f>
        <v>01:00 +1d</v>
      </c>
      <c r="D61" s="90" t="str">
        <f>Bets!D59&amp;"  v  "&amp;Bets!E59</f>
        <v>Tunisia  v  Netherlands</v>
      </c>
      <c r="E61" s="86"/>
      <c r="F61" s="86"/>
      <c r="G61" s="86"/>
      <c r="H61" s="87" t="str">
        <f>Bets!AD59</f>
        <v/>
      </c>
      <c r="I61" s="88" t="str">
        <f>Bets!AH59</f>
        <v>· enter odds</v>
      </c>
      <c r="J61" s="89">
        <f>Bets!AJ59</f>
        <v>0</v>
      </c>
      <c r="K61" s="90" t="str">
        <f>Bets!AT59</f>
        <v>Type the 3 odds on the Matchday tab</v>
      </c>
      <c r="L61" s="91"/>
      <c r="M61" s="87" t="str">
        <f>IF(Bets!AH59="· enter odds","",IF(Method!$B$55=TRUE(),"🛑 PAUSED — drawdown protection. Override Method!B54=Y if intended.",IF(Bets!AH59&lt;&gt;"BET","❌ NO BET — price not good enough",IF(Bets!AJ59=0,"❌ NO BET — stake under minimum",IF(L61="","🟡 WAIT — check team news first",IF(L61="N","🔴 SKIP — team news concern",IF(L61="Y","🟢 PLACE £"&amp;Bets!AJ59&amp;" on "&amp;Bets!AD59,"")))))))</f>
        <v/>
      </c>
      <c r="N61" s="91"/>
      <c r="O61" s="91"/>
      <c r="P61" s="86"/>
      <c r="Q61" s="92"/>
      <c r="R61" s="91"/>
      <c r="S61" s="90" t="str">
        <f>Bets!AU59</f>
        <v/>
      </c>
      <c r="T61" s="86"/>
      <c r="U61" s="93" t="str">
        <f t="shared" si="1"/>
        <v/>
      </c>
      <c r="V61" s="75"/>
      <c r="W61" s="75"/>
      <c r="X61" s="2"/>
      <c r="Y61" s="2"/>
      <c r="Z61" s="2"/>
    </row>
    <row r="62" ht="15.0" customHeight="1">
      <c r="A62" s="102">
        <f>Bets!A60</f>
        <v>59</v>
      </c>
      <c r="B62" s="103">
        <f>Bets!B60</f>
        <v>46198</v>
      </c>
      <c r="C62" s="100" t="str">
        <f>IF(Bets!H60="","TBC",Bets!H60)</f>
        <v>06:00 +1d</v>
      </c>
      <c r="D62" s="90" t="str">
        <f>Bets!D60&amp;"  v  "&amp;Bets!E60</f>
        <v>Turkey  v  United States</v>
      </c>
      <c r="E62" s="86"/>
      <c r="F62" s="86"/>
      <c r="G62" s="86"/>
      <c r="H62" s="87" t="str">
        <f>Bets!AD60</f>
        <v/>
      </c>
      <c r="I62" s="88" t="str">
        <f>Bets!AH60</f>
        <v>· enter odds</v>
      </c>
      <c r="J62" s="89">
        <f>Bets!AJ60</f>
        <v>0</v>
      </c>
      <c r="K62" s="90" t="str">
        <f>Bets!AT60</f>
        <v>Type the 3 odds on the Matchday tab</v>
      </c>
      <c r="L62" s="91"/>
      <c r="M62" s="87" t="str">
        <f>IF(Bets!AH60="· enter odds","",IF(Method!$B$55=TRUE(),"🛑 PAUSED — drawdown protection. Override Method!B54=Y if intended.",IF(Bets!AH60&lt;&gt;"BET","❌ NO BET — price not good enough",IF(Bets!AJ60=0,"❌ NO BET — stake under minimum",IF(L62="","🟡 WAIT — check team news first",IF(L62="N","🔴 SKIP — team news concern",IF(L62="Y","🟢 PLACE £"&amp;Bets!AJ60&amp;" on "&amp;Bets!AD60,"")))))))</f>
        <v/>
      </c>
      <c r="N62" s="91"/>
      <c r="O62" s="91"/>
      <c r="P62" s="86"/>
      <c r="Q62" s="92"/>
      <c r="R62" s="91"/>
      <c r="S62" s="90" t="str">
        <f>Bets!AU60</f>
        <v/>
      </c>
      <c r="T62" s="86"/>
      <c r="U62" s="93" t="str">
        <f t="shared" si="1"/>
        <v/>
      </c>
      <c r="V62" s="75"/>
      <c r="W62" s="75"/>
      <c r="X62" s="2"/>
      <c r="Y62" s="2"/>
      <c r="Z62" s="2"/>
    </row>
    <row r="63" ht="15.0" customHeight="1">
      <c r="A63" s="102">
        <f>Bets!A61</f>
        <v>60</v>
      </c>
      <c r="B63" s="103">
        <f>Bets!B61</f>
        <v>46198</v>
      </c>
      <c r="C63" s="100" t="str">
        <f>IF(Bets!H61="","TBC",Bets!H61)</f>
        <v>06:00 +1d</v>
      </c>
      <c r="D63" s="90" t="str">
        <f>Bets!D61&amp;"  v  "&amp;Bets!E61</f>
        <v>Paraguay  v  Australia</v>
      </c>
      <c r="E63" s="86"/>
      <c r="F63" s="86"/>
      <c r="G63" s="86"/>
      <c r="H63" s="87" t="str">
        <f>Bets!AD61</f>
        <v/>
      </c>
      <c r="I63" s="88" t="str">
        <f>Bets!AH61</f>
        <v>· enter odds</v>
      </c>
      <c r="J63" s="89">
        <f>Bets!AJ61</f>
        <v>0</v>
      </c>
      <c r="K63" s="90" t="str">
        <f>Bets!AT61</f>
        <v>Type the 3 odds on the Matchday tab</v>
      </c>
      <c r="L63" s="91"/>
      <c r="M63" s="87" t="str">
        <f>IF(Bets!AH61="· enter odds","",IF(Method!$B$55=TRUE(),"🛑 PAUSED — drawdown protection. Override Method!B54=Y if intended.",IF(Bets!AH61&lt;&gt;"BET","❌ NO BET — price not good enough",IF(Bets!AJ61=0,"❌ NO BET — stake under minimum",IF(L63="","🟡 WAIT — check team news first",IF(L63="N","🔴 SKIP — team news concern",IF(L63="Y","🟢 PLACE £"&amp;Bets!AJ61&amp;" on "&amp;Bets!AD61,"")))))))</f>
        <v/>
      </c>
      <c r="N63" s="91"/>
      <c r="O63" s="91"/>
      <c r="P63" s="86"/>
      <c r="Q63" s="92"/>
      <c r="R63" s="91"/>
      <c r="S63" s="90" t="str">
        <f>Bets!AU61</f>
        <v/>
      </c>
      <c r="T63" s="86"/>
      <c r="U63" s="93" t="str">
        <f t="shared" si="1"/>
        <v/>
      </c>
      <c r="V63" s="75"/>
      <c r="W63" s="75"/>
      <c r="X63" s="2"/>
      <c r="Y63" s="2"/>
      <c r="Z63" s="2"/>
    </row>
    <row r="64" ht="15.0" customHeight="1">
      <c r="A64" s="102">
        <f>Bets!A62</f>
        <v>61</v>
      </c>
      <c r="B64" s="103">
        <f>Bets!B62</f>
        <v>46199</v>
      </c>
      <c r="C64" s="100" t="str">
        <f>IF(Bets!H62="","TBC",Bets!H62)</f>
        <v>20:00</v>
      </c>
      <c r="D64" s="90" t="str">
        <f>Bets!D62&amp;"  v  "&amp;Bets!E62</f>
        <v>Norway  v  France</v>
      </c>
      <c r="E64" s="86"/>
      <c r="F64" s="86"/>
      <c r="G64" s="86"/>
      <c r="H64" s="87" t="str">
        <f>Bets!AD62</f>
        <v/>
      </c>
      <c r="I64" s="88" t="str">
        <f>Bets!AH62</f>
        <v>· enter odds</v>
      </c>
      <c r="J64" s="89">
        <f>Bets!AJ62</f>
        <v>0</v>
      </c>
      <c r="K64" s="90" t="str">
        <f>Bets!AT62</f>
        <v>Type the 3 odds on the Matchday tab</v>
      </c>
      <c r="L64" s="91"/>
      <c r="M64" s="87" t="str">
        <f>IF(Bets!AH62="· enter odds","",IF(Method!$B$55=TRUE(),"🛑 PAUSED — drawdown protection. Override Method!B54=Y if intended.",IF(Bets!AH62&lt;&gt;"BET","❌ NO BET — price not good enough",IF(Bets!AJ62=0,"❌ NO BET — stake under minimum",IF(L64="","🟡 WAIT — check team news first",IF(L64="N","🔴 SKIP — team news concern",IF(L64="Y","🟢 PLACE £"&amp;Bets!AJ62&amp;" on "&amp;Bets!AD62,"")))))))</f>
        <v/>
      </c>
      <c r="N64" s="91"/>
      <c r="O64" s="91"/>
      <c r="P64" s="86"/>
      <c r="Q64" s="92"/>
      <c r="R64" s="91"/>
      <c r="S64" s="90" t="str">
        <f>Bets!AU62</f>
        <v/>
      </c>
      <c r="T64" s="86"/>
      <c r="U64" s="93" t="str">
        <f t="shared" si="1"/>
        <v/>
      </c>
      <c r="V64" s="75"/>
      <c r="W64" s="75"/>
      <c r="X64" s="2"/>
      <c r="Y64" s="2"/>
      <c r="Z64" s="2"/>
    </row>
    <row r="65" ht="15.0" customHeight="1">
      <c r="A65" s="102">
        <f>Bets!A63</f>
        <v>62</v>
      </c>
      <c r="B65" s="103">
        <f>Bets!B63</f>
        <v>46199</v>
      </c>
      <c r="C65" s="100" t="str">
        <f>IF(Bets!H63="","TBC",Bets!H63)</f>
        <v>20:00</v>
      </c>
      <c r="D65" s="90" t="str">
        <f>Bets!D63&amp;"  v  "&amp;Bets!E63</f>
        <v>Senegal  v  Iraq</v>
      </c>
      <c r="E65" s="86"/>
      <c r="F65" s="86"/>
      <c r="G65" s="86"/>
      <c r="H65" s="87" t="str">
        <f>Bets!AD63</f>
        <v/>
      </c>
      <c r="I65" s="88" t="str">
        <f>Bets!AH63</f>
        <v>· enter odds</v>
      </c>
      <c r="J65" s="89">
        <f>Bets!AJ63</f>
        <v>0</v>
      </c>
      <c r="K65" s="90" t="str">
        <f>Bets!AT63</f>
        <v>Type the 3 odds on the Matchday tab</v>
      </c>
      <c r="L65" s="91"/>
      <c r="M65" s="87" t="str">
        <f>IF(Bets!AH63="· enter odds","",IF(Method!$B$55=TRUE(),"🛑 PAUSED — drawdown protection. Override Method!B54=Y if intended.",IF(Bets!AH63&lt;&gt;"BET","❌ NO BET — price not good enough",IF(Bets!AJ63=0,"❌ NO BET — stake under minimum",IF(L65="","🟡 WAIT — check team news first",IF(L65="N","🔴 SKIP — team news concern",IF(L65="Y","🟢 PLACE £"&amp;Bets!AJ63&amp;" on "&amp;Bets!AD63,"")))))))</f>
        <v/>
      </c>
      <c r="N65" s="91"/>
      <c r="O65" s="91"/>
      <c r="P65" s="86"/>
      <c r="Q65" s="92"/>
      <c r="R65" s="91"/>
      <c r="S65" s="90" t="str">
        <f>Bets!AU63</f>
        <v/>
      </c>
      <c r="T65" s="86"/>
      <c r="U65" s="93" t="str">
        <f t="shared" si="1"/>
        <v/>
      </c>
      <c r="V65" s="75"/>
      <c r="W65" s="75"/>
      <c r="X65" s="2"/>
      <c r="Y65" s="2"/>
      <c r="Z65" s="2"/>
    </row>
    <row r="66" ht="15.0" customHeight="1">
      <c r="A66" s="102">
        <f>Bets!A64</f>
        <v>63</v>
      </c>
      <c r="B66" s="103">
        <f>Bets!B64</f>
        <v>46199</v>
      </c>
      <c r="C66" s="100" t="str">
        <f>IF(Bets!H64="","TBC",Bets!H64)</f>
        <v>03:00 +1d</v>
      </c>
      <c r="D66" s="90" t="str">
        <f>Bets!D64&amp;"  v  "&amp;Bets!E64</f>
        <v>Uruguay  v  Spain</v>
      </c>
      <c r="E66" s="86"/>
      <c r="F66" s="86"/>
      <c r="G66" s="86"/>
      <c r="H66" s="87" t="str">
        <f>Bets!AD64</f>
        <v/>
      </c>
      <c r="I66" s="88" t="str">
        <f>Bets!AH64</f>
        <v>· enter odds</v>
      </c>
      <c r="J66" s="89">
        <f>Bets!AJ64</f>
        <v>0</v>
      </c>
      <c r="K66" s="90" t="str">
        <f>Bets!AT64</f>
        <v>Type the 3 odds on the Matchday tab</v>
      </c>
      <c r="L66" s="91"/>
      <c r="M66" s="87" t="str">
        <f>IF(Bets!AH64="· enter odds","",IF(Method!$B$55=TRUE(),"🛑 PAUSED — drawdown protection. Override Method!B54=Y if intended.",IF(Bets!AH64&lt;&gt;"BET","❌ NO BET — price not good enough",IF(Bets!AJ64=0,"❌ NO BET — stake under minimum",IF(L66="","🟡 WAIT — check team news first",IF(L66="N","🔴 SKIP — team news concern",IF(L66="Y","🟢 PLACE £"&amp;Bets!AJ64&amp;" on "&amp;Bets!AD64,"")))))))</f>
        <v/>
      </c>
      <c r="N66" s="91"/>
      <c r="O66" s="91"/>
      <c r="P66" s="86"/>
      <c r="Q66" s="92"/>
      <c r="R66" s="91"/>
      <c r="S66" s="90" t="str">
        <f>Bets!AU64</f>
        <v/>
      </c>
      <c r="T66" s="86"/>
      <c r="U66" s="93" t="str">
        <f t="shared" si="1"/>
        <v/>
      </c>
      <c r="V66" s="75"/>
      <c r="W66" s="75"/>
      <c r="X66" s="2"/>
      <c r="Y66" s="2"/>
      <c r="Z66" s="2"/>
    </row>
    <row r="67" ht="15.0" customHeight="1">
      <c r="A67" s="102">
        <f>Bets!A65</f>
        <v>64</v>
      </c>
      <c r="B67" s="103">
        <f>Bets!B65</f>
        <v>46199</v>
      </c>
      <c r="C67" s="100" t="str">
        <f>IF(Bets!H65="","TBC",Bets!H65)</f>
        <v>02:00 +1d</v>
      </c>
      <c r="D67" s="90" t="str">
        <f>Bets!D65&amp;"  v  "&amp;Bets!E65</f>
        <v>Cape Verde  v  Saudi Arabia</v>
      </c>
      <c r="E67" s="86"/>
      <c r="F67" s="86"/>
      <c r="G67" s="86"/>
      <c r="H67" s="87" t="str">
        <f>Bets!AD65</f>
        <v/>
      </c>
      <c r="I67" s="88" t="str">
        <f>Bets!AH65</f>
        <v>· enter odds</v>
      </c>
      <c r="J67" s="89">
        <f>Bets!AJ65</f>
        <v>0</v>
      </c>
      <c r="K67" s="90" t="str">
        <f>Bets!AT65</f>
        <v>Type the 3 odds on the Matchday tab</v>
      </c>
      <c r="L67" s="91"/>
      <c r="M67" s="87" t="str">
        <f>IF(Bets!AH65="· enter odds","",IF(Method!$B$55=TRUE(),"🛑 PAUSED — drawdown protection. Override Method!B54=Y if intended.",IF(Bets!AH65&lt;&gt;"BET","❌ NO BET — price not good enough",IF(Bets!AJ65=0,"❌ NO BET — stake under minimum",IF(L67="","🟡 WAIT — check team news first",IF(L67="N","🔴 SKIP — team news concern",IF(L67="Y","🟢 PLACE £"&amp;Bets!AJ65&amp;" on "&amp;Bets!AD65,"")))))))</f>
        <v/>
      </c>
      <c r="N67" s="91"/>
      <c r="O67" s="91"/>
      <c r="P67" s="86"/>
      <c r="Q67" s="92"/>
      <c r="R67" s="91"/>
      <c r="S67" s="90" t="str">
        <f>Bets!AU65</f>
        <v/>
      </c>
      <c r="T67" s="86"/>
      <c r="U67" s="93" t="str">
        <f t="shared" si="1"/>
        <v/>
      </c>
      <c r="V67" s="75"/>
      <c r="W67" s="75"/>
      <c r="X67" s="2"/>
      <c r="Y67" s="2"/>
      <c r="Z67" s="2"/>
    </row>
    <row r="68" ht="15.0" customHeight="1">
      <c r="A68" s="102">
        <f>Bets!A66</f>
        <v>65</v>
      </c>
      <c r="B68" s="103">
        <f>Bets!B66</f>
        <v>46199</v>
      </c>
      <c r="C68" s="100" t="str">
        <f>IF(Bets!H66="","TBC",Bets!H66)</f>
        <v>07:00 +1d</v>
      </c>
      <c r="D68" s="90" t="str">
        <f>Bets!D66&amp;"  v  "&amp;Bets!E66</f>
        <v>Egypt  v  Iran</v>
      </c>
      <c r="E68" s="86"/>
      <c r="F68" s="86"/>
      <c r="G68" s="86"/>
      <c r="H68" s="87" t="str">
        <f>Bets!AD66</f>
        <v/>
      </c>
      <c r="I68" s="88" t="str">
        <f>Bets!AH66</f>
        <v>· enter odds</v>
      </c>
      <c r="J68" s="89">
        <f>Bets!AJ66</f>
        <v>0</v>
      </c>
      <c r="K68" s="90" t="str">
        <f>Bets!AT66</f>
        <v>Type the 3 odds on the Matchday tab</v>
      </c>
      <c r="L68" s="91"/>
      <c r="M68" s="87" t="str">
        <f>IF(Bets!AH66="· enter odds","",IF(Method!$B$55=TRUE(),"🛑 PAUSED — drawdown protection. Override Method!B54=Y if intended.",IF(Bets!AH66&lt;&gt;"BET","❌ NO BET — price not good enough",IF(Bets!AJ66=0,"❌ NO BET — stake under minimum",IF(L68="","🟡 WAIT — check team news first",IF(L68="N","🔴 SKIP — team news concern",IF(L68="Y","🟢 PLACE £"&amp;Bets!AJ66&amp;" on "&amp;Bets!AD66,"")))))))</f>
        <v/>
      </c>
      <c r="N68" s="91"/>
      <c r="O68" s="91"/>
      <c r="P68" s="86"/>
      <c r="Q68" s="92"/>
      <c r="R68" s="91"/>
      <c r="S68" s="90" t="str">
        <f>Bets!AU66</f>
        <v/>
      </c>
      <c r="T68" s="86"/>
      <c r="U68" s="93" t="str">
        <f t="shared" si="1"/>
        <v/>
      </c>
      <c r="V68" s="75"/>
      <c r="W68" s="75"/>
      <c r="X68" s="2"/>
      <c r="Y68" s="2"/>
      <c r="Z68" s="2"/>
    </row>
    <row r="69" ht="15.0" customHeight="1">
      <c r="A69" s="102">
        <f>Bets!A67</f>
        <v>66</v>
      </c>
      <c r="B69" s="103">
        <f>Bets!B67</f>
        <v>46199</v>
      </c>
      <c r="C69" s="100" t="str">
        <f>IF(Bets!H67="","TBC",Bets!H67)</f>
        <v>07:00 +1d</v>
      </c>
      <c r="D69" s="90" t="str">
        <f>Bets!D67&amp;"  v  "&amp;Bets!E67</f>
        <v>New Zealand  v  Belgium</v>
      </c>
      <c r="E69" s="86"/>
      <c r="F69" s="86"/>
      <c r="G69" s="86"/>
      <c r="H69" s="87" t="str">
        <f>Bets!AD67</f>
        <v/>
      </c>
      <c r="I69" s="88" t="str">
        <f>Bets!AH67</f>
        <v>· enter odds</v>
      </c>
      <c r="J69" s="89">
        <f>Bets!AJ67</f>
        <v>0</v>
      </c>
      <c r="K69" s="90" t="str">
        <f>Bets!AT67</f>
        <v>Type the 3 odds on the Matchday tab</v>
      </c>
      <c r="L69" s="91"/>
      <c r="M69" s="87" t="str">
        <f>IF(Bets!AH67="· enter odds","",IF(Method!$B$55=TRUE(),"🛑 PAUSED — drawdown protection. Override Method!B54=Y if intended.",IF(Bets!AH67&lt;&gt;"BET","❌ NO BET — price not good enough",IF(Bets!AJ67=0,"❌ NO BET — stake under minimum",IF(L69="","🟡 WAIT — check team news first",IF(L69="N","🔴 SKIP — team news concern",IF(L69="Y","🟢 PLACE £"&amp;Bets!AJ67&amp;" on "&amp;Bets!AD67,"")))))))</f>
        <v/>
      </c>
      <c r="N69" s="91"/>
      <c r="O69" s="91"/>
      <c r="P69" s="86"/>
      <c r="Q69" s="92"/>
      <c r="R69" s="91"/>
      <c r="S69" s="90" t="str">
        <f>Bets!AU67</f>
        <v/>
      </c>
      <c r="T69" s="86"/>
      <c r="U69" s="93" t="str">
        <f t="shared" si="1"/>
        <v/>
      </c>
      <c r="V69" s="75"/>
      <c r="W69" s="75"/>
      <c r="X69" s="2"/>
      <c r="Y69" s="2"/>
      <c r="Z69" s="2"/>
    </row>
    <row r="70" ht="15.0" customHeight="1">
      <c r="A70" s="102">
        <f>Bets!A68</f>
        <v>67</v>
      </c>
      <c r="B70" s="103">
        <f>Bets!B68</f>
        <v>46200</v>
      </c>
      <c r="C70" s="100" t="str">
        <f>IF(Bets!H68="","TBC",Bets!H68)</f>
        <v>22:00</v>
      </c>
      <c r="D70" s="90" t="str">
        <f>Bets!D68&amp;"  v  "&amp;Bets!E68</f>
        <v>Panama  v  England</v>
      </c>
      <c r="E70" s="86"/>
      <c r="F70" s="86"/>
      <c r="G70" s="86"/>
      <c r="H70" s="87" t="str">
        <f>Bets!AD68</f>
        <v/>
      </c>
      <c r="I70" s="88" t="str">
        <f>Bets!AH68</f>
        <v>· enter odds</v>
      </c>
      <c r="J70" s="89">
        <f>Bets!AJ68</f>
        <v>0</v>
      </c>
      <c r="K70" s="90" t="str">
        <f>Bets!AT68</f>
        <v>Type the 3 odds on the Matchday tab</v>
      </c>
      <c r="L70" s="91"/>
      <c r="M70" s="87" t="str">
        <f>IF(Bets!AH68="· enter odds","",IF(Method!$B$55=TRUE(),"🛑 PAUSED — drawdown protection. Override Method!B54=Y if intended.",IF(Bets!AH68&lt;&gt;"BET","❌ NO BET — price not good enough",IF(Bets!AJ68=0,"❌ NO BET — stake under minimum",IF(L70="","🟡 WAIT — check team news first",IF(L70="N","🔴 SKIP — team news concern",IF(L70="Y","🟢 PLACE £"&amp;Bets!AJ68&amp;" on "&amp;Bets!AD68,"")))))))</f>
        <v/>
      </c>
      <c r="N70" s="91"/>
      <c r="O70" s="91"/>
      <c r="P70" s="86"/>
      <c r="Q70" s="92"/>
      <c r="R70" s="91"/>
      <c r="S70" s="90" t="str">
        <f>Bets!AU68</f>
        <v/>
      </c>
      <c r="T70" s="86"/>
      <c r="U70" s="93" t="str">
        <f t="shared" si="1"/>
        <v/>
      </c>
      <c r="V70" s="75"/>
      <c r="W70" s="75"/>
      <c r="X70" s="2"/>
      <c r="Y70" s="2"/>
      <c r="Z70" s="2"/>
    </row>
    <row r="71" ht="15.0" customHeight="1">
      <c r="A71" s="102">
        <f>Bets!A69</f>
        <v>68</v>
      </c>
      <c r="B71" s="103">
        <f>Bets!B69</f>
        <v>46200</v>
      </c>
      <c r="C71" s="100" t="str">
        <f>IF(Bets!H69="","TBC",Bets!H69)</f>
        <v>22:00</v>
      </c>
      <c r="D71" s="90" t="str">
        <f>Bets!D69&amp;"  v  "&amp;Bets!E69</f>
        <v>Croatia  v  Ghana</v>
      </c>
      <c r="E71" s="86"/>
      <c r="F71" s="86"/>
      <c r="G71" s="86"/>
      <c r="H71" s="87" t="str">
        <f>Bets!AD69</f>
        <v/>
      </c>
      <c r="I71" s="88" t="str">
        <f>Bets!AH69</f>
        <v>· enter odds</v>
      </c>
      <c r="J71" s="89">
        <f>Bets!AJ69</f>
        <v>0</v>
      </c>
      <c r="K71" s="90" t="str">
        <f>Bets!AT69</f>
        <v>Type the 3 odds on the Matchday tab</v>
      </c>
      <c r="L71" s="91"/>
      <c r="M71" s="87" t="str">
        <f>IF(Bets!AH69="· enter odds","",IF(Method!$B$55=TRUE(),"🛑 PAUSED — drawdown protection. Override Method!B54=Y if intended.",IF(Bets!AH69&lt;&gt;"BET","❌ NO BET — price not good enough",IF(Bets!AJ69=0,"❌ NO BET — stake under minimum",IF(L71="","🟡 WAIT — check team news first",IF(L71="N","🔴 SKIP — team news concern",IF(L71="Y","🟢 PLACE £"&amp;Bets!AJ69&amp;" on "&amp;Bets!AD69,"")))))))</f>
        <v/>
      </c>
      <c r="N71" s="91"/>
      <c r="O71" s="91"/>
      <c r="P71" s="86"/>
      <c r="Q71" s="92"/>
      <c r="R71" s="91"/>
      <c r="S71" s="90" t="str">
        <f>Bets!AU69</f>
        <v/>
      </c>
      <c r="T71" s="86"/>
      <c r="U71" s="93" t="str">
        <f t="shared" si="1"/>
        <v/>
      </c>
      <c r="V71" s="75"/>
      <c r="W71" s="75"/>
      <c r="X71" s="2"/>
      <c r="Y71" s="2"/>
      <c r="Z71" s="2"/>
    </row>
    <row r="72" ht="15.0" customHeight="1">
      <c r="A72" s="102">
        <f>Bets!A70</f>
        <v>69</v>
      </c>
      <c r="B72" s="103">
        <f>Bets!B70</f>
        <v>46200</v>
      </c>
      <c r="C72" s="100" t="str">
        <f>IF(Bets!H70="","TBC",Bets!H70)</f>
        <v>00:30 +1d</v>
      </c>
      <c r="D72" s="90" t="str">
        <f>Bets!D70&amp;"  v  "&amp;Bets!E70</f>
        <v>Colombia  v  Portugal</v>
      </c>
      <c r="E72" s="86"/>
      <c r="F72" s="86"/>
      <c r="G72" s="86"/>
      <c r="H72" s="87" t="str">
        <f>Bets!AD70</f>
        <v/>
      </c>
      <c r="I72" s="88" t="str">
        <f>Bets!AH70</f>
        <v>· enter odds</v>
      </c>
      <c r="J72" s="89">
        <f>Bets!AJ70</f>
        <v>0</v>
      </c>
      <c r="K72" s="90" t="str">
        <f>Bets!AT70</f>
        <v>Type the 3 odds on the Matchday tab</v>
      </c>
      <c r="L72" s="91"/>
      <c r="M72" s="87" t="str">
        <f>IF(Bets!AH70="· enter odds","",IF(Method!$B$55=TRUE(),"🛑 PAUSED — drawdown protection. Override Method!B54=Y if intended.",IF(Bets!AH70&lt;&gt;"BET","❌ NO BET — price not good enough",IF(Bets!AJ70=0,"❌ NO BET — stake under minimum",IF(L72="","🟡 WAIT — check team news first",IF(L72="N","🔴 SKIP — team news concern",IF(L72="Y","🟢 PLACE £"&amp;Bets!AJ70&amp;" on "&amp;Bets!AD70,"")))))))</f>
        <v/>
      </c>
      <c r="N72" s="91"/>
      <c r="O72" s="91"/>
      <c r="P72" s="86"/>
      <c r="Q72" s="92"/>
      <c r="R72" s="91"/>
      <c r="S72" s="90" t="str">
        <f>Bets!AU70</f>
        <v/>
      </c>
      <c r="T72" s="86"/>
      <c r="U72" s="93" t="str">
        <f t="shared" si="1"/>
        <v/>
      </c>
      <c r="V72" s="75"/>
      <c r="W72" s="75"/>
      <c r="X72" s="2"/>
      <c r="Y72" s="2"/>
      <c r="Z72" s="2"/>
    </row>
    <row r="73" ht="15.0" customHeight="1">
      <c r="A73" s="102">
        <f>Bets!A71</f>
        <v>70</v>
      </c>
      <c r="B73" s="103">
        <f>Bets!B71</f>
        <v>46200</v>
      </c>
      <c r="C73" s="100" t="str">
        <f>IF(Bets!H71="","TBC",Bets!H71)</f>
        <v>00:30 +1d</v>
      </c>
      <c r="D73" s="90" t="str">
        <f>Bets!D71&amp;"  v  "&amp;Bets!E71</f>
        <v>DR Congo  v  Uzbekistan</v>
      </c>
      <c r="E73" s="86"/>
      <c r="F73" s="86"/>
      <c r="G73" s="86"/>
      <c r="H73" s="87" t="str">
        <f>Bets!AD71</f>
        <v/>
      </c>
      <c r="I73" s="88" t="str">
        <f>Bets!AH71</f>
        <v>· enter odds</v>
      </c>
      <c r="J73" s="89">
        <f>Bets!AJ71</f>
        <v>0</v>
      </c>
      <c r="K73" s="90" t="str">
        <f>Bets!AT71</f>
        <v>Type the 3 odds on the Matchday tab</v>
      </c>
      <c r="L73" s="91"/>
      <c r="M73" s="87" t="str">
        <f>IF(Bets!AH71="· enter odds","",IF(Method!$B$55=TRUE(),"🛑 PAUSED — drawdown protection. Override Method!B54=Y if intended.",IF(Bets!AH71&lt;&gt;"BET","❌ NO BET — price not good enough",IF(Bets!AJ71=0,"❌ NO BET — stake under minimum",IF(L73="","🟡 WAIT — check team news first",IF(L73="N","🔴 SKIP — team news concern",IF(L73="Y","🟢 PLACE £"&amp;Bets!AJ71&amp;" on "&amp;Bets!AD71,"")))))))</f>
        <v/>
      </c>
      <c r="N73" s="91"/>
      <c r="O73" s="91"/>
      <c r="P73" s="86"/>
      <c r="Q73" s="92"/>
      <c r="R73" s="91"/>
      <c r="S73" s="90" t="str">
        <f>Bets!AU71</f>
        <v/>
      </c>
      <c r="T73" s="86"/>
      <c r="U73" s="93" t="str">
        <f t="shared" si="1"/>
        <v/>
      </c>
      <c r="V73" s="75"/>
      <c r="W73" s="75"/>
      <c r="X73" s="2"/>
      <c r="Y73" s="2"/>
      <c r="Z73" s="2"/>
    </row>
    <row r="74" ht="15.0" customHeight="1">
      <c r="A74" s="102">
        <f>Bets!A72</f>
        <v>71</v>
      </c>
      <c r="B74" s="103">
        <f>Bets!B72</f>
        <v>46200</v>
      </c>
      <c r="C74" s="100" t="str">
        <f>IF(Bets!H72="","TBC",Bets!H72)</f>
        <v>04:00 +1d</v>
      </c>
      <c r="D74" s="90" t="str">
        <f>Bets!D72&amp;"  v  "&amp;Bets!E72</f>
        <v>Algeria  v  Austria</v>
      </c>
      <c r="E74" s="86"/>
      <c r="F74" s="86"/>
      <c r="G74" s="86"/>
      <c r="H74" s="87" t="str">
        <f>Bets!AD72</f>
        <v/>
      </c>
      <c r="I74" s="88" t="str">
        <f>Bets!AH72</f>
        <v>· enter odds</v>
      </c>
      <c r="J74" s="89">
        <f>Bets!AJ72</f>
        <v>0</v>
      </c>
      <c r="K74" s="90" t="str">
        <f>Bets!AT72</f>
        <v>Type the 3 odds on the Matchday tab</v>
      </c>
      <c r="L74" s="91"/>
      <c r="M74" s="87" t="str">
        <f>IF(Bets!AH72="· enter odds","",IF(Method!$B$55=TRUE(),"🛑 PAUSED — drawdown protection. Override Method!B54=Y if intended.",IF(Bets!AH72&lt;&gt;"BET","❌ NO BET — price not good enough",IF(Bets!AJ72=0,"❌ NO BET — stake under minimum",IF(L74="","🟡 WAIT — check team news first",IF(L74="N","🔴 SKIP — team news concern",IF(L74="Y","🟢 PLACE £"&amp;Bets!AJ72&amp;" on "&amp;Bets!AD72,"")))))))</f>
        <v/>
      </c>
      <c r="N74" s="91"/>
      <c r="O74" s="91"/>
      <c r="P74" s="86"/>
      <c r="Q74" s="92"/>
      <c r="R74" s="91"/>
      <c r="S74" s="90" t="str">
        <f>Bets!AU72</f>
        <v/>
      </c>
      <c r="T74" s="86"/>
      <c r="U74" s="93" t="str">
        <f t="shared" si="1"/>
        <v/>
      </c>
      <c r="V74" s="75"/>
      <c r="W74" s="75"/>
      <c r="X74" s="2"/>
      <c r="Y74" s="2"/>
      <c r="Z74" s="2"/>
    </row>
    <row r="75" ht="15.0" customHeight="1">
      <c r="A75" s="102">
        <f>Bets!A73</f>
        <v>72</v>
      </c>
      <c r="B75" s="103">
        <f>Bets!B73</f>
        <v>46200</v>
      </c>
      <c r="C75" s="100" t="str">
        <f>IF(Bets!H73="","TBC",Bets!H73)</f>
        <v>04:00 +1d</v>
      </c>
      <c r="D75" s="90" t="str">
        <f>Bets!D73&amp;"  v  "&amp;Bets!E73</f>
        <v>Jordan  v  Argentina</v>
      </c>
      <c r="E75" s="86"/>
      <c r="F75" s="86"/>
      <c r="G75" s="86"/>
      <c r="H75" s="87" t="str">
        <f>Bets!AD73</f>
        <v/>
      </c>
      <c r="I75" s="88" t="str">
        <f>Bets!AH73</f>
        <v>· enter odds</v>
      </c>
      <c r="J75" s="89">
        <f>Bets!AJ73</f>
        <v>0</v>
      </c>
      <c r="K75" s="90" t="str">
        <f>Bets!AT73</f>
        <v>Type the 3 odds on the Matchday tab</v>
      </c>
      <c r="L75" s="91"/>
      <c r="M75" s="87" t="str">
        <f>IF(Bets!AH73="· enter odds","",IF(Method!$B$55=TRUE(),"🛑 PAUSED — drawdown protection. Override Method!B54=Y if intended.",IF(Bets!AH73&lt;&gt;"BET","❌ NO BET — price not good enough",IF(Bets!AJ73=0,"❌ NO BET — stake under minimum",IF(L75="","🟡 WAIT — check team news first",IF(L75="N","🔴 SKIP — team news concern",IF(L75="Y","🟢 PLACE £"&amp;Bets!AJ73&amp;" on "&amp;Bets!AD73,"")))))))</f>
        <v/>
      </c>
      <c r="N75" s="91"/>
      <c r="O75" s="91"/>
      <c r="P75" s="86"/>
      <c r="Q75" s="92"/>
      <c r="R75" s="91"/>
      <c r="S75" s="90" t="str">
        <f>Bets!AU73</f>
        <v/>
      </c>
      <c r="T75" s="86"/>
      <c r="U75" s="93" t="str">
        <f t="shared" si="1"/>
        <v/>
      </c>
      <c r="V75" s="75"/>
      <c r="W75" s="75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75"/>
      <c r="W76" s="75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75"/>
      <c r="W77" s="75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75"/>
      <c r="W78" s="75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75"/>
      <c r="W79" s="75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75"/>
      <c r="W80" s="75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75"/>
      <c r="W81" s="75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75"/>
      <c r="W82" s="75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75"/>
      <c r="W83" s="75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75"/>
      <c r="W84" s="75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75"/>
      <c r="W85" s="75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75"/>
      <c r="W86" s="75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75"/>
      <c r="W87" s="75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75"/>
      <c r="W88" s="75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75"/>
      <c r="W89" s="75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75"/>
      <c r="W90" s="75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75"/>
      <c r="W91" s="75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75"/>
      <c r="W92" s="75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75"/>
      <c r="W93" s="75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75"/>
      <c r="W94" s="75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75"/>
      <c r="W95" s="75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75"/>
      <c r="W96" s="75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75"/>
      <c r="W97" s="75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75"/>
      <c r="W98" s="75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75"/>
      <c r="W99" s="75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75"/>
      <c r="W100" s="75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75"/>
      <c r="W101" s="75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75"/>
      <c r="W102" s="75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75"/>
      <c r="W103" s="75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75"/>
      <c r="W104" s="75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75"/>
      <c r="W105" s="75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75"/>
      <c r="W106" s="75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75"/>
      <c r="W107" s="75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75"/>
      <c r="W108" s="75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75"/>
      <c r="W109" s="75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75"/>
      <c r="W110" s="75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75"/>
      <c r="W111" s="75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75"/>
      <c r="W112" s="75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75"/>
      <c r="W113" s="75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75"/>
      <c r="W114" s="75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75"/>
      <c r="W115" s="75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75"/>
      <c r="W116" s="75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75"/>
      <c r="W117" s="75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75"/>
      <c r="W118" s="75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75"/>
      <c r="W119" s="75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75"/>
      <c r="W120" s="75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75"/>
      <c r="W121" s="75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75"/>
      <c r="W122" s="75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75"/>
      <c r="W123" s="75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75"/>
      <c r="W124" s="75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75"/>
      <c r="W125" s="75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75"/>
      <c r="W126" s="75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75"/>
      <c r="W127" s="75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75"/>
      <c r="W128" s="75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75"/>
      <c r="W129" s="75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75"/>
      <c r="W130" s="75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75"/>
      <c r="W131" s="75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75"/>
      <c r="W132" s="75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75"/>
      <c r="W133" s="75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75"/>
      <c r="W134" s="75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75"/>
      <c r="W135" s="75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75"/>
      <c r="W136" s="75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75"/>
      <c r="W137" s="75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75"/>
      <c r="W138" s="75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75"/>
      <c r="W139" s="75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75"/>
      <c r="W140" s="75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75"/>
      <c r="W141" s="75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75"/>
      <c r="W142" s="75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75"/>
      <c r="W143" s="75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75"/>
      <c r="W144" s="75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75"/>
      <c r="W145" s="75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75"/>
      <c r="W146" s="75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75"/>
      <c r="W147" s="75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75"/>
      <c r="W148" s="75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75"/>
      <c r="W149" s="75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75"/>
      <c r="W150" s="75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75"/>
      <c r="W151" s="75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75"/>
      <c r="W152" s="75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75"/>
      <c r="W153" s="75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75"/>
      <c r="W154" s="75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75"/>
      <c r="W155" s="75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75"/>
      <c r="W156" s="75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75"/>
      <c r="W157" s="75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75"/>
      <c r="W158" s="75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75"/>
      <c r="W159" s="75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75"/>
      <c r="W160" s="75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75"/>
      <c r="W161" s="75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75"/>
      <c r="W162" s="75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75"/>
      <c r="W163" s="75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75"/>
      <c r="W164" s="75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75"/>
      <c r="W165" s="75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75"/>
      <c r="W166" s="75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75"/>
      <c r="W167" s="75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75"/>
      <c r="W168" s="75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75"/>
      <c r="W169" s="75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75"/>
      <c r="W170" s="75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75"/>
      <c r="W171" s="75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75"/>
      <c r="W172" s="75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75"/>
      <c r="W173" s="75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75"/>
      <c r="W174" s="75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75"/>
      <c r="W175" s="75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75"/>
      <c r="W176" s="75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75"/>
      <c r="W177" s="75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75"/>
      <c r="W178" s="75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75"/>
      <c r="W179" s="75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75"/>
      <c r="W180" s="75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75"/>
      <c r="W181" s="75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75"/>
      <c r="W182" s="75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75"/>
      <c r="W183" s="75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75"/>
      <c r="W184" s="75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75"/>
      <c r="W185" s="75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75"/>
      <c r="W186" s="75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75"/>
      <c r="W187" s="75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75"/>
      <c r="W188" s="75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75"/>
      <c r="W189" s="75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75"/>
      <c r="W190" s="75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75"/>
      <c r="W191" s="75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75"/>
      <c r="W192" s="75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75"/>
      <c r="W193" s="75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75"/>
      <c r="W194" s="75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75"/>
      <c r="W195" s="75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75"/>
      <c r="W196" s="75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75"/>
      <c r="W197" s="75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75"/>
      <c r="W198" s="75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75"/>
      <c r="W199" s="75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75"/>
      <c r="W200" s="75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75"/>
      <c r="W201" s="75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75"/>
      <c r="W202" s="75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75"/>
      <c r="W203" s="75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75"/>
      <c r="W204" s="75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75"/>
      <c r="W205" s="75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75"/>
      <c r="W206" s="75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75"/>
      <c r="W207" s="75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75"/>
      <c r="W208" s="75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75"/>
      <c r="W209" s="75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75"/>
      <c r="W210" s="75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75"/>
      <c r="W211" s="75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75"/>
      <c r="W212" s="75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75"/>
      <c r="W213" s="75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75"/>
      <c r="W214" s="75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75"/>
      <c r="W215" s="75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75"/>
      <c r="W216" s="75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75"/>
      <c r="W217" s="75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75"/>
      <c r="W218" s="75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75"/>
      <c r="W219" s="75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75"/>
      <c r="W220" s="75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75"/>
      <c r="W221" s="75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75"/>
      <c r="W222" s="75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75"/>
      <c r="W223" s="75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75"/>
      <c r="W224" s="75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75"/>
      <c r="W225" s="75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75"/>
      <c r="W226" s="75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75"/>
      <c r="W227" s="75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75"/>
      <c r="W228" s="75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75"/>
      <c r="W229" s="75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75"/>
      <c r="W230" s="75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75"/>
      <c r="W231" s="75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75"/>
      <c r="W232" s="75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75"/>
      <c r="W233" s="75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75"/>
      <c r="W234" s="75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75"/>
      <c r="W235" s="75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75"/>
      <c r="W236" s="75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75"/>
      <c r="W237" s="75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75"/>
      <c r="W238" s="75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75"/>
      <c r="W239" s="75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75"/>
      <c r="W240" s="75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75"/>
      <c r="W241" s="75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75"/>
      <c r="W242" s="75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75"/>
      <c r="W243" s="75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75"/>
      <c r="W244" s="75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75"/>
      <c r="W245" s="75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75"/>
      <c r="W246" s="75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75"/>
      <c r="W247" s="75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75"/>
      <c r="W248" s="75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75"/>
      <c r="W249" s="75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75"/>
      <c r="W250" s="75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75"/>
      <c r="W251" s="75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75"/>
      <c r="W252" s="75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75"/>
      <c r="W253" s="75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75"/>
      <c r="W254" s="75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75"/>
      <c r="W255" s="75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75"/>
      <c r="W256" s="75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75"/>
      <c r="W257" s="75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75"/>
      <c r="W258" s="75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75"/>
      <c r="W259" s="75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75"/>
      <c r="W260" s="75"/>
      <c r="X260" s="2"/>
      <c r="Y260" s="2"/>
      <c r="Z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75"/>
      <c r="W261" s="75"/>
      <c r="X261" s="2"/>
      <c r="Y261" s="2"/>
      <c r="Z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75"/>
      <c r="W262" s="75"/>
      <c r="X262" s="2"/>
      <c r="Y262" s="2"/>
      <c r="Z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75"/>
      <c r="W263" s="75"/>
      <c r="X263" s="2"/>
      <c r="Y263" s="2"/>
      <c r="Z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75"/>
      <c r="W264" s="75"/>
      <c r="X264" s="2"/>
      <c r="Y264" s="2"/>
      <c r="Z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75"/>
      <c r="W265" s="75"/>
      <c r="X265" s="2"/>
      <c r="Y265" s="2"/>
      <c r="Z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75"/>
      <c r="W266" s="75"/>
      <c r="X266" s="2"/>
      <c r="Y266" s="2"/>
      <c r="Z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75"/>
      <c r="W267" s="75"/>
      <c r="X267" s="2"/>
      <c r="Y267" s="2"/>
      <c r="Z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75"/>
      <c r="W268" s="75"/>
      <c r="X268" s="2"/>
      <c r="Y268" s="2"/>
      <c r="Z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75"/>
      <c r="W269" s="75"/>
      <c r="X269" s="2"/>
      <c r="Y269" s="2"/>
      <c r="Z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75"/>
      <c r="W270" s="75"/>
      <c r="X270" s="2"/>
      <c r="Y270" s="2"/>
      <c r="Z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75"/>
      <c r="W271" s="75"/>
      <c r="X271" s="2"/>
      <c r="Y271" s="2"/>
      <c r="Z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75"/>
      <c r="W272" s="75"/>
      <c r="X272" s="2"/>
      <c r="Y272" s="2"/>
      <c r="Z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75"/>
      <c r="W273" s="75"/>
      <c r="X273" s="2"/>
      <c r="Y273" s="2"/>
      <c r="Z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75"/>
      <c r="W274" s="75"/>
      <c r="X274" s="2"/>
      <c r="Y274" s="2"/>
      <c r="Z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75"/>
      <c r="W275" s="75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U1"/>
    <mergeCell ref="A2:D2"/>
    <mergeCell ref="E2:G2"/>
    <mergeCell ref="H2:K2"/>
    <mergeCell ref="L2:M2"/>
    <mergeCell ref="N2:R2"/>
    <mergeCell ref="T2:U2"/>
    <mergeCell ref="V2:W2"/>
  </mergeCells>
  <conditionalFormatting sqref="I4:I75">
    <cfRule type="cellIs" dxfId="2" priority="1" operator="equal">
      <formula>"BET"</formula>
    </cfRule>
  </conditionalFormatting>
  <conditionalFormatting sqref="I4:I75">
    <cfRule type="cellIs" dxfId="3" priority="2" operator="equal">
      <formula>"PASS"</formula>
    </cfRule>
  </conditionalFormatting>
  <conditionalFormatting sqref="M4:M75">
    <cfRule type="expression" dxfId="3" priority="3">
      <formula>ISNUMBER(SEARCH("NO BET",M4))</formula>
    </cfRule>
  </conditionalFormatting>
  <conditionalFormatting sqref="M4:M75">
    <cfRule type="expression" dxfId="2" priority="4">
      <formula>ISNUMBER(SEARCH("PLACE",M4))</formula>
    </cfRule>
  </conditionalFormatting>
  <conditionalFormatting sqref="M4:M75">
    <cfRule type="expression" dxfId="4" priority="5">
      <formula>ISNUMBER(SEARCH("WAIT",M4))</formula>
    </cfRule>
  </conditionalFormatting>
  <conditionalFormatting sqref="M4:M75">
    <cfRule type="expression" dxfId="5" priority="6">
      <formula>ISNUMBER(SEARCH("SKIP",M4))</formula>
    </cfRule>
  </conditionalFormatting>
  <conditionalFormatting sqref="S4:S75">
    <cfRule type="expression" dxfId="4" priority="7">
      <formula>ISNUMBER(SEARCH("⚠",S4))</formula>
    </cfRule>
  </conditionalFormatting>
  <conditionalFormatting sqref="S4:S75">
    <cfRule type="expression" dxfId="1" priority="8">
      <formula>ISNUMBER(SEARCH("✓",S4))</formula>
    </cfRule>
  </conditionalFormatting>
  <dataValidations>
    <dataValidation type="list" allowBlank="1" sqref="L4:L75 N4:N75">
      <formula1>"Y,N"</formula1>
    </dataValidation>
    <dataValidation type="list" allowBlank="1" sqref="O4:O75">
      <formula1>"H,D,A"</formula1>
    </dataValidation>
    <dataValidation type="list" allowBlank="1" sqref="R4:R75">
      <formula1>"H,D,A,Void"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3" width="28.14"/>
    <col customWidth="1" min="4" max="6" width="8.71"/>
  </cols>
  <sheetData>
    <row r="1" ht="17.25" customHeight="1">
      <c r="A1" s="104" t="s">
        <v>324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1" t="s">
        <v>325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5" t="s">
        <v>326</v>
      </c>
      <c r="B3" s="106">
        <v>1000.0</v>
      </c>
      <c r="C3" s="107" t="s">
        <v>327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105" t="s">
        <v>328</v>
      </c>
      <c r="B4" s="108">
        <f>MIN(0.55,MAX(0.15,IF($B$49&lt;&gt;"",$B$49,$B$46+$B$48*IFERROR($B$47,0))))</f>
        <v>0.35</v>
      </c>
      <c r="C4" s="109" t="s">
        <v>329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5" t="s">
        <v>330</v>
      </c>
      <c r="B5" s="110">
        <v>0.25</v>
      </c>
      <c r="C5" s="107" t="s">
        <v>331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5" t="s">
        <v>332</v>
      </c>
      <c r="B6" s="110">
        <v>0.03</v>
      </c>
      <c r="C6" s="107" t="s">
        <v>333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5" t="s">
        <v>334</v>
      </c>
      <c r="B7" s="111">
        <v>0.025</v>
      </c>
      <c r="C7" s="107" t="s">
        <v>335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05" t="s">
        <v>336</v>
      </c>
      <c r="B8" s="111">
        <v>0.025</v>
      </c>
      <c r="C8" s="107" t="s">
        <v>337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5" t="s">
        <v>338</v>
      </c>
      <c r="B9" s="106">
        <v>2.0</v>
      </c>
      <c r="C9" s="107" t="s">
        <v>339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1" t="s">
        <v>340</v>
      </c>
      <c r="B10" s="112">
        <f>B3+SUM(Bets!AR2:AR1000)</f>
        <v>1058.3</v>
      </c>
      <c r="C10" s="107" t="s">
        <v>341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1" t="s">
        <v>342</v>
      </c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13" t="s">
        <v>343</v>
      </c>
      <c r="B13" s="114">
        <v>21.0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13" t="s">
        <v>344</v>
      </c>
      <c r="B14" s="114">
        <v>50.0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5" t="s">
        <v>345</v>
      </c>
      <c r="B15" s="115">
        <f>1+B13/B14</f>
        <v>1.42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5" t="s">
        <v>346</v>
      </c>
      <c r="B16" s="116">
        <f>1/B15</f>
        <v>0.7042253521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6" t="s">
        <v>347</v>
      </c>
      <c r="B18" s="1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107" t="s">
        <v>348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107" t="s">
        <v>349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107" t="s">
        <v>350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107" t="s">
        <v>351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107" t="s">
        <v>352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07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6" t="s">
        <v>353</v>
      </c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107" t="s">
        <v>354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107" t="s">
        <v>355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107" t="s">
        <v>356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107" t="s">
        <v>357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07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6" t="s">
        <v>358</v>
      </c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107" t="s">
        <v>359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107" t="s">
        <v>360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07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 t="s">
        <v>361</v>
      </c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107" t="s">
        <v>362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07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0" customHeight="1">
      <c r="A38" s="6" t="s">
        <v>363</v>
      </c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107" t="s">
        <v>364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107" t="s">
        <v>365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07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6" t="s">
        <v>366</v>
      </c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07" t="s">
        <v>367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17" t="s">
        <v>368</v>
      </c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38" t="s">
        <v>369</v>
      </c>
      <c r="B46" s="118">
        <v>0.35</v>
      </c>
      <c r="C46" s="119" t="s">
        <v>370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38" t="s">
        <v>371</v>
      </c>
      <c r="B47" s="120">
        <f>IF(COUNT(Matchday!U4:U1000)&lt;5,0,AVERAGE(Matchday!U4:U1000))</f>
        <v>0</v>
      </c>
      <c r="C47" s="119" t="s">
        <v>372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38" t="s">
        <v>373</v>
      </c>
      <c r="B48" s="118">
        <v>0.5</v>
      </c>
      <c r="C48" s="119" t="s">
        <v>374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38" t="s">
        <v>375</v>
      </c>
      <c r="B49" s="118"/>
      <c r="C49" s="119" t="s">
        <v>376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38" t="s">
        <v>377</v>
      </c>
      <c r="B50" s="121">
        <f>B3+MAX(0,IFERROR(MAX(Bets!AS2:AS1000),0))</f>
        <v>1064.3</v>
      </c>
      <c r="C50" s="119" t="s">
        <v>378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38" t="s">
        <v>379</v>
      </c>
      <c r="B51" s="120">
        <f>IF(B50=0,0,MAX(0,(B50-B10)/B50))</f>
        <v>0.005637508221</v>
      </c>
      <c r="C51" s="119" t="s">
        <v>380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38" t="s">
        <v>381</v>
      </c>
      <c r="B52" s="122">
        <v>0.15</v>
      </c>
      <c r="C52" s="119" t="s">
        <v>382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38" t="s">
        <v>383</v>
      </c>
      <c r="B53" s="123" t="b">
        <f>B51&gt;=B52</f>
        <v>0</v>
      </c>
      <c r="C53" s="119" t="s">
        <v>384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38" t="s">
        <v>385</v>
      </c>
      <c r="B54" s="124"/>
      <c r="C54" s="119" t="s">
        <v>386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38" t="s">
        <v>387</v>
      </c>
      <c r="B55" s="123" t="b">
        <f>OR(AND(B53=TRUE(),$B$54&lt;&gt;"Y"),B81=TRUE)</f>
        <v>1</v>
      </c>
      <c r="C55" s="119" t="s">
        <v>388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38" t="s">
        <v>389</v>
      </c>
      <c r="B56" s="124" t="s">
        <v>390</v>
      </c>
      <c r="C56" s="119" t="s">
        <v>391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38" t="s">
        <v>392</v>
      </c>
      <c r="B57" s="125">
        <v>46189.58489034722</v>
      </c>
      <c r="C57" s="119" t="s">
        <v>393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38" t="s">
        <v>394</v>
      </c>
      <c r="B58" s="125">
        <v>46189.58492981481</v>
      </c>
      <c r="C58" s="119" t="s">
        <v>395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38" t="s">
        <v>396</v>
      </c>
      <c r="B59" s="126" t="s">
        <v>79</v>
      </c>
      <c r="C59" s="119" t="s">
        <v>397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38" t="s">
        <v>398</v>
      </c>
      <c r="B60" s="127">
        <v>16.0</v>
      </c>
      <c r="C60" s="119" t="s">
        <v>399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38" t="s">
        <v>400</v>
      </c>
      <c r="B61" s="126" t="s">
        <v>84</v>
      </c>
      <c r="C61" s="119" t="s">
        <v>401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38" t="s">
        <v>402</v>
      </c>
      <c r="B62" s="123"/>
      <c r="C62" s="119" t="s">
        <v>403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38" t="s">
        <v>404</v>
      </c>
      <c r="B63" s="126" t="s">
        <v>405</v>
      </c>
      <c r="C63" s="119" t="s">
        <v>406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2.25" customHeight="1">
      <c r="A64" s="119" t="s">
        <v>407</v>
      </c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3.25" customHeight="1">
      <c r="A65" s="128" t="s">
        <v>408</v>
      </c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5" t="s">
        <v>409</v>
      </c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410</v>
      </c>
      <c r="B67" s="51" t="s">
        <v>98</v>
      </c>
      <c r="C67" s="52" t="s">
        <v>411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412</v>
      </c>
      <c r="B68" s="50">
        <v>52.0</v>
      </c>
      <c r="C68" s="52" t="s">
        <v>413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 t="s">
        <v>414</v>
      </c>
      <c r="B69" s="50">
        <v>38.0</v>
      </c>
      <c r="C69" s="52" t="s">
        <v>415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 t="s">
        <v>416</v>
      </c>
      <c r="B70" s="50">
        <v>14.0</v>
      </c>
      <c r="C70" s="52" t="s">
        <v>417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 t="s">
        <v>418</v>
      </c>
      <c r="B71" s="50">
        <v>0.0</v>
      </c>
      <c r="C71" s="52" t="s">
        <v>419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 t="s">
        <v>420</v>
      </c>
      <c r="B72" s="50">
        <v>0.98328517465803</v>
      </c>
      <c r="C72" s="52" t="s">
        <v>421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422</v>
      </c>
      <c r="B73" s="50">
        <v>0.00853373725605766</v>
      </c>
      <c r="C73" s="52" t="s">
        <v>423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424</v>
      </c>
      <c r="B74" s="50">
        <v>0.8689274612137369</v>
      </c>
      <c r="C74" s="52" t="s">
        <v>425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426</v>
      </c>
      <c r="B75" s="50">
        <v>0.03886121870495873</v>
      </c>
      <c r="C75" s="52" t="s">
        <v>427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428</v>
      </c>
      <c r="B76" s="51" t="s">
        <v>429</v>
      </c>
      <c r="C76" s="52" t="s">
        <v>430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431</v>
      </c>
      <c r="B77" s="50">
        <v>4839.0</v>
      </c>
      <c r="C77" s="52" t="s">
        <v>432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433</v>
      </c>
      <c r="B78" s="129">
        <v>46189.584806087965</v>
      </c>
      <c r="C78" s="52" t="s">
        <v>434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 t="s">
        <v>435</v>
      </c>
      <c r="B79" s="129">
        <v>46189.58491391204</v>
      </c>
      <c r="C79" s="52" t="s">
        <v>436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 t="s">
        <v>437</v>
      </c>
      <c r="B81" s="51" t="b">
        <v>1</v>
      </c>
      <c r="C81" s="52" t="s">
        <v>438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28:C28"/>
    <mergeCell ref="A29:C29"/>
    <mergeCell ref="A32:C32"/>
    <mergeCell ref="A33:C33"/>
    <mergeCell ref="A36:C36"/>
    <mergeCell ref="A39:C39"/>
    <mergeCell ref="A40:C40"/>
    <mergeCell ref="A43:C43"/>
    <mergeCell ref="A19:C19"/>
    <mergeCell ref="A20:C20"/>
    <mergeCell ref="A21:C21"/>
    <mergeCell ref="A22:C22"/>
    <mergeCell ref="A23:C23"/>
    <mergeCell ref="A26:C26"/>
    <mergeCell ref="A27:C27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3" width="10.0"/>
    <col customWidth="1" min="4" max="4" width="12.0"/>
    <col customWidth="1" min="5" max="5" width="10.0"/>
    <col customWidth="1" min="6" max="7" width="14.0"/>
    <col customWidth="1" min="8" max="8" width="12.0"/>
  </cols>
  <sheetData>
    <row r="1" ht="15.0" customHeight="1">
      <c r="A1" s="21" t="s">
        <v>439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2" t="s">
        <v>440</v>
      </c>
      <c r="B3" s="22" t="s">
        <v>441</v>
      </c>
      <c r="C3" s="22" t="s">
        <v>442</v>
      </c>
      <c r="D3" s="22" t="s">
        <v>443</v>
      </c>
      <c r="E3" s="22" t="s">
        <v>442</v>
      </c>
      <c r="F3" s="22" t="s">
        <v>444</v>
      </c>
      <c r="G3" s="22" t="s">
        <v>445</v>
      </c>
      <c r="H3" s="22" t="s">
        <v>446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6" t="s">
        <v>240</v>
      </c>
      <c r="B4" s="130">
        <v>0.241</v>
      </c>
      <c r="C4" s="28">
        <f t="shared" ref="C4:C15" si="1">1/B4</f>
        <v>4.149377593</v>
      </c>
      <c r="D4" s="130">
        <v>0.161</v>
      </c>
      <c r="E4" s="28">
        <f t="shared" ref="E4:E8" si="2">1/D4</f>
        <v>6.211180124</v>
      </c>
      <c r="F4" s="130">
        <f t="shared" ref="F4:F8" si="3">B4-D4</f>
        <v>0.08</v>
      </c>
      <c r="G4" s="131"/>
      <c r="H4" s="130" t="str">
        <f t="shared" ref="H4:H15" si="4">IF(G4="","",1/G4)</f>
        <v/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6" t="s">
        <v>261</v>
      </c>
      <c r="B5" s="130">
        <v>0.183</v>
      </c>
      <c r="C5" s="28">
        <f t="shared" si="1"/>
        <v>5.464480874</v>
      </c>
      <c r="D5" s="130">
        <v>0.104</v>
      </c>
      <c r="E5" s="28">
        <f t="shared" si="2"/>
        <v>9.615384615</v>
      </c>
      <c r="F5" s="130">
        <f t="shared" si="3"/>
        <v>0.079</v>
      </c>
      <c r="G5" s="131"/>
      <c r="H5" s="130" t="str">
        <f t="shared" si="4"/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6" t="s">
        <v>256</v>
      </c>
      <c r="B6" s="130">
        <v>0.093</v>
      </c>
      <c r="C6" s="28">
        <f t="shared" si="1"/>
        <v>10.75268817</v>
      </c>
      <c r="D6" s="130">
        <v>0.13</v>
      </c>
      <c r="E6" s="28">
        <f t="shared" si="2"/>
        <v>7.692307692</v>
      </c>
      <c r="F6" s="130">
        <f t="shared" si="3"/>
        <v>-0.037</v>
      </c>
      <c r="G6" s="131"/>
      <c r="H6" s="130" t="str">
        <f t="shared" si="4"/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6" t="s">
        <v>272</v>
      </c>
      <c r="B7" s="130">
        <v>0.07</v>
      </c>
      <c r="C7" s="28">
        <f t="shared" si="1"/>
        <v>14.28571429</v>
      </c>
      <c r="D7" s="130">
        <v>0.112</v>
      </c>
      <c r="E7" s="28">
        <f t="shared" si="2"/>
        <v>8.928571429</v>
      </c>
      <c r="F7" s="130">
        <f t="shared" si="3"/>
        <v>-0.042</v>
      </c>
      <c r="G7" s="131"/>
      <c r="H7" s="130" t="str">
        <f t="shared" si="4"/>
        <v/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6" t="s">
        <v>206</v>
      </c>
      <c r="B8" s="130">
        <v>0.052</v>
      </c>
      <c r="C8" s="28">
        <f t="shared" si="1"/>
        <v>19.23076923</v>
      </c>
      <c r="D8" s="130">
        <v>0.066</v>
      </c>
      <c r="E8" s="28">
        <f t="shared" si="2"/>
        <v>15.15151515</v>
      </c>
      <c r="F8" s="130">
        <f t="shared" si="3"/>
        <v>-0.014</v>
      </c>
      <c r="G8" s="131"/>
      <c r="H8" s="130" t="str">
        <f t="shared" si="4"/>
        <v/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6" t="s">
        <v>278</v>
      </c>
      <c r="B9" s="130">
        <v>0.046</v>
      </c>
      <c r="C9" s="28">
        <f t="shared" si="1"/>
        <v>21.73913043</v>
      </c>
      <c r="D9" s="130" t="s">
        <v>447</v>
      </c>
      <c r="E9" s="28"/>
      <c r="F9" s="130"/>
      <c r="G9" s="131"/>
      <c r="H9" s="130" t="str">
        <f t="shared" si="4"/>
        <v/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6" t="s">
        <v>268</v>
      </c>
      <c r="B10" s="130">
        <v>0.045</v>
      </c>
      <c r="C10" s="28">
        <f t="shared" si="1"/>
        <v>22.22222222</v>
      </c>
      <c r="D10" s="130">
        <v>0.07</v>
      </c>
      <c r="E10" s="28">
        <f t="shared" ref="E10:E12" si="5">1/D10</f>
        <v>14.28571429</v>
      </c>
      <c r="F10" s="130">
        <f t="shared" ref="F10:F12" si="6">B10-D10</f>
        <v>-0.025</v>
      </c>
      <c r="G10" s="131"/>
      <c r="H10" s="130" t="str">
        <f t="shared" si="4"/>
        <v/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6" t="s">
        <v>221</v>
      </c>
      <c r="B11" s="130">
        <v>0.034</v>
      </c>
      <c r="C11" s="28">
        <f t="shared" si="1"/>
        <v>29.41176471</v>
      </c>
      <c r="D11" s="130">
        <v>0.051</v>
      </c>
      <c r="E11" s="28">
        <f t="shared" si="5"/>
        <v>19.60784314</v>
      </c>
      <c r="F11" s="130">
        <f t="shared" si="6"/>
        <v>-0.017</v>
      </c>
      <c r="G11" s="131"/>
      <c r="H11" s="130" t="str">
        <f t="shared" si="4"/>
        <v/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6" t="s">
        <v>226</v>
      </c>
      <c r="B12" s="130">
        <v>0.033</v>
      </c>
      <c r="C12" s="28">
        <f t="shared" si="1"/>
        <v>30.3030303</v>
      </c>
      <c r="D12" s="130">
        <v>0.036</v>
      </c>
      <c r="E12" s="28">
        <f t="shared" si="5"/>
        <v>27.77777778</v>
      </c>
      <c r="F12" s="130">
        <f t="shared" si="6"/>
        <v>-0.003</v>
      </c>
      <c r="G12" s="131"/>
      <c r="H12" s="130" t="str">
        <f t="shared" si="4"/>
        <v/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6" t="s">
        <v>231</v>
      </c>
      <c r="B13" s="130">
        <v>0.025</v>
      </c>
      <c r="C13" s="28">
        <f t="shared" si="1"/>
        <v>40</v>
      </c>
      <c r="D13" s="130" t="s">
        <v>447</v>
      </c>
      <c r="E13" s="28"/>
      <c r="F13" s="130"/>
      <c r="G13" s="131"/>
      <c r="H13" s="130" t="str">
        <f t="shared" si="4"/>
        <v/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6" t="s">
        <v>259</v>
      </c>
      <c r="B14" s="130">
        <v>0.018</v>
      </c>
      <c r="C14" s="28">
        <f t="shared" si="1"/>
        <v>55.55555556</v>
      </c>
      <c r="D14" s="130" t="s">
        <v>447</v>
      </c>
      <c r="E14" s="28"/>
      <c r="F14" s="130"/>
      <c r="G14" s="131"/>
      <c r="H14" s="130" t="str">
        <f t="shared" si="4"/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6" t="s">
        <v>201</v>
      </c>
      <c r="B15" s="130">
        <v>0.016</v>
      </c>
      <c r="C15" s="28">
        <f t="shared" si="1"/>
        <v>62.5</v>
      </c>
      <c r="D15" s="130" t="s">
        <v>447</v>
      </c>
      <c r="E15" s="28"/>
      <c r="F15" s="130"/>
      <c r="G15" s="131"/>
      <c r="H15" s="130" t="str">
        <f t="shared" si="4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7" t="s">
        <v>448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32" t="s">
        <v>449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H1"/>
    <mergeCell ref="A17:H18"/>
    <mergeCell ref="A20:H2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4" width="11.0"/>
    <col customWidth="1" min="5" max="5" width="18.0"/>
    <col customWidth="1" min="6" max="8" width="11.0"/>
    <col customWidth="1" min="9" max="10" width="8.71"/>
  </cols>
  <sheetData>
    <row r="1" ht="15.75" customHeight="1">
      <c r="A1" s="74" t="s">
        <v>450</v>
      </c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1" t="s">
        <v>451</v>
      </c>
      <c r="I2" s="2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1" t="s">
        <v>452</v>
      </c>
      <c r="I3" s="2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1" t="s">
        <v>453</v>
      </c>
      <c r="I4" s="2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1" t="s">
        <v>454</v>
      </c>
      <c r="I5" s="2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1"/>
      <c r="H6" s="1"/>
      <c r="I6" s="2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2" t="s">
        <v>46</v>
      </c>
      <c r="B7" s="22" t="s">
        <v>455</v>
      </c>
      <c r="C7" s="22" t="s">
        <v>456</v>
      </c>
      <c r="D7" s="22" t="s">
        <v>457</v>
      </c>
      <c r="E7" s="22" t="s">
        <v>458</v>
      </c>
      <c r="F7" s="22" t="s">
        <v>459</v>
      </c>
      <c r="G7" s="22" t="s">
        <v>460</v>
      </c>
      <c r="H7" s="22" t="s">
        <v>461</v>
      </c>
      <c r="I7" s="2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33">
        <f>Bets!A2</f>
        <v>1</v>
      </c>
      <c r="B8" s="134"/>
      <c r="C8" s="134"/>
      <c r="D8" s="134"/>
      <c r="E8" s="135" t="str">
        <f>IF(Bets!AN2="Y","PLACED — frozen","")</f>
        <v>PLACED — frozen</v>
      </c>
      <c r="F8" s="136">
        <f>IF(Bets!AN2="Y",Bets!I2,IF(B8="",Bets!I2,B8))</f>
        <v>0.7008</v>
      </c>
      <c r="G8" s="136">
        <f>IF(Bets!AN2="Y",Bets!J2,IF(C8="",Bets!J2,C8))</f>
        <v>0.2117</v>
      </c>
      <c r="H8" s="136">
        <f>IF(Bets!AN2="Y",Bets!K2,IF(D8="",Bets!K2,D8))</f>
        <v>0.0876</v>
      </c>
      <c r="I8" s="2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33">
        <f>Bets!A3</f>
        <v>2</v>
      </c>
      <c r="B9" s="134"/>
      <c r="C9" s="134"/>
      <c r="D9" s="134"/>
      <c r="E9" s="135" t="str">
        <f>IF(Bets!AN3="Y","PLACED — frozen","")</f>
        <v>PLACED — frozen</v>
      </c>
      <c r="F9" s="136">
        <f>IF(Bets!AN3="Y",Bets!I3,IF(B9="",Bets!I3,B9))</f>
        <v>0.4437091842</v>
      </c>
      <c r="G9" s="136">
        <f>IF(Bets!AN3="Y",Bets!J3,IF(C9="",Bets!J3,C9))</f>
        <v>0.2906709316</v>
      </c>
      <c r="H9" s="136">
        <f>IF(Bets!AN3="Y",Bets!K3,IF(D9="",Bets!K3,D9))</f>
        <v>0.2656198843</v>
      </c>
      <c r="I9" s="2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33">
        <f>Bets!A4</f>
        <v>3</v>
      </c>
      <c r="B10" s="134"/>
      <c r="C10" s="134"/>
      <c r="D10" s="134"/>
      <c r="E10" s="135" t="str">
        <f>IF(Bets!AN4="Y","PLACED — frozen","")</f>
        <v>PLACED — frozen</v>
      </c>
      <c r="F10" s="136">
        <f>IF(Bets!AN4="Y",Bets!I4,IF(B10="",Bets!I4,B10))</f>
        <v>0.6975066163</v>
      </c>
      <c r="G10" s="136">
        <f>IF(Bets!AN4="Y",Bets!J4,IF(C10="",Bets!J4,C10))</f>
        <v>0.2132834047</v>
      </c>
      <c r="H10" s="136">
        <f>IF(Bets!AN4="Y",Bets!K4,IF(D10="",Bets!K4,D10))</f>
        <v>0.08920997903</v>
      </c>
      <c r="I10" s="2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33">
        <f>Bets!A5</f>
        <v>4</v>
      </c>
      <c r="B11" s="134"/>
      <c r="C11" s="134"/>
      <c r="D11" s="134"/>
      <c r="E11" s="135" t="str">
        <f>IF(Bets!AN5="Y","PLACED — frozen","")</f>
        <v>PLACED — frozen</v>
      </c>
      <c r="F11" s="136">
        <f>IF(Bets!AN5="Y",Bets!I5,IF(B11="",Bets!I5,B11))</f>
        <v>0.4854873211</v>
      </c>
      <c r="G11" s="136">
        <f>IF(Bets!AN5="Y",Bets!J5,IF(C11="",Bets!J5,C11))</f>
        <v>0.2800986984</v>
      </c>
      <c r="H11" s="136">
        <f>IF(Bets!AN5="Y",Bets!K5,IF(D11="",Bets!K5,D11))</f>
        <v>0.2344139804</v>
      </c>
      <c r="I11" s="2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33">
        <f>Bets!A6</f>
        <v>5</v>
      </c>
      <c r="B12" s="134"/>
      <c r="C12" s="134"/>
      <c r="D12" s="134"/>
      <c r="E12" s="135" t="str">
        <f>IF(Bets!AN6="Y","PLACED — frozen","")</f>
        <v>PLACED — frozen</v>
      </c>
      <c r="F12" s="136">
        <f>IF(Bets!AN6="Y",Bets!I6,IF(B12="",Bets!I6,B12))</f>
        <v>0.07585286983</v>
      </c>
      <c r="G12" s="136">
        <f>IF(Bets!AN6="Y",Bets!J6,IF(C12="",Bets!J6,C12))</f>
        <v>0.1978944302</v>
      </c>
      <c r="H12" s="136">
        <f>IF(Bets!AN6="Y",Bets!K6,IF(D12="",Bets!K6,D12))</f>
        <v>0.7262527</v>
      </c>
      <c r="I12" s="2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33">
        <f>Bets!A7</f>
        <v>6</v>
      </c>
      <c r="B13" s="134"/>
      <c r="C13" s="134"/>
      <c r="D13" s="134"/>
      <c r="E13" s="135" t="str">
        <f>IF(Bets!AN7="Y","PLACED — frozen","")</f>
        <v>PLACED — frozen</v>
      </c>
      <c r="F13" s="136">
        <f>IF(Bets!AN7="Y",Bets!I7,IF(B13="",Bets!I7,B13))</f>
        <v>0.4512466757</v>
      </c>
      <c r="G13" s="136">
        <f>IF(Bets!AN7="Y",Bets!J7,IF(C13="",Bets!J7,C13))</f>
        <v>0.2913635929</v>
      </c>
      <c r="H13" s="136">
        <f>IF(Bets!AN7="Y",Bets!K7,IF(D13="",Bets!K7,D13))</f>
        <v>0.2573897314</v>
      </c>
      <c r="I13" s="2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33">
        <f>Bets!A8</f>
        <v>7</v>
      </c>
      <c r="B14" s="134"/>
      <c r="C14" s="134"/>
      <c r="D14" s="134"/>
      <c r="E14" s="135" t="str">
        <f>IF(Bets!AN8="Y","PLACED — frozen","")</f>
        <v/>
      </c>
      <c r="F14" s="136">
        <f>IF(Bets!AN8="Y",Bets!I8,IF(B14="",Bets!I8,B14))</f>
        <v>0.2066986087</v>
      </c>
      <c r="G14" s="136">
        <f>IF(Bets!AN8="Y",Bets!J8,IF(C14="",Bets!J8,C14))</f>
        <v>0.2658824941</v>
      </c>
      <c r="H14" s="136">
        <f>IF(Bets!AN8="Y",Bets!K8,IF(D14="",Bets!K8,D14))</f>
        <v>0.5274188973</v>
      </c>
      <c r="I14" s="2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33">
        <f>Bets!A9</f>
        <v>8</v>
      </c>
      <c r="B15" s="134"/>
      <c r="C15" s="134"/>
      <c r="D15" s="134"/>
      <c r="E15" s="135" t="str">
        <f>IF(Bets!AN9="Y","PLACED — frozen","")</f>
        <v>PLACED — frozen</v>
      </c>
      <c r="F15" s="136">
        <f>IF(Bets!AN9="Y",Bets!I9,IF(B15="",Bets!I9,B15))</f>
        <v>0.3613932988</v>
      </c>
      <c r="G15" s="136">
        <f>IF(Bets!AN9="Y",Bets!J9,IF(C15="",Bets!J9,C15))</f>
        <v>0.3063987188</v>
      </c>
      <c r="H15" s="136">
        <f>IF(Bets!AN9="Y",Bets!K9,IF(D15="",Bets!K9,D15))</f>
        <v>0.3322079824</v>
      </c>
      <c r="I15" s="2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33">
        <f>Bets!A10</f>
        <v>9</v>
      </c>
      <c r="B16" s="134"/>
      <c r="C16" s="134"/>
      <c r="D16" s="134"/>
      <c r="E16" s="135" t="str">
        <f>IF(Bets!AN10="Y","PLACED — frozen","")</f>
        <v>PLACED — frozen</v>
      </c>
      <c r="F16" s="136">
        <f>IF(Bets!AN10="Y",Bets!I10,IF(B16="",Bets!I10,B16))</f>
        <v>0.7387370549</v>
      </c>
      <c r="G16" s="136">
        <f>IF(Bets!AN10="Y",Bets!J10,IF(C16="",Bets!J10,C16))</f>
        <v>0.1796393707</v>
      </c>
      <c r="H16" s="136">
        <f>IF(Bets!AN10="Y",Bets!K10,IF(D16="",Bets!K10,D16))</f>
        <v>0.08162357444</v>
      </c>
      <c r="I16" s="2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33">
        <f>Bets!A11</f>
        <v>10</v>
      </c>
      <c r="B17" s="134"/>
      <c r="C17" s="134"/>
      <c r="D17" s="134"/>
      <c r="E17" s="135" t="str">
        <f>IF(Bets!AN11="Y","PLACED — frozen","")</f>
        <v>PLACED — frozen</v>
      </c>
      <c r="F17" s="136">
        <f>IF(Bets!AN11="Y",Bets!I11,IF(B17="",Bets!I11,B17))</f>
        <v>0.432126829</v>
      </c>
      <c r="G17" s="136">
        <f>IF(Bets!AN11="Y",Bets!J11,IF(C17="",Bets!J11,C17))</f>
        <v>0.2887854722</v>
      </c>
      <c r="H17" s="136">
        <f>IF(Bets!AN11="Y",Bets!K11,IF(D17="",Bets!K11,D17))</f>
        <v>0.2790876987</v>
      </c>
      <c r="I17" s="2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33">
        <f>Bets!A12</f>
        <v>11</v>
      </c>
      <c r="B18" s="134"/>
      <c r="C18" s="134"/>
      <c r="D18" s="134"/>
      <c r="E18" s="135" t="str">
        <f>IF(Bets!AN12="Y","PLACED — frozen","")</f>
        <v/>
      </c>
      <c r="F18" s="136">
        <f>IF(Bets!AN12="Y",Bets!I12,IF(B18="",Bets!I12,B18))</f>
        <v>0.2664531738</v>
      </c>
      <c r="G18" s="136">
        <f>IF(Bets!AN12="Y",Bets!J12,IF(C18="",Bets!J12,C18))</f>
        <v>0.2993643083</v>
      </c>
      <c r="H18" s="136">
        <f>IF(Bets!AN12="Y",Bets!K12,IF(D18="",Bets!K12,D18))</f>
        <v>0.4341825179</v>
      </c>
      <c r="I18" s="2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33">
        <f>Bets!A13</f>
        <v>12</v>
      </c>
      <c r="B19" s="134"/>
      <c r="C19" s="134"/>
      <c r="D19" s="134"/>
      <c r="E19" s="135" t="str">
        <f>IF(Bets!AN13="Y","PLACED — frozen","")</f>
        <v/>
      </c>
      <c r="F19" s="136">
        <f>IF(Bets!AN13="Y",Bets!I13,IF(B19="",Bets!I13,B19))</f>
        <v>0.4158154866</v>
      </c>
      <c r="G19" s="136">
        <f>IF(Bets!AN13="Y",Bets!J13,IF(C19="",Bets!J13,C19))</f>
        <v>0.2882456056</v>
      </c>
      <c r="H19" s="136">
        <f>IF(Bets!AN13="Y",Bets!K13,IF(D19="",Bets!K13,D19))</f>
        <v>0.2959389078</v>
      </c>
      <c r="I19" s="2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33">
        <f>Bets!A14</f>
        <v>13</v>
      </c>
      <c r="B20" s="134"/>
      <c r="C20" s="134"/>
      <c r="D20" s="134"/>
      <c r="E20" s="135" t="str">
        <f>IF(Bets!AN14="Y","PLACED — frozen","")</f>
        <v/>
      </c>
      <c r="F20" s="136">
        <f>IF(Bets!AN14="Y",Bets!I14,IF(B20="",Bets!I14,B20))</f>
        <v>0.7638150516</v>
      </c>
      <c r="G20" s="136">
        <f>IF(Bets!AN14="Y",Bets!J14,IF(C20="",Bets!J14,C20))</f>
        <v>0.1654576323</v>
      </c>
      <c r="H20" s="136">
        <f>IF(Bets!AN14="Y",Bets!K14,IF(D20="",Bets!K14,D20))</f>
        <v>0.07072731607</v>
      </c>
      <c r="I20" s="2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33">
        <f>Bets!A15</f>
        <v>14</v>
      </c>
      <c r="B21" s="134"/>
      <c r="C21" s="134"/>
      <c r="D21" s="134"/>
      <c r="E21" s="135" t="str">
        <f>IF(Bets!AN15="Y","PLACED — frozen","")</f>
        <v/>
      </c>
      <c r="F21" s="136">
        <f>IF(Bets!AN15="Y",Bets!I15,IF(B21="",Bets!I15,B21))</f>
        <v>0.469848958</v>
      </c>
      <c r="G21" s="136">
        <f>IF(Bets!AN15="Y",Bets!J15,IF(C21="",Bets!J15,C21))</f>
        <v>0.2996492786</v>
      </c>
      <c r="H21" s="136">
        <f>IF(Bets!AN15="Y",Bets!K15,IF(D21="",Bets!K15,D21))</f>
        <v>0.2305017634</v>
      </c>
      <c r="I21" s="2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33">
        <f>Bets!A16</f>
        <v>15</v>
      </c>
      <c r="B22" s="134"/>
      <c r="C22" s="134"/>
      <c r="D22" s="134"/>
      <c r="E22" s="135" t="str">
        <f>IF(Bets!AN16="Y","PLACED — frozen","")</f>
        <v/>
      </c>
      <c r="F22" s="136">
        <f>IF(Bets!AN16="Y",Bets!I16,IF(B22="",Bets!I16,B22))</f>
        <v>0.1347875146</v>
      </c>
      <c r="G22" s="136">
        <f>IF(Bets!AN16="Y",Bets!J16,IF(C22="",Bets!J16,C22))</f>
        <v>0.2508896919</v>
      </c>
      <c r="H22" s="136">
        <f>IF(Bets!AN16="Y",Bets!K16,IF(D22="",Bets!K16,D22))</f>
        <v>0.6143227935</v>
      </c>
      <c r="I22" s="2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33">
        <f>Bets!A17</f>
        <v>16</v>
      </c>
      <c r="B23" s="134"/>
      <c r="C23" s="134"/>
      <c r="D23" s="134"/>
      <c r="E23" s="135" t="str">
        <f>IF(Bets!AN17="Y","PLACED — frozen","")</f>
        <v/>
      </c>
      <c r="F23" s="136">
        <f>IF(Bets!AN17="Y",Bets!I17,IF(B23="",Bets!I17,B23))</f>
        <v>0.4371219225</v>
      </c>
      <c r="G23" s="136">
        <f>IF(Bets!AN17="Y",Bets!J17,IF(C23="",Bets!J17,C23))</f>
        <v>0.3065113481</v>
      </c>
      <c r="H23" s="136">
        <f>IF(Bets!AN17="Y",Bets!K17,IF(D23="",Bets!K17,D23))</f>
        <v>0.2563667295</v>
      </c>
      <c r="I23" s="2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33">
        <f>Bets!A18</f>
        <v>17</v>
      </c>
      <c r="B24" s="134"/>
      <c r="C24" s="134"/>
      <c r="D24" s="134"/>
      <c r="E24" s="135" t="str">
        <f>IF(Bets!AN18="Y","PLACED — frozen","")</f>
        <v/>
      </c>
      <c r="F24" s="136">
        <f>IF(Bets!AN18="Y",Bets!I18,IF(B24="",Bets!I18,B24))</f>
        <v>0.7035450192</v>
      </c>
      <c r="G24" s="136">
        <f>IF(Bets!AN18="Y",Bets!J18,IF(C24="",Bets!J18,C24))</f>
        <v>0.1871737755</v>
      </c>
      <c r="H24" s="136">
        <f>IF(Bets!AN18="Y",Bets!K18,IF(D24="",Bets!K18,D24))</f>
        <v>0.1092812053</v>
      </c>
      <c r="I24" s="2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33">
        <f>Bets!A19</f>
        <v>18</v>
      </c>
      <c r="B25" s="134"/>
      <c r="C25" s="134"/>
      <c r="D25" s="134"/>
      <c r="E25" s="135" t="str">
        <f>IF(Bets!AN19="Y","PLACED — frozen","")</f>
        <v/>
      </c>
      <c r="F25" s="136">
        <f>IF(Bets!AN19="Y",Bets!I19,IF(B25="",Bets!I19,B25))</f>
        <v>0.1487524043</v>
      </c>
      <c r="G25" s="136">
        <f>IF(Bets!AN19="Y",Bets!J19,IF(C25="",Bets!J19,C25))</f>
        <v>0.2715126084</v>
      </c>
      <c r="H25" s="136">
        <f>IF(Bets!AN19="Y",Bets!K19,IF(D25="",Bets!K19,D25))</f>
        <v>0.5797349873</v>
      </c>
      <c r="I25" s="2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33">
        <f>Bets!A20</f>
        <v>19</v>
      </c>
      <c r="B26" s="134"/>
      <c r="C26" s="134"/>
      <c r="D26" s="134"/>
      <c r="E26" s="135" t="str">
        <f>IF(Bets!AN20="Y","PLACED — frozen","")</f>
        <v/>
      </c>
      <c r="F26" s="136">
        <f>IF(Bets!AN20="Y",Bets!I20,IF(B26="",Bets!I20,B26))</f>
        <v>0.6500539946</v>
      </c>
      <c r="G26" s="136">
        <f>IF(Bets!AN20="Y",Bets!J20,IF(C26="",Bets!J20,C26))</f>
        <v>0.2262316185</v>
      </c>
      <c r="H26" s="136">
        <f>IF(Bets!AN20="Y",Bets!K20,IF(D26="",Bets!K20,D26))</f>
        <v>0.1237143869</v>
      </c>
      <c r="I26" s="2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33">
        <f>Bets!A21</f>
        <v>20</v>
      </c>
      <c r="B27" s="134"/>
      <c r="C27" s="134"/>
      <c r="D27" s="134"/>
      <c r="E27" s="135" t="str">
        <f>IF(Bets!AN21="Y","PLACED — frozen","")</f>
        <v/>
      </c>
      <c r="F27" s="136">
        <f>IF(Bets!AN21="Y",Bets!I21,IF(B27="",Bets!I21,B27))</f>
        <v>0.4320200938</v>
      </c>
      <c r="G27" s="136">
        <f>IF(Bets!AN21="Y",Bets!J21,IF(C27="",Bets!J21,C27))</f>
        <v>0.3026402106</v>
      </c>
      <c r="H27" s="136">
        <f>IF(Bets!AN21="Y",Bets!K21,IF(D27="",Bets!K21,D27))</f>
        <v>0.2653396956</v>
      </c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33">
        <f>Bets!A22</f>
        <v>21</v>
      </c>
      <c r="B28" s="134"/>
      <c r="C28" s="134"/>
      <c r="D28" s="134"/>
      <c r="E28" s="135" t="str">
        <f>IF(Bets!AN22="Y","PLACED — frozen","")</f>
        <v/>
      </c>
      <c r="F28" s="136">
        <f>IF(Bets!AN22="Y",Bets!I22,IF(B28="",Bets!I22,B28))</f>
        <v>0.6319863595</v>
      </c>
      <c r="G28" s="136">
        <f>IF(Bets!AN22="Y",Bets!J22,IF(C28="",Bets!J22,C28))</f>
        <v>0.2392589859</v>
      </c>
      <c r="H28" s="136">
        <f>IF(Bets!AN22="Y",Bets!K22,IF(D28="",Bets!K22,D28))</f>
        <v>0.1287546546</v>
      </c>
      <c r="I28" s="2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33">
        <f>Bets!A23</f>
        <v>22</v>
      </c>
      <c r="B29" s="134"/>
      <c r="C29" s="134"/>
      <c r="D29" s="134"/>
      <c r="E29" s="135" t="str">
        <f>IF(Bets!AN23="Y","PLACED — frozen","")</f>
        <v/>
      </c>
      <c r="F29" s="136">
        <f>IF(Bets!AN23="Y",Bets!I23,IF(B29="",Bets!I23,B29))</f>
        <v>0.4218747849</v>
      </c>
      <c r="G29" s="136">
        <f>IF(Bets!AN23="Y",Bets!J23,IF(C29="",Bets!J23,C29))</f>
        <v>0.291266564</v>
      </c>
      <c r="H29" s="136">
        <f>IF(Bets!AN23="Y",Bets!K23,IF(D29="",Bets!K23,D29))</f>
        <v>0.286858651</v>
      </c>
      <c r="I29" s="2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33">
        <f>Bets!A24</f>
        <v>23</v>
      </c>
      <c r="B30" s="134"/>
      <c r="C30" s="134"/>
      <c r="D30" s="134"/>
      <c r="E30" s="135" t="str">
        <f>IF(Bets!AN24="Y","PLACED — frozen","")</f>
        <v/>
      </c>
      <c r="F30" s="136">
        <f>IF(Bets!AN24="Y",Bets!I24,IF(B30="",Bets!I24,B30))</f>
        <v>0.2394877412</v>
      </c>
      <c r="G30" s="136">
        <f>IF(Bets!AN24="Y",Bets!J24,IF(C30="",Bets!J24,C30))</f>
        <v>0.2816289837</v>
      </c>
      <c r="H30" s="136">
        <f>IF(Bets!AN24="Y",Bets!K24,IF(D30="",Bets!K24,D30))</f>
        <v>0.4788832751</v>
      </c>
      <c r="I30" s="2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33">
        <f>Bets!A25</f>
        <v>24</v>
      </c>
      <c r="B31" s="134"/>
      <c r="C31" s="134"/>
      <c r="D31" s="134"/>
      <c r="E31" s="135" t="str">
        <f>IF(Bets!AN25="Y","PLACED — frozen","")</f>
        <v/>
      </c>
      <c r="F31" s="136">
        <f>IF(Bets!AN25="Y",Bets!I25,IF(B31="",Bets!I25,B31))</f>
        <v>0.1461546523</v>
      </c>
      <c r="G31" s="136">
        <f>IF(Bets!AN25="Y",Bets!J25,IF(C31="",Bets!J25,C31))</f>
        <v>0.2392529097</v>
      </c>
      <c r="H31" s="136">
        <f>IF(Bets!AN25="Y",Bets!K25,IF(D31="",Bets!K25,D31))</f>
        <v>0.614592438</v>
      </c>
      <c r="I31" s="2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33">
        <f>Bets!A26</f>
        <v>25</v>
      </c>
      <c r="B32" s="134"/>
      <c r="C32" s="134"/>
      <c r="D32" s="134"/>
      <c r="E32" s="135" t="str">
        <f>IF(Bets!AN26="Y","PLACED — frozen","")</f>
        <v/>
      </c>
      <c r="F32" s="136">
        <f>IF(Bets!AN26="Y",Bets!I26,IF(B32="",Bets!I26,B32))</f>
        <v>0.5069569754</v>
      </c>
      <c r="G32" s="136">
        <f>IF(Bets!AN26="Y",Bets!J26,IF(C32="",Bets!J26,C32))</f>
        <v>0.2931250125</v>
      </c>
      <c r="H32" s="136">
        <f>IF(Bets!AN26="Y",Bets!K26,IF(D32="",Bets!K26,D32))</f>
        <v>0.1999180121</v>
      </c>
      <c r="I32" s="2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33">
        <f>Bets!A27</f>
        <v>26</v>
      </c>
      <c r="B33" s="134"/>
      <c r="C33" s="134"/>
      <c r="D33" s="134"/>
      <c r="E33" s="135" t="str">
        <f>IF(Bets!AN27="Y","PLACED — frozen","")</f>
        <v/>
      </c>
      <c r="F33" s="136">
        <f>IF(Bets!AN27="Y",Bets!I27,IF(B33="",Bets!I27,B33))</f>
        <v>0.6392239799</v>
      </c>
      <c r="G33" s="136">
        <f>IF(Bets!AN27="Y",Bets!J27,IF(C33="",Bets!J27,C33))</f>
        <v>0.2386520653</v>
      </c>
      <c r="H33" s="136">
        <f>IF(Bets!AN27="Y",Bets!K27,IF(D33="",Bets!K27,D33))</f>
        <v>0.1221239549</v>
      </c>
      <c r="I33" s="2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33">
        <f>Bets!A28</f>
        <v>27</v>
      </c>
      <c r="B34" s="134"/>
      <c r="C34" s="134"/>
      <c r="D34" s="134"/>
      <c r="E34" s="135" t="str">
        <f>IF(Bets!AN28="Y","PLACED — frozen","")</f>
        <v/>
      </c>
      <c r="F34" s="136">
        <f>IF(Bets!AN28="Y",Bets!I28,IF(B34="",Bets!I28,B34))</f>
        <v>0.7344692783</v>
      </c>
      <c r="G34" s="136">
        <f>IF(Bets!AN28="Y",Bets!J28,IF(C34="",Bets!J28,C34))</f>
        <v>0.2019755084</v>
      </c>
      <c r="H34" s="136">
        <f>IF(Bets!AN28="Y",Bets!K28,IF(D34="",Bets!K28,D34))</f>
        <v>0.06355521327</v>
      </c>
      <c r="I34" s="2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33">
        <f>Bets!A29</f>
        <v>28</v>
      </c>
      <c r="B35" s="134"/>
      <c r="C35" s="134"/>
      <c r="D35" s="134"/>
      <c r="E35" s="135" t="str">
        <f>IF(Bets!AN29="Y","PLACED — frozen","")</f>
        <v/>
      </c>
      <c r="F35" s="136">
        <f>IF(Bets!AN29="Y",Bets!I29,IF(B35="",Bets!I29,B35))</f>
        <v>0.5485759062</v>
      </c>
      <c r="G35" s="136">
        <f>IF(Bets!AN29="Y",Bets!J29,IF(C35="",Bets!J29,C35))</f>
        <v>0.2823916017</v>
      </c>
      <c r="H35" s="136">
        <f>IF(Bets!AN29="Y",Bets!K29,IF(D35="",Bets!K29,D35))</f>
        <v>0.1690324921</v>
      </c>
      <c r="I35" s="2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33">
        <f>Bets!A30</f>
        <v>29</v>
      </c>
      <c r="B36" s="134"/>
      <c r="C36" s="134"/>
      <c r="D36" s="134"/>
      <c r="E36" s="135" t="str">
        <f>IF(Bets!AN30="Y","PLACED — frozen","")</f>
        <v/>
      </c>
      <c r="F36" s="136">
        <f>IF(Bets!AN30="Y",Bets!I30,IF(B36="",Bets!I30,B36))</f>
        <v>0.4658798211</v>
      </c>
      <c r="G36" s="136">
        <f>IF(Bets!AN30="Y",Bets!J30,IF(C36="",Bets!J30,C36))</f>
        <v>0.2817099534</v>
      </c>
      <c r="H36" s="136">
        <f>IF(Bets!AN30="Y",Bets!K30,IF(D36="",Bets!K30,D36))</f>
        <v>0.2524102256</v>
      </c>
      <c r="I36" s="2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33">
        <f>Bets!A31</f>
        <v>30</v>
      </c>
      <c r="B37" s="134"/>
      <c r="C37" s="134"/>
      <c r="D37" s="134"/>
      <c r="E37" s="135" t="str">
        <f>IF(Bets!AN31="Y","PLACED — frozen","")</f>
        <v/>
      </c>
      <c r="F37" s="136">
        <f>IF(Bets!AN31="Y",Bets!I31,IF(B37="",Bets!I31,B37))</f>
        <v>0.2452278831</v>
      </c>
      <c r="G37" s="136">
        <f>IF(Bets!AN31="Y",Bets!J31,IF(C37="",Bets!J31,C37))</f>
        <v>0.3046076392</v>
      </c>
      <c r="H37" s="136">
        <f>IF(Bets!AN31="Y",Bets!K31,IF(D37="",Bets!K31,D37))</f>
        <v>0.4501644777</v>
      </c>
      <c r="I37" s="2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33">
        <f>Bets!A32</f>
        <v>31</v>
      </c>
      <c r="B38" s="134"/>
      <c r="C38" s="134"/>
      <c r="D38" s="134"/>
      <c r="E38" s="135" t="str">
        <f>IF(Bets!AN32="Y","PLACED — frozen","")</f>
        <v/>
      </c>
      <c r="F38" s="136">
        <f>IF(Bets!AN32="Y",Bets!I32,IF(B38="",Bets!I32,B38))</f>
        <v>0.7079961165</v>
      </c>
      <c r="G38" s="136">
        <f>IF(Bets!AN32="Y",Bets!J32,IF(C38="",Bets!J32,C38))</f>
        <v>0.2028169285</v>
      </c>
      <c r="H38" s="136">
        <f>IF(Bets!AN32="Y",Bets!K32,IF(D38="",Bets!K32,D38))</f>
        <v>0.08918695491</v>
      </c>
      <c r="I38" s="2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33">
        <f>Bets!A33</f>
        <v>32</v>
      </c>
      <c r="B39" s="134"/>
      <c r="C39" s="134"/>
      <c r="D39" s="134"/>
      <c r="E39" s="135" t="str">
        <f>IF(Bets!AN33="Y","PLACED — frozen","")</f>
        <v/>
      </c>
      <c r="F39" s="136">
        <f>IF(Bets!AN33="Y",Bets!I33,IF(B39="",Bets!I33,B39))</f>
        <v>0.439493728</v>
      </c>
      <c r="G39" s="136">
        <f>IF(Bets!AN33="Y",Bets!J33,IF(C39="",Bets!J33,C39))</f>
        <v>0.2940641234</v>
      </c>
      <c r="H39" s="136">
        <f>IF(Bets!AN33="Y",Bets!K33,IF(D39="",Bets!K33,D39))</f>
        <v>0.2664421486</v>
      </c>
      <c r="I39" s="2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33">
        <f>Bets!A34</f>
        <v>33</v>
      </c>
      <c r="B40" s="134"/>
      <c r="C40" s="134"/>
      <c r="D40" s="134"/>
      <c r="E40" s="135" t="str">
        <f>IF(Bets!AN34="Y","PLACED — frozen","")</f>
        <v/>
      </c>
      <c r="F40" s="136">
        <f>IF(Bets!AN34="Y",Bets!I34,IF(B40="",Bets!I34,B40))</f>
        <v>0.6352495938</v>
      </c>
      <c r="G40" s="136">
        <f>IF(Bets!AN34="Y",Bets!J34,IF(C40="",Bets!J34,C40))</f>
        <v>0.2157863013</v>
      </c>
      <c r="H40" s="136">
        <f>IF(Bets!AN34="Y",Bets!K34,IF(D40="",Bets!K34,D40))</f>
        <v>0.1489641049</v>
      </c>
      <c r="I40" s="2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33">
        <f>Bets!A35</f>
        <v>34</v>
      </c>
      <c r="B41" s="134"/>
      <c r="C41" s="134"/>
      <c r="D41" s="134"/>
      <c r="E41" s="135" t="str">
        <f>IF(Bets!AN35="Y","PLACED — frozen","")</f>
        <v/>
      </c>
      <c r="F41" s="136">
        <f>IF(Bets!AN35="Y",Bets!I35,IF(B41="",Bets!I35,B41))</f>
        <v>0.5663703999</v>
      </c>
      <c r="G41" s="136">
        <f>IF(Bets!AN35="Y",Bets!J35,IF(C41="",Bets!J35,C41))</f>
        <v>0.2648415353</v>
      </c>
      <c r="H41" s="136">
        <f>IF(Bets!AN35="Y",Bets!K35,IF(D41="",Bets!K35,D41))</f>
        <v>0.1687880648</v>
      </c>
      <c r="I41" s="2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33">
        <f>Bets!A36</f>
        <v>35</v>
      </c>
      <c r="B42" s="134"/>
      <c r="C42" s="134"/>
      <c r="D42" s="134"/>
      <c r="E42" s="135" t="str">
        <f>IF(Bets!AN36="Y","PLACED — frozen","")</f>
        <v/>
      </c>
      <c r="F42" s="136">
        <f>IF(Bets!AN36="Y",Bets!I36,IF(B42="",Bets!I36,B42))</f>
        <v>0.7281506223</v>
      </c>
      <c r="G42" s="136">
        <f>IF(Bets!AN36="Y",Bets!J36,IF(C42="",Bets!J36,C42))</f>
        <v>0.1920817567</v>
      </c>
      <c r="H42" s="136">
        <f>IF(Bets!AN36="Y",Bets!K36,IF(D42="",Bets!K36,D42))</f>
        <v>0.07976762091</v>
      </c>
      <c r="I42" s="2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33">
        <f>Bets!A37</f>
        <v>36</v>
      </c>
      <c r="B43" s="134"/>
      <c r="C43" s="134"/>
      <c r="D43" s="134"/>
      <c r="E43" s="135" t="str">
        <f>IF(Bets!AN37="Y","PLACED — frozen","")</f>
        <v/>
      </c>
      <c r="F43" s="136">
        <f>IF(Bets!AN37="Y",Bets!I37,IF(B43="",Bets!I37,B43))</f>
        <v>0.1358556877</v>
      </c>
      <c r="G43" s="136">
        <f>IF(Bets!AN37="Y",Bets!J37,IF(C43="",Bets!J37,C43))</f>
        <v>0.2581402171</v>
      </c>
      <c r="H43" s="136">
        <f>IF(Bets!AN37="Y",Bets!K37,IF(D43="",Bets!K37,D43))</f>
        <v>0.6060040952</v>
      </c>
      <c r="I43" s="2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33">
        <f>Bets!A38</f>
        <v>37</v>
      </c>
      <c r="B44" s="134"/>
      <c r="C44" s="134"/>
      <c r="D44" s="134"/>
      <c r="E44" s="135" t="str">
        <f>IF(Bets!AN38="Y","PLACED — frozen","")</f>
        <v/>
      </c>
      <c r="F44" s="136">
        <f>IF(Bets!AN38="Y",Bets!I38,IF(B44="",Bets!I38,B44))</f>
        <v>0.7537602544</v>
      </c>
      <c r="G44" s="136">
        <f>IF(Bets!AN38="Y",Bets!J38,IF(C44="",Bets!J38,C44))</f>
        <v>0.1729898048</v>
      </c>
      <c r="H44" s="136">
        <f>IF(Bets!AN38="Y",Bets!K38,IF(D44="",Bets!K38,D44))</f>
        <v>0.07324994082</v>
      </c>
      <c r="I44" s="2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33">
        <f>Bets!A39</f>
        <v>38</v>
      </c>
      <c r="B45" s="134"/>
      <c r="C45" s="134"/>
      <c r="D45" s="134"/>
      <c r="E45" s="135" t="str">
        <f>IF(Bets!AN39="Y","PLACED — frozen","")</f>
        <v/>
      </c>
      <c r="F45" s="136">
        <f>IF(Bets!AN39="Y",Bets!I39,IF(B45="",Bets!I39,B45))</f>
        <v>0.4239152769</v>
      </c>
      <c r="G45" s="136">
        <f>IF(Bets!AN39="Y",Bets!J39,IF(C45="",Bets!J39,C45))</f>
        <v>0.2857311914</v>
      </c>
      <c r="H45" s="136">
        <f>IF(Bets!AN39="Y",Bets!K39,IF(D45="",Bets!K39,D45))</f>
        <v>0.2903535317</v>
      </c>
      <c r="I45" s="2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33">
        <f>Bets!A40</f>
        <v>39</v>
      </c>
      <c r="B46" s="134"/>
      <c r="C46" s="134"/>
      <c r="D46" s="134"/>
      <c r="E46" s="135" t="str">
        <f>IF(Bets!AN40="Y","PLACED — frozen","")</f>
        <v/>
      </c>
      <c r="F46" s="136">
        <f>IF(Bets!AN40="Y",Bets!I40,IF(B46="",Bets!I40,B46))</f>
        <v>0.6247398261</v>
      </c>
      <c r="G46" s="136">
        <f>IF(Bets!AN40="Y",Bets!J40,IF(C46="",Bets!J40,C46))</f>
        <v>0.2462428689</v>
      </c>
      <c r="H46" s="136">
        <f>IF(Bets!AN40="Y",Bets!K40,IF(D46="",Bets!K40,D46))</f>
        <v>0.129017305</v>
      </c>
      <c r="I46" s="2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33">
        <f>Bets!A41</f>
        <v>40</v>
      </c>
      <c r="B47" s="134"/>
      <c r="C47" s="134"/>
      <c r="D47" s="134"/>
      <c r="E47" s="135" t="str">
        <f>IF(Bets!AN41="Y","PLACED — frozen","")</f>
        <v/>
      </c>
      <c r="F47" s="136">
        <f>IF(Bets!AN41="Y",Bets!I41,IF(B47="",Bets!I41,B47))</f>
        <v>0.3100936549</v>
      </c>
      <c r="G47" s="136">
        <f>IF(Bets!AN41="Y",Bets!J41,IF(C47="",Bets!J41,C47))</f>
        <v>0.3023916492</v>
      </c>
      <c r="H47" s="136">
        <f>IF(Bets!AN41="Y",Bets!K41,IF(D47="",Bets!K41,D47))</f>
        <v>0.3875146959</v>
      </c>
      <c r="I47" s="2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33">
        <f>Bets!A42</f>
        <v>41</v>
      </c>
      <c r="B48" s="134"/>
      <c r="C48" s="134"/>
      <c r="D48" s="134"/>
      <c r="E48" s="135" t="str">
        <f>IF(Bets!AN42="Y","PLACED — frozen","")</f>
        <v/>
      </c>
      <c r="F48" s="136">
        <f>IF(Bets!AN42="Y",Bets!I42,IF(B48="",Bets!I42,B48))</f>
        <v>0.6830811322</v>
      </c>
      <c r="G48" s="136">
        <f>IF(Bets!AN42="Y",Bets!J42,IF(C48="",Bets!J42,C48))</f>
        <v>0.2059523503</v>
      </c>
      <c r="H48" s="136">
        <f>IF(Bets!AN42="Y",Bets!K42,IF(D48="",Bets!K42,D48))</f>
        <v>0.1109665175</v>
      </c>
      <c r="I48" s="2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33">
        <f>Bets!A43</f>
        <v>42</v>
      </c>
      <c r="B49" s="134"/>
      <c r="C49" s="134"/>
      <c r="D49" s="134"/>
      <c r="E49" s="135" t="str">
        <f>IF(Bets!AN43="Y","PLACED — frozen","")</f>
        <v/>
      </c>
      <c r="F49" s="136">
        <f>IF(Bets!AN43="Y",Bets!I43,IF(B49="",Bets!I43,B49))</f>
        <v>0.6567712051</v>
      </c>
      <c r="G49" s="136">
        <f>IF(Bets!AN43="Y",Bets!J43,IF(C49="",Bets!J43,C49))</f>
        <v>0.2111118363</v>
      </c>
      <c r="H49" s="136">
        <f>IF(Bets!AN43="Y",Bets!K43,IF(D49="",Bets!K43,D49))</f>
        <v>0.1321169586</v>
      </c>
      <c r="I49" s="2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33">
        <f>Bets!A44</f>
        <v>43</v>
      </c>
      <c r="B50" s="134"/>
      <c r="C50" s="134"/>
      <c r="D50" s="134"/>
      <c r="E50" s="135" t="str">
        <f>IF(Bets!AN44="Y","PLACED — frozen","")</f>
        <v/>
      </c>
      <c r="F50" s="136">
        <f>IF(Bets!AN44="Y",Bets!I44,IF(B50="",Bets!I44,B50))</f>
        <v>0.4641822003</v>
      </c>
      <c r="G50" s="136">
        <f>IF(Bets!AN44="Y",Bets!J44,IF(C50="",Bets!J44,C50))</f>
        <v>0.2791024333</v>
      </c>
      <c r="H50" s="136">
        <f>IF(Bets!AN44="Y",Bets!K44,IF(D50="",Bets!K44,D50))</f>
        <v>0.2567153664</v>
      </c>
      <c r="I50" s="2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33">
        <f>Bets!A45</f>
        <v>44</v>
      </c>
      <c r="B51" s="134"/>
      <c r="C51" s="134"/>
      <c r="D51" s="134"/>
      <c r="E51" s="135" t="str">
        <f>IF(Bets!AN45="Y","PLACED — frozen","")</f>
        <v/>
      </c>
      <c r="F51" s="136">
        <f>IF(Bets!AN45="Y",Bets!I45,IF(B51="",Bets!I45,B51))</f>
        <v>0.2912550013</v>
      </c>
      <c r="G51" s="136">
        <f>IF(Bets!AN45="Y",Bets!J45,IF(C51="",Bets!J45,C51))</f>
        <v>0.2813724205</v>
      </c>
      <c r="H51" s="136">
        <f>IF(Bets!AN45="Y",Bets!K45,IF(D51="",Bets!K45,D51))</f>
        <v>0.4273725782</v>
      </c>
      <c r="I51" s="2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33">
        <f>Bets!A46</f>
        <v>45</v>
      </c>
      <c r="B52" s="134"/>
      <c r="C52" s="134"/>
      <c r="D52" s="134"/>
      <c r="E52" s="135" t="str">
        <f>IF(Bets!AN46="Y","PLACED — frozen","")</f>
        <v/>
      </c>
      <c r="F52" s="136">
        <f>IF(Bets!AN46="Y",Bets!I46,IF(B52="",Bets!I46,B52))</f>
        <v>0.5677465449</v>
      </c>
      <c r="G52" s="136">
        <f>IF(Bets!AN46="Y",Bets!J46,IF(C52="",Bets!J46,C52))</f>
        <v>0.2624732541</v>
      </c>
      <c r="H52" s="136">
        <f>IF(Bets!AN46="Y",Bets!K46,IF(D52="",Bets!K46,D52))</f>
        <v>0.169780201</v>
      </c>
      <c r="I52" s="2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33">
        <f>Bets!A47</f>
        <v>46</v>
      </c>
      <c r="B53" s="134"/>
      <c r="C53" s="134"/>
      <c r="D53" s="134"/>
      <c r="E53" s="135" t="str">
        <f>IF(Bets!AN47="Y","PLACED — frozen","")</f>
        <v/>
      </c>
      <c r="F53" s="136">
        <f>IF(Bets!AN47="Y",Bets!I47,IF(B53="",Bets!I47,B53))</f>
        <v>0.6910103314</v>
      </c>
      <c r="G53" s="136">
        <f>IF(Bets!AN47="Y",Bets!J47,IF(C53="",Bets!J47,C53))</f>
        <v>0.2130108659</v>
      </c>
      <c r="H53" s="136">
        <f>IF(Bets!AN47="Y",Bets!K47,IF(D53="",Bets!K47,D53))</f>
        <v>0.09597880265</v>
      </c>
      <c r="I53" s="2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33">
        <f>Bets!A48</f>
        <v>47</v>
      </c>
      <c r="B54" s="134"/>
      <c r="C54" s="134"/>
      <c r="D54" s="134"/>
      <c r="E54" s="135" t="str">
        <f>IF(Bets!AN48="Y","PLACED — frozen","")</f>
        <v/>
      </c>
      <c r="F54" s="136">
        <f>IF(Bets!AN48="Y",Bets!I48,IF(B54="",Bets!I48,B54))</f>
        <v>0.2300928451</v>
      </c>
      <c r="G54" s="136">
        <f>IF(Bets!AN48="Y",Bets!J48,IF(C54="",Bets!J48,C54))</f>
        <v>0.2743015699</v>
      </c>
      <c r="H54" s="136">
        <f>IF(Bets!AN48="Y",Bets!K48,IF(D54="",Bets!K48,D54))</f>
        <v>0.495605585</v>
      </c>
      <c r="I54" s="2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33">
        <f>Bets!A49</f>
        <v>48</v>
      </c>
      <c r="B55" s="134"/>
      <c r="C55" s="134"/>
      <c r="D55" s="134"/>
      <c r="E55" s="135" t="str">
        <f>IF(Bets!AN49="Y","PLACED — frozen","")</f>
        <v/>
      </c>
      <c r="F55" s="136">
        <f>IF(Bets!AN49="Y",Bets!I49,IF(B55="",Bets!I49,B55))</f>
        <v>0.6611685636</v>
      </c>
      <c r="G55" s="136">
        <f>IF(Bets!AN49="Y",Bets!J49,IF(C55="",Bets!J49,C55))</f>
        <v>0.225725989</v>
      </c>
      <c r="H55" s="136">
        <f>IF(Bets!AN49="Y",Bets!K49,IF(D55="",Bets!K49,D55))</f>
        <v>0.1131054475</v>
      </c>
      <c r="I55" s="2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33">
        <f>Bets!A50</f>
        <v>49</v>
      </c>
      <c r="B56" s="134"/>
      <c r="C56" s="134"/>
      <c r="D56" s="134"/>
      <c r="E56" s="135" t="str">
        <f>IF(Bets!AN50="Y","PLACED — frozen","")</f>
        <v/>
      </c>
      <c r="F56" s="136">
        <f>IF(Bets!AN50="Y",Bets!I50,IF(B56="",Bets!I50,B56))</f>
        <v>0.376151341</v>
      </c>
      <c r="G56" s="136">
        <f>IF(Bets!AN50="Y",Bets!J50,IF(C56="",Bets!J50,C56))</f>
        <v>0.292418581</v>
      </c>
      <c r="H56" s="136">
        <f>IF(Bets!AN50="Y",Bets!K50,IF(D56="",Bets!K50,D56))</f>
        <v>0.331430078</v>
      </c>
      <c r="I56" s="2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133">
        <f>Bets!A51</f>
        <v>50</v>
      </c>
      <c r="B57" s="134"/>
      <c r="C57" s="134"/>
      <c r="D57" s="134"/>
      <c r="E57" s="135" t="str">
        <f>IF(Bets!AN51="Y","PLACED — frozen","")</f>
        <v/>
      </c>
      <c r="F57" s="136">
        <f>IF(Bets!AN51="Y",Bets!I51,IF(B57="",Bets!I51,B57))</f>
        <v>0.417956519</v>
      </c>
      <c r="G57" s="136">
        <f>IF(Bets!AN51="Y",Bets!J51,IF(C57="",Bets!J51,C57))</f>
        <v>0.3090465861</v>
      </c>
      <c r="H57" s="136">
        <f>IF(Bets!AN51="Y",Bets!K51,IF(D57="",Bets!K51,D57))</f>
        <v>0.2729968949</v>
      </c>
      <c r="I57" s="2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33">
        <f>Bets!A52</f>
        <v>51</v>
      </c>
      <c r="B58" s="134"/>
      <c r="C58" s="134"/>
      <c r="D58" s="134"/>
      <c r="E58" s="135" t="str">
        <f>IF(Bets!AN52="Y","PLACED — frozen","")</f>
        <v/>
      </c>
      <c r="F58" s="136">
        <f>IF(Bets!AN52="Y",Bets!I52,IF(B58="",Bets!I52,B58))</f>
        <v>0.2196652109</v>
      </c>
      <c r="G58" s="136">
        <f>IF(Bets!AN52="Y",Bets!J52,IF(C58="",Bets!J52,C58))</f>
        <v>0.2682373719</v>
      </c>
      <c r="H58" s="136">
        <f>IF(Bets!AN52="Y",Bets!K52,IF(D58="",Bets!K52,D58))</f>
        <v>0.5120974172</v>
      </c>
      <c r="I58" s="2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33">
        <f>Bets!A53</f>
        <v>52</v>
      </c>
      <c r="B59" s="134"/>
      <c r="C59" s="134"/>
      <c r="D59" s="134"/>
      <c r="E59" s="135" t="str">
        <f>IF(Bets!AN53="Y","PLACED — frozen","")</f>
        <v/>
      </c>
      <c r="F59" s="136">
        <f>IF(Bets!AN53="Y",Bets!I53,IF(B59="",Bets!I53,B59))</f>
        <v>0.6506728554</v>
      </c>
      <c r="G59" s="136">
        <f>IF(Bets!AN53="Y",Bets!J53,IF(C59="",Bets!J53,C59))</f>
        <v>0.2331037329</v>
      </c>
      <c r="H59" s="136">
        <f>IF(Bets!AN53="Y",Bets!K53,IF(D59="",Bets!K53,D59))</f>
        <v>0.1162234117</v>
      </c>
      <c r="I59" s="2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33">
        <f>Bets!A54</f>
        <v>53</v>
      </c>
      <c r="B60" s="134"/>
      <c r="C60" s="134"/>
      <c r="D60" s="134"/>
      <c r="E60" s="135" t="str">
        <f>IF(Bets!AN54="Y","PLACED — frozen","")</f>
        <v/>
      </c>
      <c r="F60" s="136">
        <f>IF(Bets!AN54="Y",Bets!I54,IF(B60="",Bets!I54,B60))</f>
        <v>0.1429388451</v>
      </c>
      <c r="G60" s="136">
        <f>IF(Bets!AN54="Y",Bets!J54,IF(C60="",Bets!J54,C60))</f>
        <v>0.2389508194</v>
      </c>
      <c r="H60" s="136">
        <f>IF(Bets!AN54="Y",Bets!K54,IF(D60="",Bets!K54,D60))</f>
        <v>0.6181103355</v>
      </c>
      <c r="I60" s="2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133">
        <f>Bets!A55</f>
        <v>54</v>
      </c>
      <c r="B61" s="134"/>
      <c r="C61" s="134"/>
      <c r="D61" s="134"/>
      <c r="E61" s="135" t="str">
        <f>IF(Bets!AN55="Y","PLACED — frozen","")</f>
        <v/>
      </c>
      <c r="F61" s="136">
        <f>IF(Bets!AN55="Y",Bets!I55,IF(B61="",Bets!I55,B61))</f>
        <v>0.1676627162</v>
      </c>
      <c r="G61" s="136">
        <f>IF(Bets!AN55="Y",Bets!J55,IF(C61="",Bets!J55,C61))</f>
        <v>0.2794829138</v>
      </c>
      <c r="H61" s="136">
        <f>IF(Bets!AN55="Y",Bets!K55,IF(D61="",Bets!K55,D61))</f>
        <v>0.55285437</v>
      </c>
      <c r="I61" s="2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133">
        <f>Bets!A56</f>
        <v>55</v>
      </c>
      <c r="B62" s="134"/>
      <c r="C62" s="134"/>
      <c r="D62" s="134"/>
      <c r="E62" s="135" t="str">
        <f>IF(Bets!AN56="Y","PLACED — frozen","")</f>
        <v/>
      </c>
      <c r="F62" s="136">
        <f>IF(Bets!AN56="Y",Bets!I56,IF(B62="",Bets!I56,B62))</f>
        <v>0.2843974187</v>
      </c>
      <c r="G62" s="136">
        <f>IF(Bets!AN56="Y",Bets!J56,IF(C62="",Bets!J56,C62))</f>
        <v>0.2809225681</v>
      </c>
      <c r="H62" s="136">
        <f>IF(Bets!AN56="Y",Bets!K56,IF(D62="",Bets!K56,D62))</f>
        <v>0.4346800131</v>
      </c>
      <c r="I62" s="2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33">
        <f>Bets!A57</f>
        <v>56</v>
      </c>
      <c r="B63" s="134"/>
      <c r="C63" s="134"/>
      <c r="D63" s="134"/>
      <c r="E63" s="135" t="str">
        <f>IF(Bets!AN57="Y","PLACED — frozen","")</f>
        <v/>
      </c>
      <c r="F63" s="136">
        <f>IF(Bets!AN57="Y",Bets!I57,IF(B63="",Bets!I57,B63))</f>
        <v>0.1306680609</v>
      </c>
      <c r="G63" s="136">
        <f>IF(Bets!AN57="Y",Bets!J57,IF(C63="",Bets!J57,C63))</f>
        <v>0.2391145301</v>
      </c>
      <c r="H63" s="136">
        <f>IF(Bets!AN57="Y",Bets!K57,IF(D63="",Bets!K57,D63))</f>
        <v>0.630217409</v>
      </c>
      <c r="I63" s="2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133">
        <f>Bets!A58</f>
        <v>57</v>
      </c>
      <c r="B64" s="134"/>
      <c r="C64" s="134"/>
      <c r="D64" s="134"/>
      <c r="E64" s="135" t="str">
        <f>IF(Bets!AN58="Y","PLACED — frozen","")</f>
        <v/>
      </c>
      <c r="F64" s="136">
        <f>IF(Bets!AN58="Y",Bets!I58,IF(B64="",Bets!I58,B64))</f>
        <v>0.5740051247</v>
      </c>
      <c r="G64" s="136">
        <f>IF(Bets!AN58="Y",Bets!J58,IF(C64="",Bets!J58,C64))</f>
        <v>0.2496616579</v>
      </c>
      <c r="H64" s="136">
        <f>IF(Bets!AN58="Y",Bets!K58,IF(D64="",Bets!K58,D64))</f>
        <v>0.1763332174</v>
      </c>
      <c r="I64" s="2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133">
        <f>Bets!A59</f>
        <v>58</v>
      </c>
      <c r="B65" s="134"/>
      <c r="C65" s="134"/>
      <c r="D65" s="134"/>
      <c r="E65" s="135" t="str">
        <f>IF(Bets!AN59="Y","PLACED — frozen","")</f>
        <v/>
      </c>
      <c r="F65" s="136">
        <f>IF(Bets!AN59="Y",Bets!I59,IF(B65="",Bets!I59,B65))</f>
        <v>0.1325366339</v>
      </c>
      <c r="G65" s="136">
        <f>IF(Bets!AN59="Y",Bets!J59,IF(C65="",Bets!J59,C65))</f>
        <v>0.2396439142</v>
      </c>
      <c r="H65" s="136">
        <f>IF(Bets!AN59="Y",Bets!K59,IF(D65="",Bets!K59,D65))</f>
        <v>0.627819452</v>
      </c>
      <c r="I65" s="2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133">
        <f>Bets!A60</f>
        <v>59</v>
      </c>
      <c r="B66" s="134"/>
      <c r="C66" s="134"/>
      <c r="D66" s="134"/>
      <c r="E66" s="135" t="str">
        <f>IF(Bets!AN60="Y","PLACED — frozen","")</f>
        <v/>
      </c>
      <c r="F66" s="136">
        <f>IF(Bets!AN60="Y",Bets!I60,IF(B66="",Bets!I60,B66))</f>
        <v>0.4547801143</v>
      </c>
      <c r="G66" s="136">
        <f>IF(Bets!AN60="Y",Bets!J60,IF(C66="",Bets!J60,C66))</f>
        <v>0.2680654359</v>
      </c>
      <c r="H66" s="136">
        <f>IF(Bets!AN60="Y",Bets!K60,IF(D66="",Bets!K60,D66))</f>
        <v>0.2771544498</v>
      </c>
      <c r="I66" s="2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133">
        <f>Bets!A61</f>
        <v>60</v>
      </c>
      <c r="B67" s="134"/>
      <c r="C67" s="134"/>
      <c r="D67" s="134"/>
      <c r="E67" s="135" t="str">
        <f>IF(Bets!AN61="Y","PLACED — frozen","")</f>
        <v/>
      </c>
      <c r="F67" s="136">
        <f>IF(Bets!AN61="Y",Bets!I61,IF(B67="",Bets!I61,B67))</f>
        <v>0.3585776597</v>
      </c>
      <c r="G67" s="136">
        <f>IF(Bets!AN61="Y",Bets!J61,IF(C67="",Bets!J61,C67))</f>
        <v>0.3079762394</v>
      </c>
      <c r="H67" s="136">
        <f>IF(Bets!AN61="Y",Bets!K61,IF(D67="",Bets!K61,D67))</f>
        <v>0.3334461008</v>
      </c>
      <c r="I67" s="2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133">
        <f>Bets!A62</f>
        <v>61</v>
      </c>
      <c r="B68" s="134"/>
      <c r="C68" s="134"/>
      <c r="D68" s="134"/>
      <c r="E68" s="135" t="str">
        <f>IF(Bets!AN62="Y","PLACED — frozen","")</f>
        <v/>
      </c>
      <c r="F68" s="136">
        <f>IF(Bets!AN62="Y",Bets!I62,IF(B68="",Bets!I62,B68))</f>
        <v>0.2843597429</v>
      </c>
      <c r="G68" s="136">
        <f>IF(Bets!AN62="Y",Bets!J62,IF(C68="",Bets!J62,C68))</f>
        <v>0.2728926205</v>
      </c>
      <c r="H68" s="136">
        <f>IF(Bets!AN62="Y",Bets!K62,IF(D68="",Bets!K62,D68))</f>
        <v>0.4427476366</v>
      </c>
      <c r="I68" s="2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133">
        <f>Bets!A63</f>
        <v>62</v>
      </c>
      <c r="B69" s="134"/>
      <c r="C69" s="134"/>
      <c r="D69" s="134"/>
      <c r="E69" s="135" t="str">
        <f>IF(Bets!AN63="Y","PLACED — frozen","")</f>
        <v/>
      </c>
      <c r="F69" s="136">
        <f>IF(Bets!AN63="Y",Bets!I63,IF(B69="",Bets!I63,B69))</f>
        <v>0.5432609724</v>
      </c>
      <c r="G69" s="136">
        <f>IF(Bets!AN63="Y",Bets!J63,IF(C69="",Bets!J63,C69))</f>
        <v>0.2717801659</v>
      </c>
      <c r="H69" s="136">
        <f>IF(Bets!AN63="Y",Bets!K63,IF(D69="",Bets!K63,D69))</f>
        <v>0.1849588617</v>
      </c>
      <c r="I69" s="2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133">
        <f>Bets!A64</f>
        <v>63</v>
      </c>
      <c r="B70" s="134"/>
      <c r="C70" s="134"/>
      <c r="D70" s="134"/>
      <c r="E70" s="135" t="str">
        <f>IF(Bets!AN64="Y","PLACED — frozen","")</f>
        <v/>
      </c>
      <c r="F70" s="136">
        <f>IF(Bets!AN64="Y",Bets!I64,IF(B70="",Bets!I64,B70))</f>
        <v>0.07590899401</v>
      </c>
      <c r="G70" s="136">
        <f>IF(Bets!AN64="Y",Bets!J64,IF(C70="",Bets!J64,C70))</f>
        <v>0.2285489878</v>
      </c>
      <c r="H70" s="136">
        <f>IF(Bets!AN64="Y",Bets!K64,IF(D70="",Bets!K64,D70))</f>
        <v>0.6955420182</v>
      </c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133">
        <f>Bets!A65</f>
        <v>64</v>
      </c>
      <c r="B71" s="134"/>
      <c r="C71" s="134"/>
      <c r="D71" s="134"/>
      <c r="E71" s="135" t="str">
        <f>IF(Bets!AN65="Y","PLACED — frozen","")</f>
        <v/>
      </c>
      <c r="F71" s="136">
        <f>IF(Bets!AN65="Y",Bets!I65,IF(B71="",Bets!I65,B71))</f>
        <v>0.320784102</v>
      </c>
      <c r="G71" s="136">
        <f>IF(Bets!AN65="Y",Bets!J65,IF(C71="",Bets!J65,C71))</f>
        <v>0.3209501677</v>
      </c>
      <c r="H71" s="136">
        <f>IF(Bets!AN65="Y",Bets!K65,IF(D71="",Bets!K65,D71))</f>
        <v>0.3582657304</v>
      </c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133">
        <f>Bets!A66</f>
        <v>65</v>
      </c>
      <c r="B72" s="134"/>
      <c r="C72" s="134"/>
      <c r="D72" s="134"/>
      <c r="E72" s="135" t="str">
        <f>IF(Bets!AN66="Y","PLACED — frozen","")</f>
        <v/>
      </c>
      <c r="F72" s="136">
        <f>IF(Bets!AN66="Y",Bets!I66,IF(B72="",Bets!I66,B72))</f>
        <v>0.3059712138</v>
      </c>
      <c r="G72" s="136">
        <f>IF(Bets!AN66="Y",Bets!J66,IF(C72="",Bets!J66,C72))</f>
        <v>0.3151495646</v>
      </c>
      <c r="H72" s="136">
        <f>IF(Bets!AN66="Y",Bets!K66,IF(D72="",Bets!K66,D72))</f>
        <v>0.3788792216</v>
      </c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133">
        <f>Bets!A67</f>
        <v>66</v>
      </c>
      <c r="B73" s="134"/>
      <c r="C73" s="134"/>
      <c r="D73" s="134"/>
      <c r="E73" s="135" t="str">
        <f>IF(Bets!AN67="Y","PLACED — frozen","")</f>
        <v/>
      </c>
      <c r="F73" s="136">
        <f>IF(Bets!AN67="Y",Bets!I67,IF(B73="",Bets!I67,B73))</f>
        <v>0.1991174686</v>
      </c>
      <c r="G73" s="136">
        <f>IF(Bets!AN67="Y",Bets!J67,IF(C73="",Bets!J67,C73))</f>
        <v>0.2703448359</v>
      </c>
      <c r="H73" s="136">
        <f>IF(Bets!AN67="Y",Bets!K67,IF(D73="",Bets!K67,D73))</f>
        <v>0.5305376955</v>
      </c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133">
        <f>Bets!A68</f>
        <v>67</v>
      </c>
      <c r="B74" s="134"/>
      <c r="C74" s="134"/>
      <c r="D74" s="134"/>
      <c r="E74" s="135" t="str">
        <f>IF(Bets!AN68="Y","PLACED — frozen","")</f>
        <v/>
      </c>
      <c r="F74" s="136">
        <f>IF(Bets!AN68="Y",Bets!I68,IF(B74="",Bets!I68,B74))</f>
        <v>0.1319143222</v>
      </c>
      <c r="G74" s="136">
        <f>IF(Bets!AN68="Y",Bets!J68,IF(C74="",Bets!J68,C74))</f>
        <v>0.218861312</v>
      </c>
      <c r="H74" s="136">
        <f>IF(Bets!AN68="Y",Bets!K68,IF(D74="",Bets!K68,D74))</f>
        <v>0.6492243658</v>
      </c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133">
        <f>Bets!A69</f>
        <v>68</v>
      </c>
      <c r="B75" s="134"/>
      <c r="C75" s="134"/>
      <c r="D75" s="134"/>
      <c r="E75" s="135" t="str">
        <f>IF(Bets!AN69="Y","PLACED — frozen","")</f>
        <v/>
      </c>
      <c r="F75" s="136">
        <f>IF(Bets!AN69="Y",Bets!I69,IF(B75="",Bets!I69,B75))</f>
        <v>0.6328395757</v>
      </c>
      <c r="G75" s="136">
        <f>IF(Bets!AN69="Y",Bets!J69,IF(C75="",Bets!J69,C75))</f>
        <v>0.2405784957</v>
      </c>
      <c r="H75" s="136">
        <f>IF(Bets!AN69="Y",Bets!K69,IF(D75="",Bets!K69,D75))</f>
        <v>0.1265819285</v>
      </c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133">
        <f>Bets!A70</f>
        <v>69</v>
      </c>
      <c r="B76" s="134"/>
      <c r="C76" s="134"/>
      <c r="D76" s="134"/>
      <c r="E76" s="135" t="str">
        <f>IF(Bets!AN70="Y","PLACED — frozen","")</f>
        <v/>
      </c>
      <c r="F76" s="136">
        <f>IF(Bets!AN70="Y",Bets!I70,IF(B76="",Bets!I70,B76))</f>
        <v>0.3528903184</v>
      </c>
      <c r="G76" s="136">
        <f>IF(Bets!AN70="Y",Bets!J70,IF(C76="",Bets!J70,C76))</f>
        <v>0.2865157716</v>
      </c>
      <c r="H76" s="136">
        <f>IF(Bets!AN70="Y",Bets!K70,IF(D76="",Bets!K70,D76))</f>
        <v>0.3605939101</v>
      </c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133">
        <f>Bets!A71</f>
        <v>70</v>
      </c>
      <c r="B77" s="134"/>
      <c r="C77" s="134"/>
      <c r="D77" s="134"/>
      <c r="E77" s="135" t="str">
        <f>IF(Bets!AN71="Y","PLACED — frozen","")</f>
        <v/>
      </c>
      <c r="F77" s="136">
        <f>IF(Bets!AN71="Y",Bets!I71,IF(B77="",Bets!I71,B77))</f>
        <v>0.2741106323</v>
      </c>
      <c r="G77" s="136">
        <f>IF(Bets!AN71="Y",Bets!J71,IF(C77="",Bets!J71,C77))</f>
        <v>0.3128495458</v>
      </c>
      <c r="H77" s="136">
        <f>IF(Bets!AN71="Y",Bets!K71,IF(D77="",Bets!K71,D77))</f>
        <v>0.4130398219</v>
      </c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133">
        <f>Bets!A72</f>
        <v>71</v>
      </c>
      <c r="B78" s="134"/>
      <c r="C78" s="134"/>
      <c r="D78" s="134"/>
      <c r="E78" s="135" t="str">
        <f>IF(Bets!AN72="Y","PLACED — frozen","")</f>
        <v/>
      </c>
      <c r="F78" s="136">
        <f>IF(Bets!AN72="Y",Bets!I72,IF(B78="",Bets!I72,B78))</f>
        <v>0.2958856263</v>
      </c>
      <c r="G78" s="136">
        <f>IF(Bets!AN72="Y",Bets!J72,IF(C78="",Bets!J72,C78))</f>
        <v>0.3200473303</v>
      </c>
      <c r="H78" s="136">
        <f>IF(Bets!AN72="Y",Bets!K72,IF(D78="",Bets!K72,D78))</f>
        <v>0.3840670433</v>
      </c>
      <c r="I78" s="2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133">
        <f>Bets!A73</f>
        <v>72</v>
      </c>
      <c r="B79" s="134"/>
      <c r="C79" s="134"/>
      <c r="D79" s="134"/>
      <c r="E79" s="135" t="str">
        <f>IF(Bets!AN73="Y","PLACED — frozen","")</f>
        <v/>
      </c>
      <c r="F79" s="136">
        <f>IF(Bets!AN73="Y",Bets!I73,IF(B79="",Bets!I73,B79))</f>
        <v>0.02642678233</v>
      </c>
      <c r="G79" s="136">
        <f>IF(Bets!AN73="Y",Bets!J73,IF(C79="",Bets!J73,C79))</f>
        <v>0.1317851204</v>
      </c>
      <c r="H79" s="136">
        <f>IF(Bets!AN73="Y",Bets!K73,IF(D79="",Bets!K73,D79))</f>
        <v>0.8417880972</v>
      </c>
      <c r="I79" s="2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H1"/>
    <mergeCell ref="A2:H2"/>
    <mergeCell ref="A3:H3"/>
    <mergeCell ref="A4:H4"/>
    <mergeCell ref="A5:H5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5" width="11.0"/>
    <col customWidth="1" min="6" max="6" width="14.0"/>
    <col customWidth="1" min="7" max="7" width="11.0"/>
    <col customWidth="1" min="8" max="11" width="9.0"/>
    <col customWidth="1" min="12" max="12" width="12.0"/>
    <col customWidth="1" min="13" max="13" width="10.0"/>
    <col customWidth="1" min="14" max="14" width="9.0"/>
    <col customWidth="1" min="15" max="15" width="16.71"/>
    <col customWidth="1" min="16" max="16" width="12.0"/>
    <col customWidth="1" min="17" max="18" width="11.0"/>
    <col customWidth="1" min="19" max="26" width="8.71"/>
  </cols>
  <sheetData>
    <row r="1">
      <c r="A1" s="137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38" t="s">
        <v>463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139" t="s">
        <v>440</v>
      </c>
      <c r="B3" s="139" t="s">
        <v>48</v>
      </c>
      <c r="C3" s="139" t="s">
        <v>464</v>
      </c>
      <c r="D3" s="139" t="s">
        <v>465</v>
      </c>
      <c r="E3" s="139" t="s">
        <v>466</v>
      </c>
      <c r="F3" s="139" t="s">
        <v>467</v>
      </c>
      <c r="G3" s="139" t="s">
        <v>468</v>
      </c>
      <c r="H3" s="139" t="s">
        <v>469</v>
      </c>
      <c r="I3" s="139" t="s">
        <v>470</v>
      </c>
      <c r="J3" s="139" t="s">
        <v>471</v>
      </c>
      <c r="K3" s="139" t="s">
        <v>472</v>
      </c>
      <c r="L3" s="139" t="s">
        <v>473</v>
      </c>
      <c r="M3" s="139" t="s">
        <v>446</v>
      </c>
      <c r="N3" s="139" t="s">
        <v>145</v>
      </c>
      <c r="O3" s="139" t="s">
        <v>474</v>
      </c>
      <c r="P3" s="139" t="s">
        <v>475</v>
      </c>
      <c r="Q3" s="139" t="s">
        <v>476</v>
      </c>
      <c r="R3" s="139" t="s">
        <v>477</v>
      </c>
    </row>
    <row r="4">
      <c r="A4" s="140" t="s">
        <v>240</v>
      </c>
      <c r="B4" s="71" t="s">
        <v>178</v>
      </c>
      <c r="C4" s="70">
        <v>0.2324</v>
      </c>
      <c r="D4" s="70">
        <v>0.22464</v>
      </c>
      <c r="E4" s="70">
        <v>0.2384</v>
      </c>
      <c r="F4" s="70">
        <v>0.013759999999999994</v>
      </c>
      <c r="G4" s="70">
        <v>0.95236</v>
      </c>
      <c r="H4" s="70">
        <v>0.7588799999999999</v>
      </c>
      <c r="I4" s="70">
        <v>0.57484</v>
      </c>
      <c r="J4" s="70">
        <v>0.47456</v>
      </c>
      <c r="K4" s="70">
        <v>0.34404</v>
      </c>
      <c r="L4" s="2"/>
      <c r="M4" s="48" t="str">
        <f t="shared" ref="M4:M51" si="1">IF(L4="","",1/L4)</f>
        <v/>
      </c>
      <c r="N4" s="48" t="str">
        <f t="shared" ref="N4:N51" si="2">IF(OR(L4="",C4=""),"",C4*L4-1)</f>
        <v/>
      </c>
      <c r="O4" s="48" t="str">
        <f>IF(Method!$B$55=TRUE(),"🛑 PAUSED",IF(N4="","",IF(N4&lt;Method!$B$7,"PASS","BET")))</f>
        <v>🛑 PAUSED</v>
      </c>
      <c r="P4" s="70">
        <v>0.7207600000000001</v>
      </c>
      <c r="Q4" s="70">
        <v>0.17256</v>
      </c>
      <c r="R4" s="70">
        <v>0.09656</v>
      </c>
    </row>
    <row r="5">
      <c r="A5" s="71" t="s">
        <v>261</v>
      </c>
      <c r="B5" s="71" t="s">
        <v>260</v>
      </c>
      <c r="C5" s="70">
        <v>0.19104000000000002</v>
      </c>
      <c r="D5" s="70">
        <v>0.18812</v>
      </c>
      <c r="E5" s="70">
        <v>0.19324</v>
      </c>
      <c r="F5" s="70">
        <v>0.005119999999999986</v>
      </c>
      <c r="G5" s="70">
        <v>0.9777600000000002</v>
      </c>
      <c r="H5" s="70">
        <v>0.7403599999999999</v>
      </c>
      <c r="I5" s="70">
        <v>0.6092000000000001</v>
      </c>
      <c r="J5" s="70">
        <v>0.45144</v>
      </c>
      <c r="K5" s="70">
        <v>0.31204</v>
      </c>
      <c r="L5" s="2"/>
      <c r="M5" s="48" t="str">
        <f t="shared" si="1"/>
        <v/>
      </c>
      <c r="N5" s="48" t="str">
        <f t="shared" si="2"/>
        <v/>
      </c>
      <c r="O5" s="48" t="str">
        <f>IF(Method!$B$55=TRUE(),"🛑 PAUSED",IF(N5="","",IF(N5&lt;Method!$B$7,"PASS","BET")))</f>
        <v>🛑 PAUSED</v>
      </c>
      <c r="P5" s="70">
        <v>0.77156</v>
      </c>
      <c r="Q5" s="70">
        <v>0.16560000000000002</v>
      </c>
      <c r="R5" s="70">
        <v>0.09644</v>
      </c>
    </row>
    <row r="6">
      <c r="A6" s="71" t="s">
        <v>256</v>
      </c>
      <c r="B6" s="71" t="s">
        <v>255</v>
      </c>
      <c r="C6" s="70">
        <v>0.09408</v>
      </c>
      <c r="D6" s="70">
        <v>0.08936000000000001</v>
      </c>
      <c r="E6" s="70">
        <v>0.0988</v>
      </c>
      <c r="F6" s="70">
        <v>0.00943999999999999</v>
      </c>
      <c r="G6" s="70">
        <v>0.9270799999999999</v>
      </c>
      <c r="H6" s="70">
        <v>0.67296</v>
      </c>
      <c r="I6" s="70">
        <v>0.45360000000000006</v>
      </c>
      <c r="J6" s="70">
        <v>0.2934</v>
      </c>
      <c r="K6" s="70">
        <v>0.16607999999999998</v>
      </c>
      <c r="L6" s="2"/>
      <c r="M6" s="48" t="str">
        <f t="shared" si="1"/>
        <v/>
      </c>
      <c r="N6" s="48" t="str">
        <f t="shared" si="2"/>
        <v/>
      </c>
      <c r="O6" s="48" t="str">
        <f>IF(Method!$B$55=TRUE(),"🛑 PAUSED",IF(N6="","",IF(N6&lt;Method!$B$7,"PASS","BET")))</f>
        <v>🛑 PAUSED</v>
      </c>
      <c r="P6" s="70">
        <v>0.5596</v>
      </c>
      <c r="Q6" s="70">
        <v>0.2718</v>
      </c>
      <c r="R6" s="70">
        <v>0.08144</v>
      </c>
    </row>
    <row r="7">
      <c r="A7" s="71" t="s">
        <v>272</v>
      </c>
      <c r="B7" s="71" t="s">
        <v>271</v>
      </c>
      <c r="C7" s="70">
        <v>0.06588</v>
      </c>
      <c r="D7" s="70">
        <v>0.06380000000000001</v>
      </c>
      <c r="E7" s="70">
        <v>0.06816</v>
      </c>
      <c r="F7" s="70">
        <v>0.004359999999999989</v>
      </c>
      <c r="G7" s="70">
        <v>0.92692</v>
      </c>
      <c r="H7" s="70">
        <v>0.61052</v>
      </c>
      <c r="I7" s="70">
        <v>0.36528</v>
      </c>
      <c r="J7" s="70">
        <v>0.22820000000000001</v>
      </c>
      <c r="K7" s="70">
        <v>0.12452</v>
      </c>
      <c r="L7" s="2"/>
      <c r="M7" s="48" t="str">
        <f t="shared" si="1"/>
        <v/>
      </c>
      <c r="N7" s="48" t="str">
        <f t="shared" si="2"/>
        <v/>
      </c>
      <c r="O7" s="48" t="str">
        <f>IF(Method!$B$55=TRUE(),"🛑 PAUSED",IF(N7="","",IF(N7&lt;Method!$B$7,"PASS","BET")))</f>
        <v>🛑 PAUSED</v>
      </c>
      <c r="P7" s="70">
        <v>0.5292399999999999</v>
      </c>
      <c r="Q7" s="70">
        <v>0.29388000000000003</v>
      </c>
      <c r="R7" s="70">
        <v>0.06260000000000002</v>
      </c>
    </row>
    <row r="8">
      <c r="A8" s="71" t="s">
        <v>278</v>
      </c>
      <c r="B8" s="71" t="s">
        <v>267</v>
      </c>
      <c r="C8" s="70">
        <v>0.05228000000000001</v>
      </c>
      <c r="D8" s="70">
        <v>0.05024</v>
      </c>
      <c r="E8" s="70">
        <v>0.05512</v>
      </c>
      <c r="F8" s="70">
        <v>0.004880000000000002</v>
      </c>
      <c r="G8" s="70">
        <v>0.89704</v>
      </c>
      <c r="H8" s="70">
        <v>0.5783600000000001</v>
      </c>
      <c r="I8" s="70">
        <v>0.3434</v>
      </c>
      <c r="J8" s="70">
        <v>0.19119999999999998</v>
      </c>
      <c r="K8" s="70">
        <v>0.10704</v>
      </c>
      <c r="L8" s="2"/>
      <c r="M8" s="48" t="str">
        <f t="shared" si="1"/>
        <v/>
      </c>
      <c r="N8" s="48" t="str">
        <f t="shared" si="2"/>
        <v/>
      </c>
      <c r="O8" s="48" t="str">
        <f>IF(Method!$B$55=TRUE(),"🛑 PAUSED",IF(N8="","",IF(N8&lt;Method!$B$7,"PASS","BET")))</f>
        <v>🛑 PAUSED</v>
      </c>
      <c r="P8" s="70">
        <v>0.4438</v>
      </c>
      <c r="Q8" s="70">
        <v>0.3378</v>
      </c>
      <c r="R8" s="70">
        <v>0.04651999999999999</v>
      </c>
    </row>
    <row r="9">
      <c r="A9" s="71" t="s">
        <v>268</v>
      </c>
      <c r="B9" s="71" t="s">
        <v>267</v>
      </c>
      <c r="C9" s="70">
        <v>0.04456</v>
      </c>
      <c r="D9" s="70">
        <v>0.0416</v>
      </c>
      <c r="E9" s="70">
        <v>0.047119999999999995</v>
      </c>
      <c r="F9" s="70">
        <v>0.005519999999999997</v>
      </c>
      <c r="G9" s="70">
        <v>0.88236</v>
      </c>
      <c r="H9" s="70">
        <v>0.55288</v>
      </c>
      <c r="I9" s="70">
        <v>0.3166399999999999</v>
      </c>
      <c r="J9" s="70">
        <v>0.17120000000000002</v>
      </c>
      <c r="K9" s="70">
        <v>0.09468</v>
      </c>
      <c r="L9" s="2"/>
      <c r="M9" s="48" t="str">
        <f t="shared" si="1"/>
        <v/>
      </c>
      <c r="N9" s="48" t="str">
        <f t="shared" si="2"/>
        <v/>
      </c>
      <c r="O9" s="48" t="str">
        <f>IF(Method!$B$55=TRUE(),"🛑 PAUSED",IF(N9="","",IF(N9&lt;Method!$B$7,"PASS","BET")))</f>
        <v>🛑 PAUSED</v>
      </c>
      <c r="P9" s="70">
        <v>0.418</v>
      </c>
      <c r="Q9" s="70">
        <v>0.33868</v>
      </c>
      <c r="R9" s="70">
        <v>0.04348</v>
      </c>
    </row>
    <row r="10">
      <c r="A10" s="71" t="s">
        <v>221</v>
      </c>
      <c r="B10" s="71" t="s">
        <v>220</v>
      </c>
      <c r="C10" s="70">
        <v>0.04308</v>
      </c>
      <c r="D10" s="70">
        <v>0.04144</v>
      </c>
      <c r="E10" s="70">
        <v>0.04544</v>
      </c>
      <c r="F10" s="70">
        <v>0.0040000000000000036</v>
      </c>
      <c r="G10" s="70">
        <v>0.9965200000000001</v>
      </c>
      <c r="H10" s="70">
        <v>0.61992</v>
      </c>
      <c r="I10" s="70">
        <v>0.32799999999999996</v>
      </c>
      <c r="J10" s="70">
        <v>0.19028</v>
      </c>
      <c r="K10" s="70">
        <v>0.08987999999999999</v>
      </c>
      <c r="L10" s="2"/>
      <c r="M10" s="48" t="str">
        <f t="shared" si="1"/>
        <v/>
      </c>
      <c r="N10" s="48" t="str">
        <f t="shared" si="2"/>
        <v/>
      </c>
      <c r="O10" s="48" t="str">
        <f>IF(Method!$B$55=TRUE(),"🛑 PAUSED",IF(N10="","",IF(N10&lt;Method!$B$7,"PASS","BET")))</f>
        <v>🛑 PAUSED</v>
      </c>
      <c r="P10" s="70">
        <v>0.6934000000000001</v>
      </c>
      <c r="Q10" s="70">
        <v>0.20284</v>
      </c>
      <c r="R10" s="70">
        <v>0.054279999999999995</v>
      </c>
    </row>
    <row r="11">
      <c r="A11" s="71" t="s">
        <v>206</v>
      </c>
      <c r="B11" s="71" t="s">
        <v>205</v>
      </c>
      <c r="C11" s="70">
        <v>0.04284</v>
      </c>
      <c r="D11" s="70">
        <v>0.04096</v>
      </c>
      <c r="E11" s="70">
        <v>0.04468</v>
      </c>
      <c r="F11" s="70">
        <v>0.003719999999999994</v>
      </c>
      <c r="G11" s="70">
        <v>0.9036</v>
      </c>
      <c r="H11" s="70">
        <v>0.5715600000000001</v>
      </c>
      <c r="I11" s="70">
        <v>0.34908</v>
      </c>
      <c r="J11" s="70">
        <v>0.19672</v>
      </c>
      <c r="K11" s="70">
        <v>0.09296</v>
      </c>
      <c r="L11" s="2"/>
      <c r="M11" s="48" t="str">
        <f t="shared" si="1"/>
        <v/>
      </c>
      <c r="N11" s="48" t="str">
        <f t="shared" si="2"/>
        <v/>
      </c>
      <c r="O11" s="48" t="str">
        <f>IF(Method!$B$55=TRUE(),"🛑 PAUSED",IF(N11="","",IF(N11&lt;Method!$B$7,"PASS","BET")))</f>
        <v>🛑 PAUSED</v>
      </c>
      <c r="P11" s="70">
        <v>0.4126</v>
      </c>
      <c r="Q11" s="70">
        <v>0.32896000000000003</v>
      </c>
      <c r="R11" s="70">
        <v>0.056440000000000004</v>
      </c>
    </row>
    <row r="12">
      <c r="A12" s="71" t="s">
        <v>226</v>
      </c>
      <c r="B12" s="71" t="s">
        <v>225</v>
      </c>
      <c r="C12" s="70">
        <v>0.03244</v>
      </c>
      <c r="D12" s="70">
        <v>0.028319999999999998</v>
      </c>
      <c r="E12" s="70">
        <v>0.03576</v>
      </c>
      <c r="F12" s="70">
        <v>0.007440000000000002</v>
      </c>
      <c r="G12" s="70">
        <v>0.9061199999999999</v>
      </c>
      <c r="H12" s="70">
        <v>0.5116400000000001</v>
      </c>
      <c r="I12" s="70">
        <v>0.3114</v>
      </c>
      <c r="J12" s="70">
        <v>0.16776</v>
      </c>
      <c r="K12" s="70">
        <v>0.07072</v>
      </c>
      <c r="L12" s="2"/>
      <c r="M12" s="48" t="str">
        <f t="shared" si="1"/>
        <v/>
      </c>
      <c r="N12" s="48" t="str">
        <f t="shared" si="2"/>
        <v/>
      </c>
      <c r="O12" s="48" t="str">
        <f>IF(Method!$B$55=TRUE(),"🛑 PAUSED",IF(N12="","",IF(N12&lt;Method!$B$7,"PASS","BET")))</f>
        <v>🛑 PAUSED</v>
      </c>
      <c r="P12" s="70">
        <v>0.41176</v>
      </c>
      <c r="Q12" s="70">
        <v>0.34703999999999996</v>
      </c>
      <c r="R12" s="70">
        <v>0.05184</v>
      </c>
    </row>
    <row r="13">
      <c r="A13" s="71" t="s">
        <v>173</v>
      </c>
      <c r="B13" s="71" t="s">
        <v>172</v>
      </c>
      <c r="C13" s="70">
        <v>0.02104</v>
      </c>
      <c r="D13" s="70">
        <v>0.01832</v>
      </c>
      <c r="E13" s="70">
        <v>0.02296</v>
      </c>
      <c r="F13" s="70">
        <v>0.004640000000000002</v>
      </c>
      <c r="G13" s="70">
        <v>0.9911999999999999</v>
      </c>
      <c r="H13" s="70">
        <v>0.5985199999999999</v>
      </c>
      <c r="I13" s="70">
        <v>0.29524</v>
      </c>
      <c r="J13" s="70">
        <v>0.1378</v>
      </c>
      <c r="K13" s="70">
        <v>0.054759999999999996</v>
      </c>
      <c r="L13" s="2"/>
      <c r="M13" s="48" t="str">
        <f t="shared" si="1"/>
        <v/>
      </c>
      <c r="N13" s="48" t="str">
        <f t="shared" si="2"/>
        <v/>
      </c>
      <c r="O13" s="48" t="str">
        <f>IF(Method!$B$55=TRUE(),"🛑 PAUSED",IF(N13="","",IF(N13&lt;Method!$B$7,"PASS","BET")))</f>
        <v>🛑 PAUSED</v>
      </c>
      <c r="P13" s="70">
        <v>0.70912</v>
      </c>
      <c r="Q13" s="70">
        <v>0.22347999999999998</v>
      </c>
      <c r="R13" s="70">
        <v>0.03704</v>
      </c>
    </row>
    <row r="14">
      <c r="A14" s="71" t="s">
        <v>227</v>
      </c>
      <c r="B14" s="71" t="s">
        <v>225</v>
      </c>
      <c r="C14" s="70">
        <v>0.019360000000000002</v>
      </c>
      <c r="D14" s="70">
        <v>0.01788</v>
      </c>
      <c r="E14" s="70">
        <v>0.020800000000000003</v>
      </c>
      <c r="F14" s="70">
        <v>0.0029200000000000025</v>
      </c>
      <c r="G14" s="70">
        <v>0.8851600000000002</v>
      </c>
      <c r="H14" s="70">
        <v>0.44139999999999996</v>
      </c>
      <c r="I14" s="70">
        <v>0.24348</v>
      </c>
      <c r="J14" s="70">
        <v>0.11667999999999998</v>
      </c>
      <c r="K14" s="70">
        <v>0.049159999999999995</v>
      </c>
      <c r="L14" s="2"/>
      <c r="M14" s="48" t="str">
        <f t="shared" si="1"/>
        <v/>
      </c>
      <c r="N14" s="48" t="str">
        <f t="shared" si="2"/>
        <v/>
      </c>
      <c r="O14" s="48" t="str">
        <f>IF(Method!$B$55=TRUE(),"🛑 PAUSED",IF(N14="","",IF(N14&lt;Method!$B$7,"PASS","BET")))</f>
        <v>🛑 PAUSED</v>
      </c>
      <c r="P14" s="70">
        <v>0.33775999999999995</v>
      </c>
      <c r="Q14" s="70">
        <v>0.3776</v>
      </c>
      <c r="R14" s="70">
        <v>0.032</v>
      </c>
    </row>
    <row r="15">
      <c r="A15" s="71" t="s">
        <v>207</v>
      </c>
      <c r="B15" s="71" t="s">
        <v>205</v>
      </c>
      <c r="C15" s="70">
        <v>0.01924</v>
      </c>
      <c r="D15" s="70">
        <v>0.01636</v>
      </c>
      <c r="E15" s="70">
        <v>0.02288</v>
      </c>
      <c r="F15" s="70">
        <v>0.0065200000000000015</v>
      </c>
      <c r="G15" s="70">
        <v>0.86584</v>
      </c>
      <c r="H15" s="70">
        <v>0.46012000000000003</v>
      </c>
      <c r="I15" s="70">
        <v>0.25844</v>
      </c>
      <c r="J15" s="70">
        <v>0.12308000000000001</v>
      </c>
      <c r="K15" s="70">
        <v>0.04892</v>
      </c>
      <c r="L15" s="2"/>
      <c r="M15" s="48" t="str">
        <f t="shared" si="1"/>
        <v/>
      </c>
      <c r="N15" s="48" t="str">
        <f t="shared" si="2"/>
        <v/>
      </c>
      <c r="O15" s="48" t="str">
        <f>IF(Method!$B$55=TRUE(),"🛑 PAUSED",IF(N15="","",IF(N15&lt;Method!$B$7,"PASS","BET")))</f>
        <v>🛑 PAUSED</v>
      </c>
      <c r="P15" s="70">
        <v>0.3012</v>
      </c>
      <c r="Q15" s="70">
        <v>0.36732</v>
      </c>
      <c r="R15" s="70">
        <v>0.034359999999999995</v>
      </c>
    </row>
    <row r="16">
      <c r="A16" s="71" t="s">
        <v>231</v>
      </c>
      <c r="B16" s="71" t="s">
        <v>220</v>
      </c>
      <c r="C16" s="70">
        <v>0.0178</v>
      </c>
      <c r="D16" s="70">
        <v>0.0164</v>
      </c>
      <c r="E16" s="70">
        <v>0.019880000000000002</v>
      </c>
      <c r="F16" s="70">
        <v>0.0034800000000000005</v>
      </c>
      <c r="G16" s="70">
        <v>0.7314</v>
      </c>
      <c r="H16" s="70">
        <v>0.40788</v>
      </c>
      <c r="I16" s="70">
        <v>0.21812</v>
      </c>
      <c r="J16" s="70">
        <v>0.10211999999999999</v>
      </c>
      <c r="K16" s="70">
        <v>0.045</v>
      </c>
      <c r="L16" s="2"/>
      <c r="M16" s="48" t="str">
        <f t="shared" si="1"/>
        <v/>
      </c>
      <c r="N16" s="48" t="str">
        <f t="shared" si="2"/>
        <v/>
      </c>
      <c r="O16" s="48" t="str">
        <f>IF(Method!$B$55=TRUE(),"🛑 PAUSED",IF(N16="","",IF(N16&lt;Method!$B$7,"PASS","BET")))</f>
        <v>🛑 PAUSED</v>
      </c>
      <c r="P16" s="70">
        <v>0.04192</v>
      </c>
      <c r="Q16" s="70">
        <v>0.24411999999999998</v>
      </c>
      <c r="R16" s="70">
        <v>0.027639999999999998</v>
      </c>
    </row>
    <row r="17">
      <c r="A17" s="71" t="s">
        <v>259</v>
      </c>
      <c r="B17" s="71" t="s">
        <v>255</v>
      </c>
      <c r="C17" s="70">
        <v>0.017599999999999998</v>
      </c>
      <c r="D17" s="70">
        <v>0.0166</v>
      </c>
      <c r="E17" s="70">
        <v>0.01872</v>
      </c>
      <c r="F17" s="70">
        <v>0.0021200000000000004</v>
      </c>
      <c r="G17" s="70">
        <v>0.8048400000000001</v>
      </c>
      <c r="H17" s="70">
        <v>0.47431999999999996</v>
      </c>
      <c r="I17" s="70">
        <v>0.25220000000000004</v>
      </c>
      <c r="J17" s="70">
        <v>0.12412000000000001</v>
      </c>
      <c r="K17" s="70">
        <v>0.04736</v>
      </c>
      <c r="L17" s="2"/>
      <c r="M17" s="48" t="str">
        <f t="shared" si="1"/>
        <v/>
      </c>
      <c r="N17" s="48" t="str">
        <f t="shared" si="2"/>
        <v/>
      </c>
      <c r="O17" s="48" t="str">
        <f>IF(Method!$B$55=TRUE(),"🛑 PAUSED",IF(N17="","",IF(N17&lt;Method!$B$7,"PASS","BET")))</f>
        <v>🛑 PAUSED</v>
      </c>
      <c r="P17" s="70">
        <v>0.28256000000000003</v>
      </c>
      <c r="Q17" s="70">
        <v>0.35824</v>
      </c>
      <c r="R17" s="70">
        <v>0.03476</v>
      </c>
    </row>
    <row r="18">
      <c r="A18" s="71" t="s">
        <v>273</v>
      </c>
      <c r="B18" s="71" t="s">
        <v>271</v>
      </c>
      <c r="C18" s="70">
        <v>0.012320000000000001</v>
      </c>
      <c r="D18" s="70">
        <v>0.0112</v>
      </c>
      <c r="E18" s="70">
        <v>0.015040000000000001</v>
      </c>
      <c r="F18" s="70">
        <v>0.0038400000000000014</v>
      </c>
      <c r="G18" s="70">
        <v>0.8408</v>
      </c>
      <c r="H18" s="70">
        <v>0.4364</v>
      </c>
      <c r="I18" s="70">
        <v>0.19872</v>
      </c>
      <c r="J18" s="70">
        <v>0.09484000000000001</v>
      </c>
      <c r="K18" s="70">
        <v>0.037</v>
      </c>
      <c r="L18" s="2"/>
      <c r="M18" s="48" t="str">
        <f t="shared" si="1"/>
        <v/>
      </c>
      <c r="N18" s="48" t="str">
        <f t="shared" si="2"/>
        <v/>
      </c>
      <c r="O18" s="48" t="str">
        <f>IF(Method!$B$55=TRUE(),"🛑 PAUSED",IF(N18="","",IF(N18&lt;Method!$B$7,"PASS","BET")))</f>
        <v>🛑 PAUSED</v>
      </c>
      <c r="P18" s="70">
        <v>0.32208</v>
      </c>
      <c r="Q18" s="70">
        <v>0.36188000000000003</v>
      </c>
      <c r="R18" s="70">
        <v>0.027360000000000002</v>
      </c>
    </row>
    <row r="19">
      <c r="A19" s="71" t="s">
        <v>246</v>
      </c>
      <c r="B19" s="71" t="s">
        <v>245</v>
      </c>
      <c r="C19" s="70">
        <v>0.011559999999999999</v>
      </c>
      <c r="D19" s="70">
        <v>0.0106</v>
      </c>
      <c r="E19" s="70">
        <v>0.012839999999999999</v>
      </c>
      <c r="F19" s="70">
        <v>0.002239999999999999</v>
      </c>
      <c r="G19" s="70">
        <v>0.79088</v>
      </c>
      <c r="H19" s="70">
        <v>0.4722799999999999</v>
      </c>
      <c r="I19" s="70">
        <v>0.22656</v>
      </c>
      <c r="J19" s="70">
        <v>0.0804</v>
      </c>
      <c r="K19" s="70">
        <v>0.034199999999999994</v>
      </c>
      <c r="L19" s="2"/>
      <c r="M19" s="48" t="str">
        <f t="shared" si="1"/>
        <v/>
      </c>
      <c r="N19" s="48" t="str">
        <f t="shared" si="2"/>
        <v/>
      </c>
      <c r="O19" s="48" t="str">
        <f>IF(Method!$B$55=TRUE(),"🛑 PAUSED",IF(N19="","",IF(N19&lt;Method!$B$7,"PASS","BET")))</f>
        <v>🛑 PAUSED</v>
      </c>
      <c r="P19" s="70">
        <v>0.38624</v>
      </c>
      <c r="Q19" s="70">
        <v>0.25844</v>
      </c>
      <c r="R19" s="70">
        <v>0.0198</v>
      </c>
    </row>
    <row r="20">
      <c r="A20" s="71" t="s">
        <v>201</v>
      </c>
      <c r="B20" s="71" t="s">
        <v>187</v>
      </c>
      <c r="C20" s="70">
        <v>0.01132</v>
      </c>
      <c r="D20" s="70">
        <v>0.01052</v>
      </c>
      <c r="E20" s="70">
        <v>0.01224</v>
      </c>
      <c r="F20" s="70">
        <v>0.0017199999999999993</v>
      </c>
      <c r="G20" s="70">
        <v>0.83308</v>
      </c>
      <c r="H20" s="70">
        <v>0.5102800000000001</v>
      </c>
      <c r="I20" s="70">
        <v>0.24628</v>
      </c>
      <c r="J20" s="70">
        <v>0.08808</v>
      </c>
      <c r="K20" s="70">
        <v>0.036</v>
      </c>
      <c r="L20" s="2"/>
      <c r="M20" s="48" t="str">
        <f t="shared" si="1"/>
        <v/>
      </c>
      <c r="N20" s="48" t="str">
        <f t="shared" si="2"/>
        <v/>
      </c>
      <c r="O20" s="48" t="str">
        <f>IF(Method!$B$55=TRUE(),"🛑 PAUSED",IF(N20="","",IF(N20&lt;Method!$B$7,"PASS","BET")))</f>
        <v>🛑 PAUSED</v>
      </c>
      <c r="P20" s="70">
        <v>0.42736</v>
      </c>
      <c r="Q20" s="70">
        <v>0.28452</v>
      </c>
      <c r="R20" s="70">
        <v>0.022719999999999997</v>
      </c>
    </row>
    <row r="21" ht="15.75" customHeight="1">
      <c r="A21" s="71" t="s">
        <v>215</v>
      </c>
      <c r="B21" s="71" t="s">
        <v>193</v>
      </c>
      <c r="C21" s="70">
        <v>0.00996</v>
      </c>
      <c r="D21" s="70">
        <v>0.0074800000000000005</v>
      </c>
      <c r="E21" s="70">
        <v>0.01292</v>
      </c>
      <c r="F21" s="70">
        <v>0.005439999999999999</v>
      </c>
      <c r="G21" s="70">
        <v>0.9096400000000001</v>
      </c>
      <c r="H21" s="70">
        <v>0.50392</v>
      </c>
      <c r="I21" s="70">
        <v>0.19788</v>
      </c>
      <c r="J21" s="70">
        <v>0.07112</v>
      </c>
      <c r="K21" s="70">
        <v>0.028559999999999995</v>
      </c>
      <c r="L21" s="2"/>
      <c r="M21" s="48" t="str">
        <f t="shared" si="1"/>
        <v/>
      </c>
      <c r="N21" s="48" t="str">
        <f t="shared" si="2"/>
        <v/>
      </c>
      <c r="O21" s="48" t="str">
        <f>IF(Method!$B$55=TRUE(),"🛑 PAUSED",IF(N21="","",IF(N21&lt;Method!$B$7,"PASS","BET")))</f>
        <v>🛑 PAUSED</v>
      </c>
      <c r="P21" s="70">
        <v>0.32472</v>
      </c>
      <c r="Q21" s="70">
        <v>0.39827999999999997</v>
      </c>
      <c r="R21" s="70">
        <v>0.01584</v>
      </c>
    </row>
    <row r="22" ht="15.75" customHeight="1">
      <c r="A22" s="71" t="s">
        <v>250</v>
      </c>
      <c r="B22" s="71" t="s">
        <v>178</v>
      </c>
      <c r="C22" s="70">
        <v>0.009680000000000001</v>
      </c>
      <c r="D22" s="70">
        <v>0.00764</v>
      </c>
      <c r="E22" s="70">
        <v>0.01308</v>
      </c>
      <c r="F22" s="70">
        <v>0.0054399999999999995</v>
      </c>
      <c r="G22" s="70">
        <v>0.6975199999999999</v>
      </c>
      <c r="H22" s="70">
        <v>0.28568000000000005</v>
      </c>
      <c r="I22" s="70">
        <v>0.14764</v>
      </c>
      <c r="J22" s="70">
        <v>0.0664</v>
      </c>
      <c r="K22" s="70">
        <v>0.02864</v>
      </c>
      <c r="L22" s="2"/>
      <c r="M22" s="48" t="str">
        <f t="shared" si="1"/>
        <v/>
      </c>
      <c r="N22" s="48" t="str">
        <f t="shared" si="2"/>
        <v/>
      </c>
      <c r="O22" s="48" t="str">
        <f>IF(Method!$B$55=TRUE(),"🛑 PAUSED",IF(N22="","",IF(N22&lt;Method!$B$7,"PASS","BET")))</f>
        <v>🛑 PAUSED</v>
      </c>
      <c r="P22" s="70">
        <v>0.14292</v>
      </c>
      <c r="Q22" s="70">
        <v>0.38112</v>
      </c>
      <c r="R22" s="70">
        <v>0.01404</v>
      </c>
    </row>
    <row r="23" ht="15.75" customHeight="1">
      <c r="A23" s="71" t="s">
        <v>216</v>
      </c>
      <c r="B23" s="71" t="s">
        <v>193</v>
      </c>
      <c r="C23" s="70">
        <v>0.00796</v>
      </c>
      <c r="D23" s="70">
        <v>0.00708</v>
      </c>
      <c r="E23" s="70">
        <v>0.00876</v>
      </c>
      <c r="F23" s="70">
        <v>0.00168</v>
      </c>
      <c r="G23" s="70">
        <v>0.5522799999999999</v>
      </c>
      <c r="H23" s="70">
        <v>0.29491999999999996</v>
      </c>
      <c r="I23" s="70">
        <v>0.12096</v>
      </c>
      <c r="J23" s="70">
        <v>0.05347999999999999</v>
      </c>
      <c r="K23" s="70">
        <v>0.02104</v>
      </c>
      <c r="L23" s="2"/>
      <c r="M23" s="48" t="str">
        <f t="shared" si="1"/>
        <v/>
      </c>
      <c r="N23" s="48" t="str">
        <f t="shared" si="2"/>
        <v/>
      </c>
      <c r="O23" s="48" t="str">
        <f>IF(Method!$B$55=TRUE(),"🛑 PAUSED",IF(N23="","",IF(N23&lt;Method!$B$7,"PASS","BET")))</f>
        <v>🛑 PAUSED</v>
      </c>
      <c r="P23" s="70">
        <v>0.07748000000000001</v>
      </c>
      <c r="Q23" s="70">
        <v>0.21836000000000003</v>
      </c>
      <c r="R23" s="70">
        <v>0.01396</v>
      </c>
    </row>
    <row r="24" ht="15.75" customHeight="1">
      <c r="A24" s="71" t="s">
        <v>180</v>
      </c>
      <c r="B24" s="71" t="s">
        <v>172</v>
      </c>
      <c r="C24" s="70">
        <v>0.00704</v>
      </c>
      <c r="D24" s="70">
        <v>0.005999999999999999</v>
      </c>
      <c r="E24" s="70">
        <v>0.008</v>
      </c>
      <c r="F24" s="70">
        <v>0.002000000000000001</v>
      </c>
      <c r="G24" s="70">
        <v>0.94256</v>
      </c>
      <c r="H24" s="70">
        <v>0.5122800000000001</v>
      </c>
      <c r="I24" s="70">
        <v>0.20708000000000001</v>
      </c>
      <c r="J24" s="70">
        <v>0.07468</v>
      </c>
      <c r="K24" s="70">
        <v>0.02176</v>
      </c>
      <c r="L24" s="2"/>
      <c r="M24" s="48" t="str">
        <f t="shared" si="1"/>
        <v/>
      </c>
      <c r="N24" s="48" t="str">
        <f t="shared" si="2"/>
        <v/>
      </c>
      <c r="O24" s="48" t="str">
        <f>IF(Method!$B$55=TRUE(),"🛑 PAUSED",IF(N24="","",IF(N24&lt;Method!$B$7,"PASS","BET")))</f>
        <v>🛑 PAUSED</v>
      </c>
      <c r="P24" s="70">
        <v>0.25387999999999994</v>
      </c>
      <c r="Q24" s="70">
        <v>0.56884</v>
      </c>
      <c r="R24" s="70">
        <v>0.01864</v>
      </c>
    </row>
    <row r="25" ht="15.75" customHeight="1">
      <c r="A25" s="71" t="s">
        <v>188</v>
      </c>
      <c r="B25" s="71" t="s">
        <v>187</v>
      </c>
      <c r="C25" s="70">
        <v>0.005</v>
      </c>
      <c r="D25" s="70">
        <v>0.00464</v>
      </c>
      <c r="E25" s="70">
        <v>0.00536</v>
      </c>
      <c r="F25" s="70">
        <v>7.200000000000002E-4</v>
      </c>
      <c r="G25" s="70">
        <v>0.87072</v>
      </c>
      <c r="H25" s="70">
        <v>0.4555199999999999</v>
      </c>
      <c r="I25" s="70">
        <v>0.1898</v>
      </c>
      <c r="J25" s="70">
        <v>0.05628</v>
      </c>
      <c r="K25" s="70">
        <v>0.01864</v>
      </c>
      <c r="L25" s="2"/>
      <c r="M25" s="48" t="str">
        <f t="shared" si="1"/>
        <v/>
      </c>
      <c r="N25" s="48" t="str">
        <f t="shared" si="2"/>
        <v/>
      </c>
      <c r="O25" s="48" t="str">
        <f>IF(Method!$B$55=TRUE(),"🛑 PAUSED",IF(N25="","",IF(N25&lt;Method!$B$7,"PASS","BET")))</f>
        <v>🛑 PAUSED</v>
      </c>
      <c r="P25" s="70">
        <v>0.4194</v>
      </c>
      <c r="Q25" s="70">
        <v>0.32676</v>
      </c>
      <c r="R25" s="70">
        <v>0.013600000000000001</v>
      </c>
    </row>
    <row r="26" ht="15.75" customHeight="1">
      <c r="A26" s="71" t="s">
        <v>194</v>
      </c>
      <c r="B26" s="71" t="s">
        <v>193</v>
      </c>
      <c r="C26" s="70">
        <v>0.004679999999999999</v>
      </c>
      <c r="D26" s="70">
        <v>0.00396</v>
      </c>
      <c r="E26" s="70">
        <v>0.00516</v>
      </c>
      <c r="F26" s="70">
        <v>0.0011999999999999997</v>
      </c>
      <c r="G26" s="70">
        <v>0.96028</v>
      </c>
      <c r="H26" s="70">
        <v>0.49776</v>
      </c>
      <c r="I26" s="70">
        <v>0.20543999999999998</v>
      </c>
      <c r="J26" s="70">
        <v>0.0538</v>
      </c>
      <c r="K26" s="70">
        <v>0.01688</v>
      </c>
      <c r="L26" s="2"/>
      <c r="M26" s="48" t="str">
        <f t="shared" si="1"/>
        <v/>
      </c>
      <c r="N26" s="48" t="str">
        <f t="shared" si="2"/>
        <v/>
      </c>
      <c r="O26" s="48" t="str">
        <f>IF(Method!$B$55=TRUE(),"🛑 PAUSED",IF(N26="","",IF(N26&lt;Method!$B$7,"PASS","BET")))</f>
        <v>🛑 PAUSED</v>
      </c>
      <c r="P26" s="70">
        <v>0.56936</v>
      </c>
      <c r="Q26" s="70">
        <v>0.25204</v>
      </c>
      <c r="R26" s="70">
        <v>0.011399999999999999</v>
      </c>
    </row>
    <row r="27" ht="15.75" customHeight="1">
      <c r="A27" s="71" t="s">
        <v>257</v>
      </c>
      <c r="B27" s="71" t="s">
        <v>255</v>
      </c>
      <c r="C27" s="70">
        <v>0.004520000000000001</v>
      </c>
      <c r="D27" s="70">
        <v>0.00292</v>
      </c>
      <c r="E27" s="70">
        <v>0.00636</v>
      </c>
      <c r="F27" s="70">
        <v>0.0034400000000000003</v>
      </c>
      <c r="G27" s="70">
        <v>0.595</v>
      </c>
      <c r="H27" s="70">
        <v>0.29892</v>
      </c>
      <c r="I27" s="70">
        <v>0.14128000000000002</v>
      </c>
      <c r="J27" s="70">
        <v>0.0548</v>
      </c>
      <c r="K27" s="70">
        <v>0.01716</v>
      </c>
      <c r="L27" s="2"/>
      <c r="M27" s="48" t="str">
        <f t="shared" si="1"/>
        <v/>
      </c>
      <c r="N27" s="48" t="str">
        <f t="shared" si="2"/>
        <v/>
      </c>
      <c r="O27" s="48" t="str">
        <f>IF(Method!$B$55=TRUE(),"🛑 PAUSED",IF(N27="","",IF(N27&lt;Method!$B$7,"PASS","BET")))</f>
        <v>🛑 PAUSED</v>
      </c>
      <c r="P27" s="70">
        <v>0.11456</v>
      </c>
      <c r="Q27" s="70">
        <v>0.24584</v>
      </c>
      <c r="R27" s="70">
        <v>0.01364</v>
      </c>
    </row>
    <row r="28" ht="15.75" customHeight="1">
      <c r="A28" s="71" t="s">
        <v>211</v>
      </c>
      <c r="B28" s="71" t="s">
        <v>205</v>
      </c>
      <c r="C28" s="70">
        <v>0.0028799999999999997</v>
      </c>
      <c r="D28" s="70">
        <v>0.00216</v>
      </c>
      <c r="E28" s="70">
        <v>0.0033599999999999997</v>
      </c>
      <c r="F28" s="70">
        <v>0.0011999999999999997</v>
      </c>
      <c r="G28" s="70">
        <v>0.8619199999999999</v>
      </c>
      <c r="H28" s="70">
        <v>0.34224</v>
      </c>
      <c r="I28" s="70">
        <v>0.13411999999999996</v>
      </c>
      <c r="J28" s="70">
        <v>0.04548</v>
      </c>
      <c r="K28" s="70">
        <v>0.01268</v>
      </c>
      <c r="L28" s="2"/>
      <c r="M28" s="48" t="str">
        <f t="shared" si="1"/>
        <v/>
      </c>
      <c r="N28" s="48" t="str">
        <f t="shared" si="2"/>
        <v/>
      </c>
      <c r="O28" s="48" t="str">
        <f>IF(Method!$B$55=TRUE(),"🛑 PAUSED",IF(N28="","",IF(N28&lt;Method!$B$7,"PASS","BET")))</f>
        <v>🛑 PAUSED</v>
      </c>
      <c r="P28" s="70">
        <v>0.27480000000000004</v>
      </c>
      <c r="Q28" s="70">
        <v>0.2736</v>
      </c>
      <c r="R28" s="70">
        <v>0.01012</v>
      </c>
    </row>
    <row r="29" ht="15.75" customHeight="1">
      <c r="A29" s="71" t="s">
        <v>253</v>
      </c>
      <c r="B29" s="71" t="s">
        <v>245</v>
      </c>
      <c r="C29" s="70">
        <v>0.0028799999999999997</v>
      </c>
      <c r="D29" s="70">
        <v>0.0018</v>
      </c>
      <c r="E29" s="70">
        <v>0.004079999999999999</v>
      </c>
      <c r="F29" s="70">
        <v>0.0022799999999999995</v>
      </c>
      <c r="G29" s="70">
        <v>0.6529200000000002</v>
      </c>
      <c r="H29" s="70">
        <v>0.32176000000000005</v>
      </c>
      <c r="I29" s="70">
        <v>0.11936</v>
      </c>
      <c r="J29" s="70">
        <v>0.0324</v>
      </c>
      <c r="K29" s="70">
        <v>0.01124</v>
      </c>
      <c r="L29" s="2"/>
      <c r="M29" s="48" t="str">
        <f t="shared" si="1"/>
        <v/>
      </c>
      <c r="N29" s="48" t="str">
        <f t="shared" si="2"/>
        <v/>
      </c>
      <c r="O29" s="48" t="str">
        <f>IF(Method!$B$55=TRUE(),"🛑 PAUSED",IF(N29="","",IF(N29&lt;Method!$B$7,"PASS","BET")))</f>
        <v>🛑 PAUSED</v>
      </c>
      <c r="P29" s="70">
        <v>0.25592000000000004</v>
      </c>
      <c r="Q29" s="70">
        <v>0.24620000000000003</v>
      </c>
      <c r="R29" s="70">
        <v>0.00756</v>
      </c>
    </row>
    <row r="30" ht="15.75" customHeight="1">
      <c r="A30" s="71" t="s">
        <v>265</v>
      </c>
      <c r="B30" s="71" t="s">
        <v>260</v>
      </c>
      <c r="C30" s="70">
        <v>0.0028799999999999997</v>
      </c>
      <c r="D30" s="70">
        <v>0.00188</v>
      </c>
      <c r="E30" s="70">
        <v>0.004</v>
      </c>
      <c r="F30" s="70">
        <v>0.0021200000000000004</v>
      </c>
      <c r="G30" s="70">
        <v>0.6267199999999999</v>
      </c>
      <c r="H30" s="70">
        <v>0.22492</v>
      </c>
      <c r="I30" s="70">
        <v>0.09572</v>
      </c>
      <c r="J30" s="70">
        <v>0.033960000000000004</v>
      </c>
      <c r="K30" s="70">
        <v>0.011559999999999999</v>
      </c>
      <c r="L30" s="2"/>
      <c r="M30" s="48" t="str">
        <f t="shared" si="1"/>
        <v/>
      </c>
      <c r="N30" s="48" t="str">
        <f t="shared" si="2"/>
        <v/>
      </c>
      <c r="O30" s="48" t="str">
        <f>IF(Method!$B$55=TRUE(),"🛑 PAUSED",IF(N30="","",IF(N30&lt;Method!$B$7,"PASS","BET")))</f>
        <v>🛑 PAUSED</v>
      </c>
      <c r="P30" s="70">
        <v>0.1046</v>
      </c>
      <c r="Q30" s="70">
        <v>0.33996</v>
      </c>
      <c r="R30" s="70">
        <v>0.0076</v>
      </c>
    </row>
    <row r="31" ht="15.75" customHeight="1">
      <c r="A31" s="71" t="s">
        <v>230</v>
      </c>
      <c r="B31" s="71" t="s">
        <v>220</v>
      </c>
      <c r="C31" s="70">
        <v>0.0026799999999999997</v>
      </c>
      <c r="D31" s="70">
        <v>0.0024</v>
      </c>
      <c r="E31" s="70">
        <v>0.00296</v>
      </c>
      <c r="F31" s="70">
        <v>5.600000000000002E-4</v>
      </c>
      <c r="G31" s="70">
        <v>0.95984</v>
      </c>
      <c r="H31" s="70">
        <v>0.358</v>
      </c>
      <c r="I31" s="70">
        <v>0.12448</v>
      </c>
      <c r="J31" s="70">
        <v>0.04168</v>
      </c>
      <c r="K31" s="70">
        <v>0.01016</v>
      </c>
      <c r="L31" s="2"/>
      <c r="M31" s="48" t="str">
        <f t="shared" si="1"/>
        <v/>
      </c>
      <c r="N31" s="48" t="str">
        <f t="shared" si="2"/>
        <v/>
      </c>
      <c r="O31" s="48" t="str">
        <f>IF(Method!$B$55=TRUE(),"🛑 PAUSED",IF(N31="","",IF(N31&lt;Method!$B$7,"PASS","BET")))</f>
        <v>🛑 PAUSED</v>
      </c>
      <c r="P31" s="70">
        <v>0.26271999999999995</v>
      </c>
      <c r="Q31" s="70">
        <v>0.5294000000000001</v>
      </c>
      <c r="R31" s="70">
        <v>0.01008</v>
      </c>
    </row>
    <row r="32" ht="15.75" customHeight="1">
      <c r="A32" s="71" t="s">
        <v>195</v>
      </c>
      <c r="B32" s="71" t="s">
        <v>193</v>
      </c>
      <c r="C32" s="70">
        <v>0.0026400000000000004</v>
      </c>
      <c r="D32" s="70">
        <v>0.002</v>
      </c>
      <c r="E32" s="70">
        <v>0.0038</v>
      </c>
      <c r="F32" s="70">
        <v>0.0018</v>
      </c>
      <c r="G32" s="70">
        <v>0.34144</v>
      </c>
      <c r="H32" s="70">
        <v>0.16276</v>
      </c>
      <c r="I32" s="70">
        <v>0.0588</v>
      </c>
      <c r="J32" s="70">
        <v>0.02352</v>
      </c>
      <c r="K32" s="70">
        <v>0.00792</v>
      </c>
      <c r="L32" s="2"/>
      <c r="M32" s="48" t="str">
        <f t="shared" si="1"/>
        <v/>
      </c>
      <c r="N32" s="48" t="str">
        <f t="shared" si="2"/>
        <v/>
      </c>
      <c r="O32" s="48" t="str">
        <f>IF(Method!$B$55=TRUE(),"🛑 PAUSED",IF(N32="","",IF(N32&lt;Method!$B$7,"PASS","BET")))</f>
        <v>🛑 PAUSED</v>
      </c>
      <c r="P32" s="70">
        <v>0.028440000000000003</v>
      </c>
      <c r="Q32" s="70">
        <v>0.13132000000000002</v>
      </c>
      <c r="R32" s="70">
        <v>0.0061600000000000005</v>
      </c>
    </row>
    <row r="33" ht="15.75" customHeight="1">
      <c r="A33" s="71" t="s">
        <v>262</v>
      </c>
      <c r="B33" s="71" t="s">
        <v>260</v>
      </c>
      <c r="C33" s="70">
        <v>0.00208</v>
      </c>
      <c r="D33" s="70">
        <v>8.4E-4</v>
      </c>
      <c r="E33" s="70">
        <v>0.00296</v>
      </c>
      <c r="F33" s="70">
        <v>0.00212</v>
      </c>
      <c r="G33" s="70">
        <v>0.5757199999999999</v>
      </c>
      <c r="H33" s="70">
        <v>0.19136000000000003</v>
      </c>
      <c r="I33" s="70">
        <v>0.07516</v>
      </c>
      <c r="J33" s="70">
        <v>0.025519999999999998</v>
      </c>
      <c r="K33" s="70">
        <v>0.008520000000000002</v>
      </c>
      <c r="L33" s="2"/>
      <c r="M33" s="48" t="str">
        <f t="shared" si="1"/>
        <v/>
      </c>
      <c r="N33" s="48" t="str">
        <f t="shared" si="2"/>
        <v/>
      </c>
      <c r="O33" s="48" t="str">
        <f>IF(Method!$B$55=TRUE(),"🛑 PAUSED",IF(N33="","",IF(N33&lt;Method!$B$7,"PASS","BET")))</f>
        <v>🛑 PAUSED</v>
      </c>
      <c r="P33" s="70">
        <v>0.09036</v>
      </c>
      <c r="Q33" s="70">
        <v>0.3018</v>
      </c>
      <c r="R33" s="70">
        <v>0.0056</v>
      </c>
    </row>
    <row r="34" ht="15.75" customHeight="1">
      <c r="A34" s="71" t="s">
        <v>247</v>
      </c>
      <c r="B34" s="71" t="s">
        <v>245</v>
      </c>
      <c r="C34" s="70">
        <v>0.0016799999999999999</v>
      </c>
      <c r="D34" s="70">
        <v>0.00144</v>
      </c>
      <c r="E34" s="70">
        <v>0.0018</v>
      </c>
      <c r="F34" s="70">
        <v>3.5999999999999986E-4</v>
      </c>
      <c r="G34" s="70">
        <v>0.64772</v>
      </c>
      <c r="H34" s="70">
        <v>0.28588</v>
      </c>
      <c r="I34" s="70">
        <v>0.09000000000000001</v>
      </c>
      <c r="J34" s="70">
        <v>0.02312</v>
      </c>
      <c r="K34" s="70">
        <v>0.006279999999999999</v>
      </c>
      <c r="L34" s="2"/>
      <c r="M34" s="48" t="str">
        <f t="shared" si="1"/>
        <v/>
      </c>
      <c r="N34" s="48" t="str">
        <f t="shared" si="2"/>
        <v/>
      </c>
      <c r="O34" s="48" t="str">
        <f>IF(Method!$B$55=TRUE(),"🛑 PAUSED",IF(N34="","",IF(N34&lt;Method!$B$7,"PASS","BET")))</f>
        <v>🛑 PAUSED</v>
      </c>
      <c r="P34" s="70">
        <v>0.20064</v>
      </c>
      <c r="Q34" s="70">
        <v>0.27480000000000004</v>
      </c>
      <c r="R34" s="70">
        <v>0.00464</v>
      </c>
    </row>
    <row r="35" ht="15.75" customHeight="1">
      <c r="A35" s="71" t="s">
        <v>277</v>
      </c>
      <c r="B35" s="71" t="s">
        <v>267</v>
      </c>
      <c r="C35" s="70">
        <v>0.00108</v>
      </c>
      <c r="D35" s="70">
        <v>6.399999999999999E-4</v>
      </c>
      <c r="E35" s="70">
        <v>0.0016799999999999999</v>
      </c>
      <c r="F35" s="70">
        <v>0.00104</v>
      </c>
      <c r="G35" s="70">
        <v>0.49544</v>
      </c>
      <c r="H35" s="70">
        <v>0.18031999999999998</v>
      </c>
      <c r="I35" s="70">
        <v>0.05664</v>
      </c>
      <c r="J35" s="70">
        <v>0.0178</v>
      </c>
      <c r="K35" s="70">
        <v>0.004880000000000001</v>
      </c>
      <c r="L35" s="2"/>
      <c r="M35" s="48" t="str">
        <f t="shared" si="1"/>
        <v/>
      </c>
      <c r="N35" s="48" t="str">
        <f t="shared" si="2"/>
        <v/>
      </c>
      <c r="O35" s="48" t="str">
        <f>IF(Method!$B$55=TRUE(),"🛑 PAUSED",IF(N35="","",IF(N35&lt;Method!$B$7,"PASS","BET")))</f>
        <v>🛑 PAUSED</v>
      </c>
      <c r="P35" s="70">
        <v>0.08796000000000001</v>
      </c>
      <c r="Q35" s="70">
        <v>0.19075999999999999</v>
      </c>
      <c r="R35" s="70">
        <v>0.004200000000000001</v>
      </c>
    </row>
    <row r="36" ht="15.75" customHeight="1">
      <c r="A36" s="71" t="s">
        <v>276</v>
      </c>
      <c r="B36" s="71" t="s">
        <v>271</v>
      </c>
      <c r="C36" s="70">
        <v>8.399999999999999E-4</v>
      </c>
      <c r="D36" s="70">
        <v>2.8E-4</v>
      </c>
      <c r="E36" s="70">
        <v>0.0012</v>
      </c>
      <c r="F36" s="70">
        <v>9.199999999999999E-4</v>
      </c>
      <c r="G36" s="70">
        <v>0.56484</v>
      </c>
      <c r="H36" s="70">
        <v>0.18675999999999998</v>
      </c>
      <c r="I36" s="70">
        <v>0.058440000000000006</v>
      </c>
      <c r="J36" s="70">
        <v>0.01744</v>
      </c>
      <c r="K36" s="70">
        <v>0.00468</v>
      </c>
      <c r="L36" s="2"/>
      <c r="M36" s="48" t="str">
        <f t="shared" si="1"/>
        <v/>
      </c>
      <c r="N36" s="48" t="str">
        <f t="shared" si="2"/>
        <v/>
      </c>
      <c r="O36" s="48" t="str">
        <f>IF(Method!$B$55=TRUE(),"🛑 PAUSED",IF(N36="","",IF(N36&lt;Method!$B$7,"PASS","BET")))</f>
        <v>🛑 PAUSED</v>
      </c>
      <c r="P36" s="70">
        <v>0.10744000000000001</v>
      </c>
      <c r="Q36" s="70">
        <v>0.22632</v>
      </c>
      <c r="R36" s="70">
        <v>0.00408</v>
      </c>
    </row>
    <row r="37" ht="15.75" customHeight="1">
      <c r="A37" s="71" t="s">
        <v>235</v>
      </c>
      <c r="B37" s="71" t="s">
        <v>225</v>
      </c>
      <c r="C37" s="70">
        <v>6.000000000000001E-4</v>
      </c>
      <c r="D37" s="70">
        <v>2.0E-4</v>
      </c>
      <c r="E37" s="70">
        <v>9.6E-4</v>
      </c>
      <c r="F37" s="70">
        <v>7.6E-4</v>
      </c>
      <c r="G37" s="70">
        <v>0.8894399999999999</v>
      </c>
      <c r="H37" s="70">
        <v>0.22008</v>
      </c>
      <c r="I37" s="70">
        <v>0.06932</v>
      </c>
      <c r="J37" s="70">
        <v>0.01616</v>
      </c>
      <c r="K37" s="70">
        <v>0.0031600000000000005</v>
      </c>
      <c r="L37" s="2"/>
      <c r="M37" s="48" t="str">
        <f t="shared" si="1"/>
        <v/>
      </c>
      <c r="N37" s="48" t="str">
        <f t="shared" si="2"/>
        <v/>
      </c>
      <c r="O37" s="48" t="str">
        <f>IF(Method!$B$55=TRUE(),"🛑 PAUSED",IF(N37="","",IF(N37&lt;Method!$B$7,"PASS","BET")))</f>
        <v>🛑 PAUSED</v>
      </c>
      <c r="P37" s="70">
        <v>0.2372</v>
      </c>
      <c r="Q37" s="70">
        <v>0.25511999999999996</v>
      </c>
      <c r="R37" s="70">
        <v>0.0031200000000000004</v>
      </c>
    </row>
    <row r="38" ht="15.75" customHeight="1">
      <c r="A38" s="71" t="s">
        <v>181</v>
      </c>
      <c r="B38" s="71" t="s">
        <v>172</v>
      </c>
      <c r="C38" s="70">
        <v>4.4E-4</v>
      </c>
      <c r="D38" s="70">
        <v>2.4E-4</v>
      </c>
      <c r="E38" s="70">
        <v>6.0E-4</v>
      </c>
      <c r="F38" s="70">
        <v>3.5999999999999997E-4</v>
      </c>
      <c r="G38" s="70">
        <v>0.4614000000000001</v>
      </c>
      <c r="H38" s="70">
        <v>0.19627999999999998</v>
      </c>
      <c r="I38" s="70">
        <v>0.06644</v>
      </c>
      <c r="J38" s="70">
        <v>0.01248</v>
      </c>
      <c r="K38" s="70">
        <v>0.00284</v>
      </c>
      <c r="L38" s="2"/>
      <c r="M38" s="48" t="str">
        <f t="shared" si="1"/>
        <v/>
      </c>
      <c r="N38" s="48" t="str">
        <f t="shared" si="2"/>
        <v/>
      </c>
      <c r="O38" s="48" t="str">
        <f>IF(Method!$B$55=TRUE(),"🛑 PAUSED",IF(N38="","",IF(N38&lt;Method!$B$7,"PASS","BET")))</f>
        <v>🛑 PAUSED</v>
      </c>
      <c r="P38" s="70">
        <v>0.03164</v>
      </c>
      <c r="Q38" s="70">
        <v>0.12352</v>
      </c>
      <c r="R38" s="70">
        <v>0.0019200000000000003</v>
      </c>
    </row>
    <row r="39" ht="15.75" customHeight="1">
      <c r="A39" s="71" t="s">
        <v>266</v>
      </c>
      <c r="B39" s="71" t="s">
        <v>260</v>
      </c>
      <c r="C39" s="70">
        <v>4.0E-4</v>
      </c>
      <c r="D39" s="70">
        <v>2.0E-4</v>
      </c>
      <c r="E39" s="70">
        <v>6.0E-4</v>
      </c>
      <c r="F39" s="70">
        <v>3.9999999999999996E-4</v>
      </c>
      <c r="G39" s="70">
        <v>0.38395999999999997</v>
      </c>
      <c r="H39" s="70">
        <v>0.10415999999999999</v>
      </c>
      <c r="I39" s="70">
        <v>0.029759999999999998</v>
      </c>
      <c r="J39" s="70">
        <v>0.0068000000000000005</v>
      </c>
      <c r="K39" s="70">
        <v>0.0016</v>
      </c>
      <c r="L39" s="2"/>
      <c r="M39" s="48" t="str">
        <f t="shared" si="1"/>
        <v/>
      </c>
      <c r="N39" s="48" t="str">
        <f t="shared" si="2"/>
        <v/>
      </c>
      <c r="O39" s="48" t="str">
        <f>IF(Method!$B$55=TRUE(),"🛑 PAUSED",IF(N39="","",IF(N39&lt;Method!$B$7,"PASS","BET")))</f>
        <v>🛑 PAUSED</v>
      </c>
      <c r="P39" s="70">
        <v>0.033479999999999996</v>
      </c>
      <c r="Q39" s="70">
        <v>0.19263999999999998</v>
      </c>
      <c r="R39" s="70">
        <v>0.0012</v>
      </c>
    </row>
    <row r="40" ht="15.75" customHeight="1">
      <c r="A40" s="71" t="s">
        <v>258</v>
      </c>
      <c r="B40" s="71" t="s">
        <v>255</v>
      </c>
      <c r="C40" s="70">
        <v>2.4000000000000003E-4</v>
      </c>
      <c r="D40" s="70">
        <v>4.0E-5</v>
      </c>
      <c r="E40" s="70">
        <v>4.0E-4</v>
      </c>
      <c r="F40" s="70">
        <v>3.6E-4</v>
      </c>
      <c r="G40" s="70">
        <v>0.30811999999999995</v>
      </c>
      <c r="H40" s="70">
        <v>0.09203999999999998</v>
      </c>
      <c r="I40" s="70">
        <v>0.0256</v>
      </c>
      <c r="J40" s="70">
        <v>0.0054</v>
      </c>
      <c r="K40" s="70">
        <v>8.399999999999999E-4</v>
      </c>
      <c r="L40" s="2"/>
      <c r="M40" s="48" t="str">
        <f t="shared" si="1"/>
        <v/>
      </c>
      <c r="N40" s="48" t="str">
        <f t="shared" si="2"/>
        <v/>
      </c>
      <c r="O40" s="48" t="str">
        <f>IF(Method!$B$55=TRUE(),"🛑 PAUSED",IF(N40="","",IF(N40&lt;Method!$B$7,"PASS","BET")))</f>
        <v>🛑 PAUSED</v>
      </c>
      <c r="P40" s="70">
        <v>0.04328</v>
      </c>
      <c r="Q40" s="70">
        <v>0.12412000000000001</v>
      </c>
      <c r="R40" s="70">
        <v>0.00124</v>
      </c>
    </row>
    <row r="41" ht="15.75" customHeight="1">
      <c r="A41" s="71" t="s">
        <v>254</v>
      </c>
      <c r="B41" s="71" t="s">
        <v>245</v>
      </c>
      <c r="C41" s="70">
        <v>2.3999999999999998E-4</v>
      </c>
      <c r="D41" s="70">
        <v>0.0</v>
      </c>
      <c r="E41" s="70">
        <v>5.6E-4</v>
      </c>
      <c r="F41" s="70">
        <v>5.6E-4</v>
      </c>
      <c r="G41" s="70">
        <v>0.52856</v>
      </c>
      <c r="H41" s="70">
        <v>0.18380000000000002</v>
      </c>
      <c r="I41" s="70">
        <v>0.04608000000000001</v>
      </c>
      <c r="J41" s="70">
        <v>0.00908</v>
      </c>
      <c r="K41" s="70">
        <v>0.0018800000000000002</v>
      </c>
      <c r="L41" s="2"/>
      <c r="M41" s="48" t="str">
        <f t="shared" si="1"/>
        <v/>
      </c>
      <c r="N41" s="48" t="str">
        <f t="shared" si="2"/>
        <v/>
      </c>
      <c r="O41" s="48" t="str">
        <f>IF(Method!$B$55=TRUE(),"🛑 PAUSED",IF(N41="","",IF(N41&lt;Method!$B$7,"PASS","BET")))</f>
        <v>🛑 PAUSED</v>
      </c>
      <c r="P41" s="70">
        <v>0.1572</v>
      </c>
      <c r="Q41" s="70">
        <v>0.22056</v>
      </c>
      <c r="R41" s="70">
        <v>0.0016800000000000003</v>
      </c>
    </row>
    <row r="42" ht="15.75" customHeight="1">
      <c r="A42" s="71" t="s">
        <v>249</v>
      </c>
      <c r="B42" s="71" t="s">
        <v>178</v>
      </c>
      <c r="C42" s="70">
        <v>2.0E-4</v>
      </c>
      <c r="D42" s="70">
        <v>4.0E-5</v>
      </c>
      <c r="E42" s="70">
        <v>3.5999999999999997E-4</v>
      </c>
      <c r="F42" s="70">
        <v>3.1999999999999997E-4</v>
      </c>
      <c r="G42" s="70">
        <v>0.46128</v>
      </c>
      <c r="H42" s="70">
        <v>0.09603999999999999</v>
      </c>
      <c r="I42" s="70">
        <v>0.023920000000000004</v>
      </c>
      <c r="J42" s="70">
        <v>0.0046</v>
      </c>
      <c r="K42" s="70">
        <v>8.399999999999999E-4</v>
      </c>
      <c r="L42" s="2"/>
      <c r="M42" s="48" t="str">
        <f t="shared" si="1"/>
        <v/>
      </c>
      <c r="N42" s="48" t="str">
        <f t="shared" si="2"/>
        <v/>
      </c>
      <c r="O42" s="48" t="str">
        <f>IF(Method!$B$55=TRUE(),"🛑 PAUSED",IF(N42="","",IF(N42&lt;Method!$B$7,"PASS","BET")))</f>
        <v>🛑 PAUSED</v>
      </c>
      <c r="P42" s="70">
        <v>0.08168</v>
      </c>
      <c r="Q42" s="70">
        <v>0.19156</v>
      </c>
      <c r="R42" s="70">
        <v>8.399999999999999E-4</v>
      </c>
    </row>
    <row r="43" ht="15.75" customHeight="1">
      <c r="A43" s="71" t="s">
        <v>269</v>
      </c>
      <c r="B43" s="71" t="s">
        <v>267</v>
      </c>
      <c r="C43" s="70">
        <v>2.0E-4</v>
      </c>
      <c r="D43" s="70">
        <v>4.0E-5</v>
      </c>
      <c r="E43" s="70">
        <v>3.5999999999999997E-4</v>
      </c>
      <c r="F43" s="70">
        <v>3.1999999999999997E-4</v>
      </c>
      <c r="G43" s="70">
        <v>0.35015999999999997</v>
      </c>
      <c r="H43" s="70">
        <v>0.09756000000000001</v>
      </c>
      <c r="I43" s="70">
        <v>0.023039999999999998</v>
      </c>
      <c r="J43" s="70">
        <v>0.0056</v>
      </c>
      <c r="K43" s="70">
        <v>0.00116</v>
      </c>
      <c r="L43" s="2"/>
      <c r="M43" s="48" t="str">
        <f t="shared" si="1"/>
        <v/>
      </c>
      <c r="N43" s="48" t="str">
        <f t="shared" si="2"/>
        <v/>
      </c>
      <c r="O43" s="48" t="str">
        <f>IF(Method!$B$55=TRUE(),"🛑 PAUSED",IF(N43="","",IF(N43&lt;Method!$B$7,"PASS","BET")))</f>
        <v>🛑 PAUSED</v>
      </c>
      <c r="P43" s="70">
        <v>0.05023999999999999</v>
      </c>
      <c r="Q43" s="70">
        <v>0.13276</v>
      </c>
      <c r="R43" s="70">
        <v>9.600000000000001E-4</v>
      </c>
    </row>
    <row r="44" ht="15.75" customHeight="1">
      <c r="A44" s="71" t="s">
        <v>189</v>
      </c>
      <c r="B44" s="71" t="s">
        <v>187</v>
      </c>
      <c r="C44" s="70">
        <v>1.2000000000000002E-4</v>
      </c>
      <c r="D44" s="70">
        <v>0.0</v>
      </c>
      <c r="E44" s="70">
        <v>3.5999999999999997E-4</v>
      </c>
      <c r="F44" s="70">
        <v>3.5999999999999997E-4</v>
      </c>
      <c r="G44" s="70">
        <v>0.55568</v>
      </c>
      <c r="H44" s="70">
        <v>0.15312</v>
      </c>
      <c r="I44" s="70">
        <v>0.03412</v>
      </c>
      <c r="J44" s="70">
        <v>0.005519999999999999</v>
      </c>
      <c r="K44" s="70">
        <v>8.400000000000001E-4</v>
      </c>
      <c r="L44" s="2"/>
      <c r="M44" s="48" t="str">
        <f t="shared" si="1"/>
        <v/>
      </c>
      <c r="N44" s="48" t="str">
        <f t="shared" si="2"/>
        <v/>
      </c>
      <c r="O44" s="48" t="str">
        <f>IF(Method!$B$55=TRUE(),"🛑 PAUSED",IF(N44="","",IF(N44&lt;Method!$B$7,"PASS","BET")))</f>
        <v>🛑 PAUSED</v>
      </c>
      <c r="P44" s="70">
        <v>0.10364</v>
      </c>
      <c r="Q44" s="70">
        <v>0.23184</v>
      </c>
      <c r="R44" s="70">
        <v>8.399999999999999E-4</v>
      </c>
    </row>
    <row r="45" ht="15.75" customHeight="1">
      <c r="A45" s="71" t="s">
        <v>210</v>
      </c>
      <c r="B45" s="71" t="s">
        <v>205</v>
      </c>
      <c r="C45" s="70">
        <v>8.0E-5</v>
      </c>
      <c r="D45" s="70">
        <v>0.0</v>
      </c>
      <c r="E45" s="70">
        <v>2.0E-4</v>
      </c>
      <c r="F45" s="70">
        <v>2.0E-4</v>
      </c>
      <c r="G45" s="70">
        <v>0.11864000000000001</v>
      </c>
      <c r="H45" s="70">
        <v>0.02384</v>
      </c>
      <c r="I45" s="70">
        <v>0.00576</v>
      </c>
      <c r="J45" s="70">
        <v>0.00128</v>
      </c>
      <c r="K45" s="70">
        <v>3.6E-4</v>
      </c>
      <c r="L45" s="2"/>
      <c r="M45" s="48" t="str">
        <f t="shared" si="1"/>
        <v/>
      </c>
      <c r="N45" s="48" t="str">
        <f t="shared" si="2"/>
        <v/>
      </c>
      <c r="O45" s="48" t="str">
        <f>IF(Method!$B$55=TRUE(),"🛑 PAUSED",IF(N45="","",IF(N45&lt;Method!$B$7,"PASS","BET")))</f>
        <v>🛑 PAUSED</v>
      </c>
      <c r="P45" s="70">
        <v>0.011399999999999999</v>
      </c>
      <c r="Q45" s="70">
        <v>0.030119999999999997</v>
      </c>
      <c r="R45" s="70">
        <v>2.0E-4</v>
      </c>
    </row>
    <row r="46" ht="15.75" customHeight="1">
      <c r="A46" s="71" t="s">
        <v>275</v>
      </c>
      <c r="B46" s="71" t="s">
        <v>271</v>
      </c>
      <c r="C46" s="70">
        <v>8.0E-5</v>
      </c>
      <c r="D46" s="70">
        <v>0.0</v>
      </c>
      <c r="E46" s="70">
        <v>2.0E-4</v>
      </c>
      <c r="F46" s="70">
        <v>2.0E-4</v>
      </c>
      <c r="G46" s="70">
        <v>0.30723999999999996</v>
      </c>
      <c r="H46" s="70">
        <v>0.05711999999999999</v>
      </c>
      <c r="I46" s="70">
        <v>0.010719999999999999</v>
      </c>
      <c r="J46" s="70">
        <v>0.0016799999999999999</v>
      </c>
      <c r="K46" s="70">
        <v>4.0E-4</v>
      </c>
      <c r="L46" s="2"/>
      <c r="M46" s="48" t="str">
        <f t="shared" si="1"/>
        <v/>
      </c>
      <c r="N46" s="48" t="str">
        <f t="shared" si="2"/>
        <v/>
      </c>
      <c r="O46" s="48" t="str">
        <f>IF(Method!$B$55=TRUE(),"🛑 PAUSED",IF(N46="","",IF(N46&lt;Method!$B$7,"PASS","BET")))</f>
        <v>🛑 PAUSED</v>
      </c>
      <c r="P46" s="70">
        <v>0.04124</v>
      </c>
      <c r="Q46" s="70">
        <v>0.11792</v>
      </c>
      <c r="R46" s="70">
        <v>2.8E-4</v>
      </c>
    </row>
    <row r="47" ht="15.75" customHeight="1">
      <c r="A47" s="71" t="s">
        <v>236</v>
      </c>
      <c r="B47" s="71" t="s">
        <v>225</v>
      </c>
      <c r="C47" s="70">
        <v>4.0E-5</v>
      </c>
      <c r="D47" s="70">
        <v>0.0</v>
      </c>
      <c r="E47" s="70">
        <v>1.5999999999999999E-4</v>
      </c>
      <c r="F47" s="70">
        <v>1.5999999999999999E-4</v>
      </c>
      <c r="G47" s="70">
        <v>0.11760000000000001</v>
      </c>
      <c r="H47" s="70">
        <v>0.024399999999999998</v>
      </c>
      <c r="I47" s="70">
        <v>0.0067599999999999995</v>
      </c>
      <c r="J47" s="70">
        <v>0.0016</v>
      </c>
      <c r="K47" s="70">
        <v>2.0E-4</v>
      </c>
      <c r="L47" s="2"/>
      <c r="M47" s="48" t="str">
        <f t="shared" si="1"/>
        <v/>
      </c>
      <c r="N47" s="48" t="str">
        <f t="shared" si="2"/>
        <v/>
      </c>
      <c r="O47" s="48" t="str">
        <f>IF(Method!$B$55=TRUE(),"🛑 PAUSED",IF(N47="","",IF(N47&lt;Method!$B$7,"PASS","BET")))</f>
        <v>🛑 PAUSED</v>
      </c>
      <c r="P47" s="70">
        <v>0.01328</v>
      </c>
      <c r="Q47" s="70">
        <v>0.02024</v>
      </c>
      <c r="R47" s="70">
        <v>1.6E-4</v>
      </c>
    </row>
    <row r="48" ht="15.75" customHeight="1">
      <c r="A48" s="71" t="s">
        <v>241</v>
      </c>
      <c r="B48" s="71" t="s">
        <v>178</v>
      </c>
      <c r="C48" s="70">
        <v>4.0E-5</v>
      </c>
      <c r="D48" s="70">
        <v>0.0</v>
      </c>
      <c r="E48" s="70">
        <v>1.5999999999999999E-4</v>
      </c>
      <c r="F48" s="70">
        <v>1.5999999999999999E-4</v>
      </c>
      <c r="G48" s="70">
        <v>0.4885999999999999</v>
      </c>
      <c r="H48" s="70">
        <v>0.08588000000000001</v>
      </c>
      <c r="I48" s="70">
        <v>0.018680000000000002</v>
      </c>
      <c r="J48" s="70">
        <v>0.003799999999999999</v>
      </c>
      <c r="K48" s="70">
        <v>7.199999999999999E-4</v>
      </c>
      <c r="L48" s="2"/>
      <c r="M48" s="48" t="str">
        <f t="shared" si="1"/>
        <v/>
      </c>
      <c r="N48" s="48" t="str">
        <f t="shared" si="2"/>
        <v/>
      </c>
      <c r="O48" s="48" t="str">
        <f>IF(Method!$B$55=TRUE(),"🛑 PAUSED",IF(N48="","",IF(N48&lt;Method!$B$7,"PASS","BET")))</f>
        <v>🛑 PAUSED</v>
      </c>
      <c r="P48" s="70">
        <v>0.05464</v>
      </c>
      <c r="Q48" s="70">
        <v>0.25476</v>
      </c>
      <c r="R48" s="70">
        <v>0.001</v>
      </c>
    </row>
    <row r="49" ht="15.75" customHeight="1">
      <c r="A49" s="71" t="s">
        <v>174</v>
      </c>
      <c r="B49" s="71" t="s">
        <v>172</v>
      </c>
      <c r="C49" s="70">
        <v>0.0</v>
      </c>
      <c r="D49" s="70">
        <v>0.0</v>
      </c>
      <c r="E49" s="70">
        <v>0.0</v>
      </c>
      <c r="F49" s="70">
        <v>0.0</v>
      </c>
      <c r="G49" s="70">
        <v>0.2102</v>
      </c>
      <c r="H49" s="70">
        <v>0.05908</v>
      </c>
      <c r="I49" s="70">
        <v>0.012879999999999999</v>
      </c>
      <c r="J49" s="70">
        <v>0.00136</v>
      </c>
      <c r="K49" s="70">
        <v>8.0E-5</v>
      </c>
      <c r="L49" s="2"/>
      <c r="M49" s="48" t="str">
        <f t="shared" si="1"/>
        <v/>
      </c>
      <c r="N49" s="48" t="str">
        <f t="shared" si="2"/>
        <v/>
      </c>
      <c r="O49" s="48" t="str">
        <f>IF(Method!$B$55=TRUE(),"🛑 PAUSED",IF(N49="","",IF(N49&lt;Method!$B$7,"PASS","BET")))</f>
        <v>🛑 PAUSED</v>
      </c>
      <c r="P49" s="70">
        <v>0.005359999999999999</v>
      </c>
      <c r="Q49" s="70">
        <v>0.08416</v>
      </c>
      <c r="R49" s="70">
        <v>8.0E-5</v>
      </c>
    </row>
    <row r="50" ht="15.75" customHeight="1">
      <c r="A50" s="71" t="s">
        <v>200</v>
      </c>
      <c r="B50" s="71" t="s">
        <v>187</v>
      </c>
      <c r="C50" s="70">
        <v>0.0</v>
      </c>
      <c r="D50" s="70">
        <v>0.0</v>
      </c>
      <c r="E50" s="70">
        <v>0.0</v>
      </c>
      <c r="F50" s="70">
        <v>0.0</v>
      </c>
      <c r="G50" s="70">
        <v>0.38176</v>
      </c>
      <c r="H50" s="70">
        <v>0.07532000000000001</v>
      </c>
      <c r="I50" s="70">
        <v>0.012320000000000001</v>
      </c>
      <c r="J50" s="70">
        <v>0.0012</v>
      </c>
      <c r="K50" s="70">
        <v>1.2000000000000002E-4</v>
      </c>
      <c r="L50" s="2"/>
      <c r="M50" s="48" t="str">
        <f t="shared" si="1"/>
        <v/>
      </c>
      <c r="N50" s="48" t="str">
        <f t="shared" si="2"/>
        <v/>
      </c>
      <c r="O50" s="48" t="str">
        <f>IF(Method!$B$55=TRUE(),"🛑 PAUSED",IF(N50="","",IF(N50&lt;Method!$B$7,"PASS","BET")))</f>
        <v>🛑 PAUSED</v>
      </c>
      <c r="P50" s="70">
        <v>0.0496</v>
      </c>
      <c r="Q50" s="70">
        <v>0.15688</v>
      </c>
      <c r="R50" s="70">
        <v>0.0</v>
      </c>
    </row>
    <row r="51" ht="15.75" customHeight="1">
      <c r="A51" s="71" t="s">
        <v>222</v>
      </c>
      <c r="B51" s="71" t="s">
        <v>220</v>
      </c>
      <c r="C51" s="70">
        <v>0.0</v>
      </c>
      <c r="D51" s="70">
        <v>0.0</v>
      </c>
      <c r="E51" s="70">
        <v>0.0</v>
      </c>
      <c r="F51" s="70">
        <v>0.0</v>
      </c>
      <c r="G51" s="70">
        <v>0.06984000000000001</v>
      </c>
      <c r="H51" s="70">
        <v>0.01</v>
      </c>
      <c r="I51" s="70">
        <v>0.00132</v>
      </c>
      <c r="J51" s="70">
        <v>8.0E-5</v>
      </c>
      <c r="K51" s="70">
        <v>0.0</v>
      </c>
      <c r="L51" s="2"/>
      <c r="M51" s="48" t="str">
        <f t="shared" si="1"/>
        <v/>
      </c>
      <c r="N51" s="48" t="str">
        <f t="shared" si="2"/>
        <v/>
      </c>
      <c r="O51" s="48" t="str">
        <f>IF(Method!$B$55=TRUE(),"🛑 PAUSED",IF(N51="","",IF(N51&lt;Method!$B$7,"PASS","BET")))</f>
        <v>🛑 PAUSED</v>
      </c>
      <c r="P51" s="70">
        <v>0.00196</v>
      </c>
      <c r="Q51" s="70">
        <v>0.02364</v>
      </c>
      <c r="R51" s="70">
        <v>4.0E-5</v>
      </c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3" width="16.0"/>
    <col customWidth="1" min="4" max="5" width="11.0"/>
    <col customWidth="1" min="6" max="6" width="9.0"/>
    <col customWidth="1" min="7" max="7" width="10.0"/>
    <col customWidth="1" min="8" max="8" width="18.0"/>
    <col customWidth="1" min="9" max="9" width="20.0"/>
    <col customWidth="1" min="10" max="26" width="8.71"/>
  </cols>
  <sheetData>
    <row r="1">
      <c r="A1" s="137" t="s">
        <v>478</v>
      </c>
      <c r="B1" s="2"/>
      <c r="C1" s="2"/>
      <c r="D1" s="2"/>
      <c r="E1" s="2"/>
      <c r="F1" s="2"/>
      <c r="G1" s="2"/>
      <c r="H1" s="2"/>
      <c r="I1" s="2"/>
    </row>
    <row r="2">
      <c r="A2" s="138" t="s">
        <v>479</v>
      </c>
      <c r="B2" s="141">
        <v>46189.58593450232</v>
      </c>
      <c r="C2" s="2"/>
      <c r="D2" s="2"/>
      <c r="E2" s="2"/>
      <c r="F2" s="2"/>
      <c r="G2" s="2"/>
      <c r="H2" s="2"/>
      <c r="I2" s="2"/>
    </row>
    <row r="3">
      <c r="A3" s="139" t="s">
        <v>480</v>
      </c>
      <c r="B3" s="139" t="s">
        <v>118</v>
      </c>
      <c r="C3" s="139" t="s">
        <v>119</v>
      </c>
      <c r="D3" s="139" t="s">
        <v>481</v>
      </c>
      <c r="E3" s="139" t="s">
        <v>482</v>
      </c>
      <c r="F3" s="139" t="s">
        <v>483</v>
      </c>
      <c r="G3" s="139" t="s">
        <v>484</v>
      </c>
      <c r="H3" s="139" t="s">
        <v>485</v>
      </c>
      <c r="I3" s="139" t="s">
        <v>486</v>
      </c>
    </row>
    <row r="4">
      <c r="A4" s="140" t="s">
        <v>487</v>
      </c>
      <c r="B4" s="47"/>
      <c r="C4" s="47"/>
      <c r="D4" s="49"/>
      <c r="E4" s="49"/>
      <c r="F4" s="49"/>
      <c r="G4" s="47"/>
      <c r="H4" s="47"/>
      <c r="I4" s="141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