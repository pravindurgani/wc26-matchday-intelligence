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" sheetId="1" state="visible" r:id="rId1"/>
    <sheet name="Goal Grid" sheetId="2" state="visible" r:id="rId2"/>
    <sheet name="CLV" sheetId="3" state="visible" r:id="rId3"/>
    <sheet name="Dashboard" sheetId="4" state="visible" r:id="rId4"/>
    <sheet name="Live" sheetId="5" state="visible" r:id="rId5"/>
    <sheet name="Bets" sheetId="6" state="visible" r:id="rId6"/>
    <sheet name="Matchday" sheetId="7" state="visible" r:id="rId7"/>
    <sheet name="Method" sheetId="8" state="visible" r:id="rId8"/>
    <sheet name="Model vs Market" sheetId="9" state="visible" r:id="rId9"/>
    <sheet name="Model Refresh" sheetId="10" state="visible" r:id="rId10"/>
    <sheet name="Outrights" sheetId="11" state="visible" r:id="rId11"/>
    <sheet name="In-Pla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yyyy-mm-dd"/>
    <numFmt numFmtId="165" formatCode="\£#,##0"/>
    <numFmt numFmtId="166" formatCode="dd\ mmm"/>
    <numFmt numFmtId="167" formatCode="\£#,##0;&quot;(£&quot;#,##0\);\£0"/>
    <numFmt numFmtId="168" formatCode="\+0.0%;\-0.0%"/>
    <numFmt numFmtId="169" formatCode="0.0%"/>
    <numFmt numFmtId="170" formatCode="\+0.0%"/>
    <numFmt numFmtId="171" formatCode="ddd\ dd\ mmm"/>
    <numFmt numFmtId="172" formatCode="\£#,##0;&quot;(£&quot;#,##0\);\–"/>
    <numFmt numFmtId="173" formatCode="D/M/YYYY"/>
    <numFmt numFmtId="174" formatCode="hh:mm"/>
    <numFmt numFmtId="175" formatCode="\+0.0%;\-0.0%;0.0%"/>
    <numFmt numFmtId="176" formatCode="\£0.0"/>
    <numFmt numFmtId="177" formatCode="[$£-809]#,##0.00"/>
    <numFmt numFmtId="178" formatCode="0.000"/>
  </numFmts>
  <fonts count="37">
    <font>
      <name val="Calibri"/>
      <color theme="1"/>
      <sz val="11"/>
      <scheme val="minor"/>
    </font>
    <font>
      <name val="Calibri"/>
      <color theme="1"/>
      <sz val="11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Arial"/>
      <color rgb="FF000000"/>
      <sz val="8"/>
    </font>
    <font>
      <name val="Calibri"/>
      <b val="1"/>
      <color theme="1"/>
      <sz val="11"/>
    </font>
    <font>
      <name val="Arial"/>
      <color theme="1"/>
      <sz val="9"/>
    </font>
    <font>
      <name val="Calibri"/>
      <color theme="1"/>
      <scheme val="minor"/>
    </font>
    <font>
      <name val="Arial"/>
      <b val="1"/>
      <color rgb="FF000000"/>
      <sz val="15"/>
    </font>
    <font>
      <name val="Arial"/>
      <i val="1"/>
      <color rgb="FF6B7280"/>
      <sz val="9"/>
    </font>
    <font>
      <name val="Arial"/>
      <color rgb="FF6B7280"/>
      <sz val="9"/>
    </font>
    <font>
      <name val="Arial"/>
      <b val="1"/>
      <color rgb="FF008000"/>
      <sz val="12"/>
    </font>
    <font>
      <name val="Arial"/>
      <color rgb="FFB45309"/>
      <sz val="9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color rgb="FF374151"/>
      <sz val="9"/>
    </font>
    <font>
      <name val="Calibri"/>
      <b val="1"/>
      <color rgb="FFFFFFFF"/>
      <sz val="11"/>
    </font>
    <font/>
    <font>
      <name val="Calibri"/>
      <color rgb="FF0000FF"/>
      <sz val="11"/>
      <u val="single"/>
    </font>
    <font>
      <name val="Calibri"/>
      <i val="1"/>
      <color rgb="FF595959"/>
      <sz val="9"/>
    </font>
    <font>
      <name val="Calibri"/>
      <color theme="1"/>
    </font>
    <font>
      <name val="Calibri"/>
      <i val="1"/>
      <color rgb="FF808080"/>
    </font>
    <font>
      <name val="Calibri"/>
      <b val="1"/>
      <color theme="1"/>
    </font>
    <font>
      <name val="Arial"/>
      <color rgb="FF008000"/>
      <sz val="9"/>
    </font>
    <font>
      <name val="Arial"/>
      <b val="1"/>
      <color rgb="FF000000"/>
      <sz val="13"/>
    </font>
    <font>
      <name val="Arial"/>
      <b val="1"/>
      <color rgb="FFFFFFFF"/>
      <sz val="8"/>
    </font>
    <font>
      <name val="Arial"/>
      <color rgb="FF0000FF"/>
      <sz val="10"/>
    </font>
    <font>
      <name val="Arial"/>
      <b val="1"/>
      <color rgb="FF008000"/>
      <sz val="11"/>
    </font>
    <font>
      <name val="Arial"/>
      <color rgb="FF000000"/>
      <sz val="10"/>
    </font>
    <font>
      <name val="Arial"/>
      <i val="1"/>
      <color rgb="FF595959"/>
      <sz val="9"/>
    </font>
    <font>
      <name val="Arial"/>
      <color rgb="FF0000FF"/>
      <sz val="9"/>
    </font>
    <font>
      <name val="Arial"/>
      <i val="1"/>
      <color rgb="FF6B7280"/>
      <sz val="8"/>
    </font>
    <font>
      <name val="Arial"/>
      <color rgb="FFB45309"/>
      <sz val="8"/>
    </font>
    <font>
      <name val="Calibri"/>
      <b val="1"/>
      <color theme="1"/>
      <sz val="14"/>
    </font>
    <font>
      <name val="Calibri"/>
      <i val="1"/>
      <color rgb="FFAAAAAA"/>
    </font>
  </fonts>
  <fills count="18">
    <fill>
      <patternFill/>
    </fill>
    <fill>
      <patternFill patternType="lightGray"/>
    </fill>
    <fill>
      <patternFill patternType="solid">
        <fgColor rgb="FFF3F4F6"/>
        <bgColor rgb="FFF3F4F6"/>
      </patternFill>
    </fill>
    <fill>
      <patternFill patternType="solid">
        <fgColor rgb="FF1F2937"/>
        <bgColor rgb="FF1F2937"/>
      </patternFill>
    </fill>
    <fill>
      <patternFill patternType="solid">
        <fgColor rgb="FF305496"/>
        <bgColor rgb="FF305496"/>
      </patternFill>
    </fill>
    <fill>
      <patternFill patternType="solid">
        <fgColor rgb="FFE7E6E6"/>
        <bgColor rgb="FFE7E6E6"/>
      </patternFill>
    </fill>
    <fill>
      <patternFill patternType="solid">
        <fgColor rgb="FF6B7280"/>
        <bgColor rgb="FF6B7280"/>
      </patternFill>
    </fill>
    <fill>
      <patternFill patternType="solid">
        <fgColor rgb="FF2563EB"/>
        <bgColor rgb="FF2563EB"/>
      </patternFill>
    </fill>
    <fill>
      <patternFill patternType="solid">
        <fgColor rgb="FF7C3AED"/>
        <bgColor rgb="FF7C3AED"/>
      </patternFill>
    </fill>
    <fill>
      <patternFill patternType="solid">
        <fgColor rgb="FFD97706"/>
        <bgColor rgb="FFD97706"/>
      </patternFill>
    </fill>
    <fill>
      <patternFill patternType="solid">
        <fgColor rgb="FF059669"/>
        <bgColor rgb="FF059669"/>
      </patternFill>
    </fill>
    <fill>
      <patternFill patternType="solid">
        <fgColor rgb="FF374151"/>
        <bgColor rgb="FF374151"/>
      </patternFill>
    </fill>
    <fill>
      <patternFill patternType="solid">
        <fgColor rgb="FFF4CCCC"/>
        <bgColor rgb="FFF4CCCC"/>
      </patternFill>
    </fill>
    <fill>
      <patternFill patternType="solid">
        <fgColor rgb="FFFFF7CC"/>
        <bgColor rgb="FFFFF7CC"/>
      </patternFill>
    </fill>
    <fill>
      <patternFill patternType="solid">
        <fgColor rgb="FFFEF3C7"/>
        <bgColor rgb="FFFEF3C7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E699"/>
      </patternFill>
    </fill>
    <fill>
      <patternFill patternType="solid">
        <fgColor rgb="FFFFF8DC"/>
        <bgColor rgb="FFFFF8DC"/>
      </patternFill>
    </fill>
  </fills>
  <borders count="6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15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165" fontId="13" fillId="2" borderId="1" applyAlignment="1" pivotButton="0" quotePrefix="0" xfId="0">
      <alignment horizontal="center" vertical="center"/>
    </xf>
    <xf numFmtId="1" fontId="13" fillId="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top" wrapText="1"/>
    </xf>
    <xf numFmtId="166" fontId="13" fillId="2" borderId="1" applyAlignment="1" pivotButton="0" quotePrefix="0" xfId="0">
      <alignment horizontal="center" vertical="center"/>
    </xf>
    <xf numFmtId="167" fontId="13" fillId="2" borderId="1" applyAlignment="1" pivotButton="0" quotePrefix="0" xfId="0">
      <alignment horizontal="center" vertical="center"/>
    </xf>
    <xf numFmtId="168" fontId="13" fillId="2" borderId="1" applyAlignment="1" pivotButton="0" quotePrefix="0" xfId="0">
      <alignment horizontal="center" vertical="center"/>
    </xf>
    <xf numFmtId="169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bottom"/>
    </xf>
    <xf numFmtId="0" fontId="15" fillId="3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2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bottom"/>
    </xf>
    <xf numFmtId="171" fontId="4" fillId="0" borderId="1" applyAlignment="1" pivotButton="0" quotePrefix="0" xfId="0">
      <alignment horizontal="left" vertical="center"/>
    </xf>
    <xf numFmtId="172" fontId="4" fillId="0" borderId="1" applyAlignment="1" pivotButton="0" quotePrefix="0" xfId="0">
      <alignment horizontal="center" vertical="center"/>
    </xf>
    <xf numFmtId="0" fontId="18" fillId="4" borderId="2" applyAlignment="1" pivotButton="0" quotePrefix="0" xfId="0">
      <alignment vertical="bottom"/>
    </xf>
    <xf numFmtId="0" fontId="19" fillId="0" borderId="3" pivotButton="0" quotePrefix="0" xfId="0"/>
    <xf numFmtId="0" fontId="2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173" fontId="1" fillId="5" borderId="4" applyAlignment="1" pivotButton="0" quotePrefix="0" xfId="0">
      <alignment vertical="center"/>
    </xf>
    <xf numFmtId="0" fontId="21" fillId="0" borderId="0" applyAlignment="1" pivotButton="0" quotePrefix="0" xfId="0">
      <alignment vertical="bottom"/>
    </xf>
    <xf numFmtId="0" fontId="1" fillId="5" borderId="4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0" borderId="0" applyAlignment="1" pivotButton="0" quotePrefix="0" xfId="0">
      <alignment vertical="bottom" wrapText="1"/>
    </xf>
    <xf numFmtId="0" fontId="21" fillId="0" borderId="0" applyAlignment="1" pivotButton="0" quotePrefix="0" xfId="0">
      <alignment vertical="top" wrapText="1"/>
    </xf>
    <xf numFmtId="0" fontId="1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3" fillId="0" borderId="0" applyAlignment="1" pivotButton="0" quotePrefix="0" xfId="0">
      <alignment vertical="bottom"/>
    </xf>
    <xf numFmtId="0" fontId="15" fillId="3" borderId="1" applyAlignment="1" pivotButton="0" quotePrefix="0" xfId="0">
      <alignment horizontal="center" vertical="bottom"/>
    </xf>
    <xf numFmtId="0" fontId="24" fillId="0" borderId="0" pivotButton="0" quotePrefix="0" xfId="0"/>
    <xf numFmtId="166" fontId="4" fillId="0" borderId="1" applyAlignment="1" pivotButton="0" quotePrefix="0" xfId="0">
      <alignment vertical="bottom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bottom"/>
    </xf>
    <xf numFmtId="174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vertical="bottom"/>
    </xf>
    <xf numFmtId="2" fontId="25" fillId="0" borderId="1" applyAlignment="1" pivotButton="0" quotePrefix="0" xfId="0">
      <alignment vertical="bottom"/>
    </xf>
    <xf numFmtId="169" fontId="4" fillId="0" borderId="1" applyAlignment="1" pivotButton="0" quotePrefix="0" xfId="0">
      <alignment vertical="bottom"/>
    </xf>
    <xf numFmtId="175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16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center"/>
    </xf>
    <xf numFmtId="176" fontId="4" fillId="0" borderId="1" applyAlignment="1" pivotButton="0" quotePrefix="0" xfId="0">
      <alignment vertical="bottom"/>
    </xf>
    <xf numFmtId="172" fontId="3" fillId="0" borderId="1" applyAlignment="1" pivotButton="0" quotePrefix="0" xfId="0">
      <alignment vertical="bottom"/>
    </xf>
    <xf numFmtId="0" fontId="25" fillId="0" borderId="1" applyAlignment="1" pivotButton="0" quotePrefix="0" xfId="0">
      <alignment horizontal="center" vertical="center"/>
    </xf>
    <xf numFmtId="172" fontId="25" fillId="0" borderId="1" applyAlignment="1" pivotButton="0" quotePrefix="0" xfId="0">
      <alignment vertical="bottom"/>
    </xf>
    <xf numFmtId="172" fontId="4" fillId="0" borderId="1" applyAlignment="1" pivotButton="0" quotePrefix="0" xfId="0">
      <alignment vertical="bottom"/>
    </xf>
    <xf numFmtId="0" fontId="8" fillId="2" borderId="1" applyAlignment="1" pivotButton="0" quotePrefix="0" xfId="0">
      <alignment horizontal="center" vertical="bottom"/>
    </xf>
    <xf numFmtId="165" fontId="8" fillId="2" borderId="1" applyAlignment="1" pivotButton="0" quotePrefix="0" xfId="0">
      <alignment horizontal="center" vertical="bottom"/>
    </xf>
    <xf numFmtId="0" fontId="22" fillId="0" borderId="0" pivotButton="0" quotePrefix="0" xfId="0"/>
    <xf numFmtId="0" fontId="22" fillId="0" borderId="0" pivotButton="0" quotePrefix="0" xfId="0"/>
    <xf numFmtId="0" fontId="8" fillId="2" borderId="1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bottom"/>
    </xf>
    <xf numFmtId="164" fontId="1" fillId="0" borderId="0" applyAlignment="1" pivotButton="0" quotePrefix="0" xfId="0">
      <alignment vertical="bottom"/>
    </xf>
    <xf numFmtId="174" fontId="1" fillId="0" borderId="0" applyAlignment="1" pivotButton="0" quotePrefix="0" xfId="0">
      <alignment vertical="bottom"/>
    </xf>
    <xf numFmtId="2" fontId="1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177" fontId="22" fillId="0" borderId="0" applyAlignment="1" pivotButton="0" quotePrefix="0" xfId="0">
      <alignment horizontal="center"/>
    </xf>
    <xf numFmtId="177" fontId="22" fillId="0" borderId="0" applyAlignment="1" pivotButton="0" quotePrefix="0" xfId="0">
      <alignment horizontal="center"/>
    </xf>
    <xf numFmtId="0" fontId="15" fillId="6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9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center"/>
    </xf>
    <xf numFmtId="0" fontId="15" fillId="11" borderId="4" applyAlignment="1" pivotButton="0" quotePrefix="0" xfId="0">
      <alignment horizontal="center" vertical="center"/>
    </xf>
    <xf numFmtId="0" fontId="27" fillId="3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/>
    </xf>
    <xf numFmtId="171" fontId="17" fillId="12" borderId="1" applyAlignment="1" pivotButton="0" quotePrefix="0" xfId="0">
      <alignment horizontal="left" vertical="center"/>
    </xf>
    <xf numFmtId="174" fontId="17" fillId="12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left" vertical="center"/>
    </xf>
    <xf numFmtId="2" fontId="28" fillId="13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center" vertical="center"/>
    </xf>
    <xf numFmtId="172" fontId="17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/>
    </xf>
    <xf numFmtId="0" fontId="28" fillId="13" borderId="1" applyAlignment="1" pivotButton="0" quotePrefix="0" xfId="0">
      <alignment horizontal="center" vertical="center"/>
    </xf>
    <xf numFmtId="165" fontId="28" fillId="13" borderId="1" applyAlignment="1" pivotButton="0" quotePrefix="0" xfId="0">
      <alignment horizontal="center" vertical="center"/>
    </xf>
    <xf numFmtId="168" fontId="17" fillId="2" borderId="1" applyAlignment="1" pivotButton="0" quotePrefix="0" xfId="0">
      <alignment horizontal="center" vertical="center"/>
    </xf>
    <xf numFmtId="4" fontId="28" fillId="13" borderId="1" applyAlignment="1" pivotButton="0" quotePrefix="0" xfId="0">
      <alignment horizontal="center" vertical="center"/>
    </xf>
    <xf numFmtId="0" fontId="28" fillId="13" borderId="1" applyAlignment="1" pivotButton="0" quotePrefix="0" xfId="0">
      <alignment horizontal="center" vertical="center"/>
    </xf>
    <xf numFmtId="2" fontId="28" fillId="1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171" fontId="17" fillId="2" borderId="1" applyAlignment="1" pivotButton="0" quotePrefix="0" xfId="0">
      <alignment horizontal="left" vertical="center"/>
    </xf>
    <xf numFmtId="174" fontId="17" fillId="2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171" fontId="17" fillId="14" borderId="1" applyAlignment="1" pivotButton="0" quotePrefix="0" xfId="0">
      <alignment horizontal="left" vertical="center"/>
    </xf>
    <xf numFmtId="165" fontId="28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165" fontId="28" fillId="15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top" wrapText="1"/>
    </xf>
    <xf numFmtId="2" fontId="28" fillId="15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9" fontId="28" fillId="15" borderId="1" applyAlignment="1" pivotButton="0" quotePrefix="0" xfId="0">
      <alignment horizontal="center" vertical="center"/>
    </xf>
    <xf numFmtId="169" fontId="28" fillId="15" borderId="1" applyAlignment="1" pivotButton="0" quotePrefix="0" xfId="0">
      <alignment horizontal="center" vertical="center"/>
    </xf>
    <xf numFmtId="165" fontId="29" fillId="0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bottom"/>
    </xf>
    <xf numFmtId="0" fontId="28" fillId="15" borderId="1" applyAlignment="1" pivotButton="0" quotePrefix="0" xfId="0">
      <alignment horizontal="center" vertical="center"/>
    </xf>
    <xf numFmtId="2" fontId="30" fillId="0" borderId="1" applyAlignment="1" pivotButton="0" quotePrefix="0" xfId="0">
      <alignment horizontal="center" vertical="center"/>
    </xf>
    <xf numFmtId="169" fontId="30" fillId="0" borderId="1" applyAlignment="1" pivotButton="0" quotePrefix="0" xfId="0">
      <alignment horizontal="center" vertical="center"/>
    </xf>
    <xf numFmtId="0" fontId="18" fillId="4" borderId="4" applyAlignment="1" pivotButton="0" quotePrefix="0" xfId="0">
      <alignment vertical="bottom"/>
    </xf>
    <xf numFmtId="2" fontId="1" fillId="16" borderId="5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 wrapText="1"/>
    </xf>
    <xf numFmtId="10" fontId="1" fillId="5" borderId="5" applyAlignment="1" pivotButton="0" quotePrefix="0" xfId="0">
      <alignment horizontal="center" vertical="center"/>
    </xf>
    <xf numFmtId="165" fontId="1" fillId="5" borderId="5" applyAlignment="1" pivotButton="0" quotePrefix="0" xfId="0">
      <alignment horizontal="center" vertical="center"/>
    </xf>
    <xf numFmtId="10" fontId="1" fillId="16" borderId="5" applyAlignment="1" pivotButton="0" quotePrefix="0" xfId="0">
      <alignment horizontal="center" vertical="center"/>
    </xf>
    <xf numFmtId="0" fontId="1" fillId="5" borderId="5" applyAlignment="1" pivotButton="0" quotePrefix="0" xfId="0">
      <alignment horizontal="center" vertical="center"/>
    </xf>
    <xf numFmtId="0" fontId="1" fillId="16" borderId="5" applyAlignment="1" pivotButton="0" quotePrefix="0" xfId="0">
      <alignment horizontal="center" vertical="center"/>
    </xf>
    <xf numFmtId="173" fontId="1" fillId="5" borderId="5" applyAlignment="1" pivotButton="0" quotePrefix="0" xfId="0">
      <alignment horizontal="center" vertical="center"/>
    </xf>
    <xf numFmtId="0" fontId="1" fillId="5" borderId="5" applyAlignment="1" pivotButton="0" quotePrefix="0" xfId="0">
      <alignment horizontal="center" vertical="center"/>
    </xf>
    <xf numFmtId="0" fontId="1" fillId="5" borderId="5" applyAlignment="1" pivotButton="0" quotePrefix="0" xfId="0">
      <alignment horizontal="center" vertical="center"/>
    </xf>
    <xf numFmtId="0" fontId="31" fillId="0" borderId="0" applyAlignment="1" pivotButton="0" quotePrefix="0" xfId="0">
      <alignment vertical="bottom" wrapText="1"/>
    </xf>
    <xf numFmtId="173" fontId="1" fillId="0" borderId="0" applyAlignment="1" pivotButton="0" quotePrefix="0" xfId="0">
      <alignment vertical="bottom"/>
    </xf>
    <xf numFmtId="169" fontId="4" fillId="0" borderId="1" applyAlignment="1" pivotButton="0" quotePrefix="0" xfId="0">
      <alignment horizontal="center" vertical="center"/>
    </xf>
    <xf numFmtId="2" fontId="32" fillId="13" borderId="1" applyAlignment="1" pivotButton="0" quotePrefix="0" xfId="0">
      <alignment horizontal="center" vertical="center"/>
    </xf>
    <xf numFmtId="0" fontId="33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center"/>
    </xf>
    <xf numFmtId="178" fontId="32" fillId="13" borderId="1" applyAlignment="1" pivotButton="0" quotePrefix="0" xfId="0">
      <alignment horizontal="center" vertical="center"/>
    </xf>
    <xf numFmtId="0" fontId="34" fillId="0" borderId="1" applyAlignment="1" pivotButton="0" quotePrefix="0" xfId="0">
      <alignment horizontal="center" vertical="center"/>
    </xf>
    <xf numFmtId="178" fontId="4" fillId="0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0" borderId="0" pivotButton="0" quotePrefix="0" xfId="0"/>
    <xf numFmtId="0" fontId="24" fillId="17" borderId="0" pivotButton="0" quotePrefix="0" xfId="0"/>
    <xf numFmtId="0" fontId="36" fillId="0" borderId="0" pivotButton="0" quotePrefix="0" xfId="0"/>
    <xf numFmtId="173" fontId="1" fillId="0" borderId="0" pivotButton="0" quotePrefix="0" xfId="0"/>
    <xf numFmtId="14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6">
    <dxf>
      <font>
        <name val="Arial"/>
        <color rgb="FFB91C1C"/>
      </font>
      <fill>
        <patternFill/>
      </fill>
      <border/>
    </dxf>
    <dxf>
      <font>
        <name val="Arial"/>
        <color rgb="FF15803D"/>
      </font>
      <fill>
        <patternFill/>
      </fill>
      <border/>
    </dxf>
    <dxf>
      <font>
        <name val="Arial"/>
        <b val="1"/>
        <color rgb="FF14532D"/>
      </font>
      <fill>
        <patternFill patternType="solid">
          <fgColor rgb="FF86EFAC"/>
          <bgColor rgb="FF86EFAC"/>
        </patternFill>
      </fill>
      <border/>
    </dxf>
    <dxf>
      <font>
        <name val="Arial"/>
        <color rgb="FF9CA3AF"/>
      </font>
      <fill>
        <patternFill/>
      </fill>
      <border/>
    </dxf>
    <dxf>
      <font/>
      <fill>
        <patternFill patternType="solid">
          <fgColor rgb="FFFDE68A"/>
          <bgColor rgb="FFFDE68A"/>
        </patternFill>
      </fill>
      <border/>
    </dxf>
    <dxf>
      <font/>
      <fill>
        <patternFill patternType="solid">
          <fgColor rgb="FFFCA5A5"/>
          <bgColor rgb="FFFCA5A5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None</author>
  </authors>
  <commentList>
    <comment ref="I1" authorId="0" shapeId="0">
      <text>
        <t>Source: your model — fifa-wc-26-prediction.vercel.app/predictions.json
Snapshot 2026-06-10 14:10 UTC. Re-paste I:K after live re-sims.</t>
      </text>
    </comment>
    <comment ref="L1" authorId="0" shapeId="0">
      <text>
        <t>AUTO-FILLED from the Matchday tab. Type odds THERE, never here.</t>
      </text>
    </comment>
    <comment ref="A74" authorId="0" shapeId="0">
      <text>
        <t>R32 — bracket slot 1</t>
      </text>
    </comment>
    <comment ref="A75" authorId="0" shapeId="0">
      <text>
        <t>R32 — bracket slot 2</t>
      </text>
    </comment>
    <comment ref="A76" authorId="0" shapeId="0">
      <text>
        <t>R32 — bracket slot 3</t>
      </text>
    </comment>
    <comment ref="A77" authorId="0" shapeId="0">
      <text>
        <t>R32 — bracket slot 4</t>
      </text>
    </comment>
    <comment ref="A78" authorId="0" shapeId="0">
      <text>
        <t>R32 — bracket slot 5</t>
      </text>
    </comment>
    <comment ref="A79" authorId="0" shapeId="0">
      <text>
        <t>R32 — bracket slot 6</t>
      </text>
    </comment>
    <comment ref="A80" authorId="0" shapeId="0">
      <text>
        <t>R32 — bracket slot 7</t>
      </text>
    </comment>
    <comment ref="A81" authorId="0" shapeId="0">
      <text>
        <t>R32 — bracket slot 8</t>
      </text>
    </comment>
    <comment ref="A82" authorId="0" shapeId="0">
      <text>
        <t>R32 — bracket slot 9</t>
      </text>
    </comment>
    <comment ref="A83" authorId="0" shapeId="0">
      <text>
        <t>R32 — bracket slot 10</t>
      </text>
    </comment>
    <comment ref="A84" authorId="0" shapeId="0">
      <text>
        <t>R32 — bracket slot 11</t>
      </text>
    </comment>
    <comment ref="A85" authorId="0" shapeId="0">
      <text>
        <t>R32 — bracket slot 12</t>
      </text>
    </comment>
    <comment ref="A86" authorId="0" shapeId="0">
      <text>
        <t>R32 — bracket slot 13</t>
      </text>
    </comment>
    <comment ref="A87" authorId="0" shapeId="0">
      <text>
        <t>R32 — bracket slot 14</t>
      </text>
    </comment>
    <comment ref="A88" authorId="0" shapeId="0">
      <text>
        <t>R32 — bracket slot 15</t>
      </text>
    </comment>
    <comment ref="A89" authorId="0" shapeId="0">
      <text>
        <t>R32 — bracket slot 16</t>
      </text>
    </comment>
    <comment ref="A90" authorId="0" shapeId="0">
      <text>
        <t>R16 — bracket slot 1</t>
      </text>
    </comment>
    <comment ref="A91" authorId="0" shapeId="0">
      <text>
        <t>R16 — bracket slot 2</t>
      </text>
    </comment>
    <comment ref="A92" authorId="0" shapeId="0">
      <text>
        <t>R16 — bracket slot 3</t>
      </text>
    </comment>
    <comment ref="A93" authorId="0" shapeId="0">
      <text>
        <t>R16 — bracket slot 4</t>
      </text>
    </comment>
    <comment ref="A94" authorId="0" shapeId="0">
      <text>
        <t>R16 — bracket slot 5</t>
      </text>
    </comment>
    <comment ref="A95" authorId="0" shapeId="0">
      <text>
        <t>R16 — bracket slot 6</t>
      </text>
    </comment>
    <comment ref="A96" authorId="0" shapeId="0">
      <text>
        <t>R16 — bracket slot 7</t>
      </text>
    </comment>
    <comment ref="A97" authorId="0" shapeId="0">
      <text>
        <t>R16 — bracket slot 8</t>
      </text>
    </comment>
    <comment ref="A98" authorId="0" shapeId="0">
      <text>
        <t>QF — bracket slot 1</t>
      </text>
    </comment>
    <comment ref="A99" authorId="0" shapeId="0">
      <text>
        <t>QF — bracket slot 2</t>
      </text>
    </comment>
    <comment ref="A100" authorId="0" shapeId="0">
      <text>
        <t>QF — bracket slot 3</t>
      </text>
    </comment>
    <comment ref="A101" authorId="0" shapeId="0">
      <text>
        <t>QF — bracket slot 4</t>
      </text>
    </comment>
    <comment ref="A102" authorId="0" shapeId="0">
      <text>
        <t>SF — bracket slot 1</t>
      </text>
    </comment>
    <comment ref="A103" authorId="0" shapeId="0">
      <text>
        <t>SF — bracket slot 2</t>
      </text>
    </comment>
    <comment ref="A104" authorId="0" shapeId="0">
      <text>
        <t>3rd — bracket slot 1</t>
      </text>
    </comment>
    <comment ref="A105" authorId="0" shapeId="0">
      <text>
        <t>Final — bracket slot 1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E3" authorId="0" shapeId="0">
      <text>
        <t>YOU TYPE — home win price, DECIMAL (21/50 = 1.42). Betting app: settings → odds format → Decimal.</t>
      </text>
    </comment>
    <comment ref="F3" authorId="0" shapeId="0">
      <text>
        <t>YOU TYPE — draw price, decimal (7/2 = 4.50).</t>
      </text>
    </comment>
    <comment ref="G3" authorId="0" shapeId="0">
      <text>
        <t>YOU TYPE — away win price, decimal (15/2 = 8.50).</t>
      </text>
    </comment>
    <comment ref="H3" authorId="0" shapeId="0">
      <text>
        <t>AUTOMATIC — what the engine would back.</t>
      </text>
    </comment>
    <comment ref="I3" authorId="0" shapeId="0">
      <text>
        <t>AUTOMATIC — BET or PASS.</t>
      </text>
    </comment>
    <comment ref="J3" authorId="0" shapeId="0">
      <text>
        <t>AUTOMATIC — how much to bet. "–" = PASS = the engine answered NO BET. That is it working, not a glitch.</t>
      </text>
    </comment>
    <comment ref="K3" authorId="0" shapeId="0">
      <text>
        <t>AUTOMATIC — the reason in plain English.</t>
      </text>
    </comment>
    <comment ref="L3" authorId="0" shapeId="0">
      <text>
        <t>YOU TYPE — only when DECISION = BET. Y = team news fine AND both teams have something to play for. N = concern (star out, B-team, storm, dead rubber). Amber match numbers = final group round — dead rubbers likely.</t>
      </text>
    </comment>
    <comment ref="M3" authorId="0" shapeId="0">
      <text>
        <t>AUTOMATIC — your single instruction: 🟢 PLACE / 🟡 WAIT / 🔴 SKIP / ❌ NO BET.</t>
      </text>
    </comment>
    <comment ref="N3" authorId="0" shapeId="0">
      <text>
        <t>YOU TYPE — Y after you actually place a bet (engine or fun).</t>
      </text>
    </comment>
    <comment ref="O3" authorId="0" shapeId="0">
      <text>
        <t>YOU TYPE — which outcome YOU backed: H, D or A. For engine bets this is the PICK; fun bets can back anything. P&amp;L grades against THIS, so your record can never be rewritten.</t>
      </text>
    </comment>
    <comment ref="P3" authorId="0" shapeId="0">
      <text>
        <t>YOU TYPE — the decimal price on your slip when you confirmed the bet.</t>
      </text>
    </comment>
    <comment ref="Q3" authorId="0" shapeId="0">
      <text>
        <t>YOU TYPE — the £ you actually staked.</t>
      </text>
    </comment>
    <comment ref="R3" authorId="0" shapeId="0">
      <text>
        <t>YOU TYPE — after full time: H, D, A, or Void.</t>
      </text>
    </comment>
    <comment ref="S3" authorId="0" shapeId="0">
      <text>
        <t>AUTOMATIC — honesty label: ✓ engine bet / ⚠ fun bet / warnings.</t>
      </text>
    </comment>
    <comment ref="T3" authorId="0" shapeId="0">
      <text>
        <t>OPTIONAL, YOU TYPE — price just before kickoff (for CLV homework).</t>
      </text>
    </comment>
    <comment ref="U3" authorId="0" shapeId="0">
      <text>
        <t>AUTOMATIC — closing-line value: + means you beat the closing price.</t>
      </text>
    </comment>
    <comment ref="N4" authorId="0" shapeId="0">
      <text>
        <t>Your £20 on Mexico @ 21/50 (Bet365, 11 Jun). Engine said PASS, so STATUS labels it a FUN BET. Enter Result after full time.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wc26-matchday-intelligence.vercel.app/live_state.json" TargetMode="External" Id="rId1" /><Relationship Type="http://schemas.openxmlformats.org/officeDocument/2006/relationships/hyperlink" Target="https://wc26-matchday-intelligence.vercel.app/predictions_live.json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selection activeCell="A1" sqref="A1"/>
    </sheetView>
  </sheetViews>
  <sheetFormatPr baseColWidth="8" defaultColWidth="14.43" defaultRowHeight="15" customHeight="1"/>
  <cols>
    <col width="118" customWidth="1" style="153" min="1" max="1"/>
    <col width="8.710000000000001" customWidth="1" style="153" min="2" max="6"/>
  </cols>
  <sheetData>
    <row r="1">
      <c r="A1" s="54" t="n"/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3" t="inlineStr">
        <is>
          <t>READ ME — 1 MINUTE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4" t="inlineStr">
        <is>
          <t>The ONLY tab you use is MATCHDAY. (Bets = engine audit · Dashboard = scoreboard · Method = settings &amp; rules · Model vs Market = context.)</t>
        </is>
      </c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" t="n"/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6" t="inlineStr">
        <is>
          <t>YELLOW CELLS = YOU TYPE. There are only 5 things, all on the Matchday tab: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" t="inlineStr">
        <is>
          <t xml:space="preserve">  1.  Odds 1 / X / 2 — the three DECIMAL prices from your betting app (1 = home, X = draw, 2 = away).  21/50 → 1.42 · 7/2 → 4.50 · 15/2 → 8.50.  Bet365: Settings → Odds format → Decimal.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" t="inlineStr">
        <is>
          <t xml:space="preserve">  2.  Team news OK? — Y or N. Only needed when DECISION says BET.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" t="inlineStr">
        <is>
          <t xml:space="preserve">  3.  Placed? + Backed (H/D/A) + Odds you got + Stake you placed — your log AFTER you bet. "Backed" = the outcome on your slip; P&amp;L grades against it, so model updates can never rewrite your record.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" t="inlineStr">
        <is>
          <t xml:space="preserve">  4.  Result — H, D, A or Void, after full time.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" t="inlineStr">
        <is>
          <t xml:space="preserve">  5.  Closing odds (optional) — the price just before kickoff, for the CLV homework.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" t="n"/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6" t="inlineStr">
        <is>
          <t>EVERYTHING ELSE IS AUTOMATIC: PICK, DECISION, ENGINE STAKE, WHY, FINAL ACTION, STATUS, CLV, the whole Dashboard and your bankroll.</t>
        </is>
      </c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6" t="inlineStr">
        <is>
          <t>HOW TO READ THE ANSWER</t>
        </is>
      </c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" t="inlineStr">
        <is>
          <t xml:space="preserve">  · ENGINE STAKE "–"  +  FINAL ACTION "❌ NO BET"  →  the engine DID respond: do not bet this match. Example: South Korea v Czechia at 2.70 / 3.10 / 2.80 → EV +1.6%, below the 2.5% bar → NO BET. Nothing is broken.</t>
        </is>
      </c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" t="inlineStr">
        <is>
          <t xml:space="preserve">  · FINAL ACTION "🟢 PLACE £x on [pick]"  →  bet exactly that amount on exactly that pick, after the team-news check.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" t="inlineStr">
        <is>
          <t xml:space="preserve">  · Most matches will be ❌. The rare 🟢 rows are where the profit lives.</t>
        </is>
      </c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" t="inlineStr">
        <is>
          <t>FINAL GROUP ROUND (amber match numbers, 24–27 Jun): check both teams still have something to play for before typing Y — dead rubbers mean B-teams, and the model cannot see the group table.</t>
        </is>
      </c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" t="inlineStr">
        <is>
          <t>MODEL UPDATED AFTER RESULTS? Use the Model Refresh tab — it refreshes future matches and freezes everything you already placed.</t>
        </is>
      </c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.75" customHeight="1" s="153">
      <c r="A21" s="6" t="inlineStr">
        <is>
          <t>GOLDEN RULE: "likely to win" is NOT "worth betting" — the only question is whether the price beats the probability.</t>
        </is>
      </c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.75" customHeight="1" s="153">
      <c r="A22" s="7" t="inlineStr">
        <is>
          <t>18+ · fun money only · not financial advice · BeGambleAware.org</t>
        </is>
      </c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.75" customHeight="1" s="153">
      <c r="A23" s="54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.75" customHeight="1" s="153">
      <c r="A24" s="8" t="inlineStr">
        <is>
          <t>v2 (AUTOMATED) — what changed</t>
        </is>
      </c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.75" customHeight="1" s="153">
      <c r="A25" s="54" t="inlineStr">
        <is>
          <t>1. Live model: Apps Script refreshes Bets!I:K from predictions_live.json every 5 min (skips any row already Placed=Y so history is never rewritten).</t>
        </is>
      </c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.75" customHeight="1" s="153">
      <c r="A26" s="54" t="inlineStr">
        <is>
          <t>2. CLV-actuated w: Method!B4 floats with rolling CLV (B46–B49). Knobs in yellow.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.75" customHeight="1" s="153">
      <c r="A27" s="54" t="inlineStr">
        <is>
          <t>3. Better de-vig: Method!B56 picks proportional / shin / power. Shin/power lift the favourite ~1pp on 3-way markets (fixes the bias the audit called out).</t>
        </is>
      </c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.75" customHeight="1" s="153">
      <c r="A28" s="54" t="inlineStr">
        <is>
          <t>4. Drawdown circuit-breaker: Method!B50–B55. If you’re ≥15% below peak, every row flips to 🛑 PAUSED until you recover or override Method!B54=Y.</t>
        </is>
      </c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.75" customHeight="1" s="153">
      <c r="A29" s="54" t="inlineStr">
        <is>
          <t>5. Sheet protection: Apps Script applyProtections() locks all formula cells, leaves yellow input cells editable. Run it from the WC26 Engine menu after install.</t>
        </is>
      </c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.75" customHeight="1" s="153">
      <c r="A30" s="54" t="inlineStr">
        <is>
          <t>INSTALL: see WC26_Engine_INSTALL.md. One-time: paste the .gs, run installEngine(), approve the URL fetch + trigger scopes.</t>
        </is>
      </c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.75" customHeight="1" s="153">
      <c r="A31" s="9" t="inlineStr">
        <is>
          <t>v2.1 PATCH — three fixes: (1) drawdown pause now blocks new stakes only, it can no longer relabel settled engine bets as fun bets; (2) SHIN/POWER de-vig return shape fixed so shin/power actually reach the sheet (was silently falling back to proportional); (3) w override clamped to 0.15–0.55. New: the script snapshots decision/stake/pick at the moment you log Placed=Y, so later model refreshes, w drift or de-vig switches can never reclassify a placed bet.</t>
        </is>
      </c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.75" customHeight="1" s="153">
      <c r="A32" s="9" t="inlineStr">
        <is>
          <t>v2.2 — last-mile hardening: pause can no longer distort the STATUS text for un-snapshotted bets; First-time setup now retro-snapshots any bet placed before the script existed; snapshot cells stay writable for shared editors (share view-only with friends regardless — they scale stakes via "£ / £100 bank").</t>
        </is>
      </c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.75" customHeight="1" s="153">
      <c r="A33" s="54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.75" customHeight="1" s="153">
      <c r="A34" s="54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.75" customHeight="1" s="153">
      <c r="A35" s="54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.75" customHeight="1" s="153">
      <c r="A36" s="54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.75" customHeight="1" s="153">
      <c r="A37" s="54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.75" customHeight="1" s="153">
      <c r="A38" s="54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.75" customHeight="1" s="153">
      <c r="A39" s="54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.75" customHeight="1" s="153">
      <c r="A40" s="54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.75" customHeight="1" s="153">
      <c r="A41" s="54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.75" customHeight="1" s="153">
      <c r="A42" s="54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.75" customHeight="1" s="153">
      <c r="A43" s="54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.75" customHeight="1" s="153">
      <c r="A45" s="54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.75" customHeight="1" s="153">
      <c r="A46" s="54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.75" customHeight="1" s="153">
      <c r="A47" s="54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.75" customHeight="1" s="153">
      <c r="A48" s="54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.75" customHeight="1" s="153">
      <c r="A49" s="54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.75" customHeight="1" s="153">
      <c r="A50" s="54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.75" customHeight="1" s="153">
      <c r="A51" s="54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.75" customHeight="1" s="153">
      <c r="A52" s="54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.75" customHeight="1" s="153">
      <c r="A53" s="54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.75" customHeight="1" s="153">
      <c r="A54" s="54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.75" customHeight="1" s="153">
      <c r="A55" s="54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.75" customHeight="1" s="153">
      <c r="A56" s="54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.75" customHeight="1" s="153">
      <c r="A57" s="54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.75" customHeight="1" s="153">
      <c r="A58" s="54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.75" customHeight="1" s="153">
      <c r="A59" s="54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.75" customHeight="1" s="153">
      <c r="A60" s="54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.75" customHeight="1" s="153">
      <c r="A61" s="54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.75" customHeight="1" s="153">
      <c r="A62" s="54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.75" customHeight="1" s="153">
      <c r="A63" s="54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.75" customHeight="1" s="153">
      <c r="A64" s="54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.75" customHeight="1" s="153">
      <c r="A65" s="54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54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2" t="n"/>
      <c r="C201" s="52" t="n"/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2" t="n"/>
      <c r="C202" s="52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2" t="n"/>
      <c r="C203" s="52" t="n"/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2" t="n"/>
      <c r="C204" s="52" t="n"/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2" t="n"/>
      <c r="C205" s="52" t="n"/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2" t="n"/>
      <c r="C206" s="52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2" t="n"/>
      <c r="C207" s="52" t="n"/>
      <c r="D207" s="52" t="n"/>
      <c r="E207" s="52" t="n"/>
      <c r="F207" s="52" t="n"/>
      <c r="G207" s="52" t="n"/>
      <c r="H207" s="52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2" t="n"/>
      <c r="C208" s="52" t="n"/>
      <c r="D208" s="52" t="n"/>
      <c r="E208" s="52" t="n"/>
      <c r="F208" s="52" t="n"/>
      <c r="G208" s="52" t="n"/>
      <c r="H208" s="52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2" t="n"/>
      <c r="C209" s="52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2" t="n"/>
      <c r="C210" s="52" t="n"/>
      <c r="D210" s="52" t="n"/>
      <c r="E210" s="52" t="n"/>
      <c r="F210" s="52" t="n"/>
      <c r="G210" s="52" t="n"/>
      <c r="H210" s="52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2" t="n"/>
      <c r="C211" s="52" t="n"/>
      <c r="D211" s="52" t="n"/>
      <c r="E211" s="52" t="n"/>
      <c r="F211" s="52" t="n"/>
      <c r="G211" s="52" t="n"/>
      <c r="H211" s="52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2" t="n"/>
      <c r="C212" s="52" t="n"/>
      <c r="D212" s="52" t="n"/>
      <c r="E212" s="52" t="n"/>
      <c r="F212" s="52" t="n"/>
      <c r="G212" s="52" t="n"/>
      <c r="H212" s="52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2" t="n"/>
      <c r="C213" s="52" t="n"/>
      <c r="D213" s="52" t="n"/>
      <c r="E213" s="52" t="n"/>
      <c r="F213" s="52" t="n"/>
      <c r="G213" s="52" t="n"/>
      <c r="H213" s="52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2" t="n"/>
      <c r="C214" s="52" t="n"/>
      <c r="D214" s="52" t="n"/>
      <c r="E214" s="52" t="n"/>
      <c r="F214" s="52" t="n"/>
      <c r="G214" s="52" t="n"/>
      <c r="H214" s="52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2" t="n"/>
      <c r="C215" s="52" t="n"/>
      <c r="D215" s="52" t="n"/>
      <c r="E215" s="52" t="n"/>
      <c r="F215" s="52" t="n"/>
      <c r="G215" s="52" t="n"/>
      <c r="H215" s="52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2" t="n"/>
      <c r="C216" s="52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2" t="n"/>
      <c r="C217" s="52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2" t="n"/>
      <c r="C218" s="52" t="n"/>
      <c r="D218" s="52" t="n"/>
      <c r="E218" s="52" t="n"/>
      <c r="F218" s="52" t="n"/>
      <c r="G218" s="52" t="n"/>
      <c r="H218" s="52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2" t="n"/>
      <c r="C219" s="52" t="n"/>
      <c r="D219" s="52" t="n"/>
      <c r="E219" s="52" t="n"/>
      <c r="F219" s="52" t="n"/>
      <c r="G219" s="52" t="n"/>
      <c r="H219" s="52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2" t="n"/>
      <c r="C220" s="52" t="n"/>
      <c r="D220" s="52" t="n"/>
      <c r="E220" s="52" t="n"/>
      <c r="F220" s="52" t="n"/>
      <c r="G220" s="52" t="n"/>
      <c r="H220" s="52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2" t="n"/>
      <c r="C221" s="52" t="n"/>
      <c r="D221" s="52" t="n"/>
      <c r="E221" s="52" t="n"/>
      <c r="F221" s="52" t="n"/>
      <c r="G221" s="52" t="n"/>
      <c r="H221" s="52" t="n"/>
      <c r="I221" s="52" t="n"/>
      <c r="J221" s="52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2" t="n"/>
      <c r="C222" s="52" t="n"/>
      <c r="D222" s="52" t="n"/>
      <c r="E222" s="52" t="n"/>
      <c r="F222" s="52" t="n"/>
      <c r="G222" s="52" t="n"/>
      <c r="H222" s="52" t="n"/>
      <c r="I222" s="52" t="n"/>
      <c r="J222" s="52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2" t="n"/>
      <c r="C223" s="52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2" t="n"/>
      <c r="C224" s="52" t="n"/>
      <c r="D224" s="52" t="n"/>
      <c r="E224" s="52" t="n"/>
      <c r="F224" s="52" t="n"/>
      <c r="G224" s="52" t="n"/>
      <c r="H224" s="52" t="n"/>
      <c r="I224" s="52" t="n"/>
      <c r="J224" s="52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2" t="n"/>
      <c r="C225" s="52" t="n"/>
      <c r="D225" s="52" t="n"/>
      <c r="E225" s="52" t="n"/>
      <c r="F225" s="52" t="n"/>
      <c r="G225" s="52" t="n"/>
      <c r="H225" s="52" t="n"/>
      <c r="I225" s="52" t="n"/>
      <c r="J225" s="52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2" t="n"/>
      <c r="C226" s="52" t="n"/>
      <c r="D226" s="52" t="n"/>
      <c r="E226" s="52" t="n"/>
      <c r="F226" s="52" t="n"/>
      <c r="G226" s="52" t="n"/>
      <c r="H226" s="52" t="n"/>
      <c r="I226" s="52" t="n"/>
      <c r="J226" s="52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2" t="n"/>
      <c r="C227" s="52" t="n"/>
      <c r="D227" s="52" t="n"/>
      <c r="E227" s="52" t="n"/>
      <c r="F227" s="52" t="n"/>
      <c r="G227" s="52" t="n"/>
      <c r="H227" s="52" t="n"/>
      <c r="I227" s="52" t="n"/>
      <c r="J227" s="52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2" t="n"/>
      <c r="C228" s="52" t="n"/>
      <c r="D228" s="52" t="n"/>
      <c r="E228" s="52" t="n"/>
      <c r="F228" s="52" t="n"/>
      <c r="G228" s="52" t="n"/>
      <c r="H228" s="52" t="n"/>
      <c r="I228" s="52" t="n"/>
      <c r="J228" s="52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2" t="n"/>
      <c r="C229" s="52" t="n"/>
      <c r="D229" s="52" t="n"/>
      <c r="E229" s="52" t="n"/>
      <c r="F229" s="52" t="n"/>
      <c r="G229" s="52" t="n"/>
      <c r="H229" s="52" t="n"/>
      <c r="I229" s="52" t="n"/>
      <c r="J229" s="52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2" t="n"/>
      <c r="C230" s="52" t="n"/>
      <c r="D230" s="52" t="n"/>
      <c r="E230" s="52" t="n"/>
      <c r="F230" s="52" t="n"/>
      <c r="G230" s="52" t="n"/>
      <c r="H230" s="52" t="n"/>
      <c r="I230" s="52" t="n"/>
      <c r="J230" s="52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>
      <c r="A231" s="54" t="n"/>
      <c r="B231" s="52" t="n"/>
      <c r="C231" s="52" t="n"/>
      <c r="D231" s="52" t="n"/>
      <c r="E231" s="52" t="n"/>
      <c r="F231" s="52" t="n"/>
      <c r="G231" s="52" t="n"/>
      <c r="H231" s="52" t="n"/>
      <c r="I231" s="52" t="n"/>
      <c r="J231" s="52" t="n"/>
      <c r="K231" s="52" t="n"/>
      <c r="L231" s="52" t="n"/>
      <c r="M231" s="52" t="n"/>
      <c r="N231" s="52" t="n"/>
      <c r="O231" s="52" t="n"/>
      <c r="P231" s="52" t="n"/>
      <c r="Q231" s="52" t="n"/>
      <c r="R231" s="52" t="n"/>
      <c r="S231" s="52" t="n"/>
      <c r="T231" s="52" t="n"/>
      <c r="U231" s="52" t="n"/>
      <c r="V231" s="52" t="n"/>
      <c r="W231" s="52" t="n"/>
      <c r="X231" s="52" t="n"/>
      <c r="Y231" s="52" t="n"/>
      <c r="Z231" s="52" t="n"/>
    </row>
    <row r="232" ht="15.75" customHeight="1" s="153">
      <c r="A232" s="54" t="n"/>
      <c r="B232" s="52" t="n"/>
      <c r="C232" s="52" t="n"/>
      <c r="D232" s="52" t="n"/>
      <c r="E232" s="52" t="n"/>
      <c r="F232" s="52" t="n"/>
      <c r="G232" s="52" t="n"/>
      <c r="H232" s="52" t="n"/>
      <c r="I232" s="52" t="n"/>
      <c r="J232" s="52" t="n"/>
      <c r="K232" s="52" t="n"/>
      <c r="L232" s="52" t="n"/>
      <c r="M232" s="52" t="n"/>
      <c r="N232" s="52" t="n"/>
      <c r="O232" s="52" t="n"/>
      <c r="P232" s="52" t="n"/>
      <c r="Q232" s="52" t="n"/>
      <c r="R232" s="52" t="n"/>
      <c r="S232" s="52" t="n"/>
      <c r="T232" s="52" t="n"/>
      <c r="U232" s="52" t="n"/>
      <c r="V232" s="52" t="n"/>
      <c r="W232" s="52" t="n"/>
      <c r="X232" s="52" t="n"/>
      <c r="Y232" s="52" t="n"/>
      <c r="Z232" s="52" t="n"/>
    </row>
    <row r="233" ht="15.75" customHeight="1" s="153"/>
    <row r="234" ht="15.75" customHeight="1" s="153"/>
    <row r="235" ht="15.75" customHeight="1" s="153"/>
    <row r="236" ht="15.75" customHeight="1" s="153"/>
    <row r="237" ht="15.75" customHeight="1" s="153"/>
    <row r="238" ht="15.75" customHeight="1" s="153"/>
    <row r="239" ht="15.75" customHeight="1" s="153"/>
    <row r="240" ht="15.75" customHeight="1" s="153"/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10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sheetData>
    <row r="1" ht="45" customHeight="1" s="153">
      <c r="A1" s="10" t="inlineStr">
        <is>
          <t>GOAL GRID — fair P for O/U, BTTS, AH from λ_h/λ_a · Poisson + Dixon-Coles τ=-0.13 · MAX_GOALS=15 · ⚠ DRIFT: Poisson vs prod NB+DC ≈2-9pp on OU2.5/BTTS; BET? uses Method!B8 edge threshold (raise B8 to 0.08 for an 8pp drift buffer)</t>
        </is>
      </c>
    </row>
    <row r="2">
      <c r="A2" s="14" t="inlineStr">
        <is>
          <t>Source: /predictions_live.json · match_predictions[] · type Over 2.5 book odds in K for BET? signal</t>
        </is>
      </c>
    </row>
    <row r="3">
      <c r="A3" s="14" t="inlineStr">
        <is>
          <t>#m</t>
        </is>
      </c>
      <c r="B3" s="14" t="inlineStr">
        <is>
          <t>Date</t>
        </is>
      </c>
      <c r="C3" s="14" t="inlineStr">
        <is>
          <t>Home</t>
        </is>
      </c>
      <c r="D3" s="14" t="inlineStr">
        <is>
          <t>Away</t>
        </is>
      </c>
      <c r="E3" s="14" t="inlineStr">
        <is>
          <t>λ_home</t>
        </is>
      </c>
      <c r="F3" s="14" t="inlineStr">
        <is>
          <t>λ_away</t>
        </is>
      </c>
      <c r="G3" s="14" t="inlineStr">
        <is>
          <t>Fair O/U 2.5</t>
        </is>
      </c>
      <c r="H3" s="14" t="inlineStr">
        <is>
          <t>Fair BTTS</t>
        </is>
      </c>
      <c r="I3" s="14" t="inlineStr">
        <is>
          <t>Fair O/U 1.5</t>
        </is>
      </c>
      <c r="J3" s="14" t="inlineStr">
        <is>
          <t>Fair O/U 3.5</t>
        </is>
      </c>
      <c r="K3" s="14" t="inlineStr">
        <is>
          <t>Book O 2.5</t>
        </is>
      </c>
      <c r="L3" s="14" t="inlineStr">
        <is>
          <t>Book U 2.5</t>
        </is>
      </c>
      <c r="M3" s="14" t="inlineStr">
        <is>
          <t>Book BTTS Y</t>
        </is>
      </c>
      <c r="N3" s="14" t="inlineStr">
        <is>
          <t>Implied O 2.5</t>
        </is>
      </c>
      <c r="O3" s="14" t="inlineStr">
        <is>
          <t>Edge %</t>
        </is>
      </c>
      <c r="P3" s="14" t="inlineStr">
        <is>
          <t>BET?</t>
        </is>
      </c>
    </row>
    <row r="4">
      <c r="A4" s="14" t="n">
        <v>1</v>
      </c>
      <c r="B4" s="13" t="n">
        <v>46184</v>
      </c>
      <c r="C4" s="14" t="inlineStr">
        <is>
          <t>Mexico</t>
        </is>
      </c>
      <c r="D4" s="14" t="inlineStr">
        <is>
          <t>South Africa</t>
        </is>
      </c>
      <c r="E4" s="14" t="n">
        <v>2.524022817611694</v>
      </c>
      <c r="F4" s="14" t="n">
        <v>0.4960770606994629</v>
      </c>
      <c r="G4" s="14">
        <f>IFERROR(GOAL_GRID(E4,F4,"ou25"),"")</f>
        <v/>
      </c>
      <c r="H4" s="14">
        <f>IFERROR(GOAL_GRID(E4,F4,"btts"),"")</f>
        <v/>
      </c>
      <c r="I4" s="14">
        <f>IFERROR(GOAL_GRID(E4,F4,"ou15"),"")</f>
        <v/>
      </c>
      <c r="J4" s="14">
        <f>IFERROR(GOAL_GRID(E4,F4,"ou35"),"")</f>
        <v/>
      </c>
      <c r="N4" s="14">
        <f>IF(K4="","",1/K4)</f>
        <v/>
      </c>
      <c r="O4" s="14">
        <f>IF(OR(G4="",N4=""),"",G4-N4)</f>
        <v/>
      </c>
      <c r="P4" s="14">
        <f>IF(Method!$B$55=TRUE(),"🛑 PAUSED",IF(O4="","",IF(O4&lt;Method!$B$8,"PASS","BET")))</f>
        <v/>
      </c>
    </row>
    <row r="5">
      <c r="A5" s="14" t="n">
        <v>2</v>
      </c>
      <c r="B5" s="13" t="n">
        <v>46184</v>
      </c>
      <c r="C5" s="14" t="inlineStr">
        <is>
          <t>South Korea</t>
        </is>
      </c>
      <c r="D5" s="14" t="inlineStr">
        <is>
          <t>Czechia</t>
        </is>
      </c>
      <c r="E5" s="14" t="n">
        <v>1.427160501480103</v>
      </c>
      <c r="F5" s="14" t="n">
        <v>1.021654605865479</v>
      </c>
      <c r="G5" s="14">
        <f>IFERROR(GOAL_GRID(E5,F5,"ou25"),"")</f>
        <v/>
      </c>
      <c r="H5" s="14">
        <f>IFERROR(GOAL_GRID(E5,F5,"btts"),"")</f>
        <v/>
      </c>
      <c r="I5" s="14">
        <f>IFERROR(GOAL_GRID(E5,F5,"ou15"),"")</f>
        <v/>
      </c>
      <c r="J5" s="14">
        <f>IFERROR(GOAL_GRID(E5,F5,"ou35"),"")</f>
        <v/>
      </c>
      <c r="N5" s="14">
        <f>IF(K5="","",1/K5)</f>
        <v/>
      </c>
      <c r="O5" s="14">
        <f>IF(OR(G5="",N5=""),"",G5-N5)</f>
        <v/>
      </c>
      <c r="P5" s="14">
        <f>IF(Method!$B$55=TRUE(),"🛑 PAUSED",IF(O5="","",IF(O5&lt;Method!$B$8,"PASS","BET")))</f>
        <v/>
      </c>
    </row>
    <row r="6">
      <c r="A6" s="14" t="n">
        <v>3</v>
      </c>
      <c r="B6" s="13" t="n">
        <v>46185</v>
      </c>
      <c r="C6" s="14" t="inlineStr">
        <is>
          <t>Canada</t>
        </is>
      </c>
      <c r="D6" s="14" t="inlineStr">
        <is>
          <t>Bosnia and Herzegovina</t>
        </is>
      </c>
      <c r="E6" s="14" t="n">
        <v>2.26799201965332</v>
      </c>
      <c r="F6" s="14" t="n">
        <v>0.525834858417511</v>
      </c>
      <c r="G6" s="14">
        <f>IFERROR(GOAL_GRID(E6,F6,"ou25"),"")</f>
        <v/>
      </c>
      <c r="H6" s="14">
        <f>IFERROR(GOAL_GRID(E6,F6,"btts"),"")</f>
        <v/>
      </c>
      <c r="I6" s="14">
        <f>IFERROR(GOAL_GRID(E6,F6,"ou15"),"")</f>
        <v/>
      </c>
      <c r="J6" s="14">
        <f>IFERROR(GOAL_GRID(E6,F6,"ou35"),"")</f>
        <v/>
      </c>
      <c r="N6" s="14">
        <f>IF(K6="","",1/K6)</f>
        <v/>
      </c>
      <c r="O6" s="14">
        <f>IF(OR(G6="",N6=""),"",G6-N6)</f>
        <v/>
      </c>
      <c r="P6" s="14">
        <f>IF(Method!$B$55=TRUE(),"🛑 PAUSED",IF(O6="","",IF(O6&lt;Method!$B$8,"PASS","BET")))</f>
        <v/>
      </c>
    </row>
    <row r="7">
      <c r="A7" s="14" t="n">
        <v>4</v>
      </c>
      <c r="B7" s="13" t="n">
        <v>46185</v>
      </c>
      <c r="C7" s="14" t="inlineStr">
        <is>
          <t>United States</t>
        </is>
      </c>
      <c r="D7" s="14" t="inlineStr">
        <is>
          <t>Paraguay</t>
        </is>
      </c>
      <c r="E7" s="14" t="n">
        <v>1.621471047401428</v>
      </c>
      <c r="F7" s="14" t="n">
        <v>0.958773672580719</v>
      </c>
      <c r="G7" s="14">
        <f>IFERROR(GOAL_GRID(E7,F7,"ou25"),"")</f>
        <v/>
      </c>
      <c r="H7" s="14">
        <f>IFERROR(GOAL_GRID(E7,F7,"btts"),"")</f>
        <v/>
      </c>
      <c r="I7" s="14">
        <f>IFERROR(GOAL_GRID(E7,F7,"ou15"),"")</f>
        <v/>
      </c>
      <c r="J7" s="14">
        <f>IFERROR(GOAL_GRID(E7,F7,"ou35"),"")</f>
        <v/>
      </c>
      <c r="N7" s="14">
        <f>IF(K7="","",1/K7)</f>
        <v/>
      </c>
      <c r="O7" s="14">
        <f>IF(OR(G7="",N7=""),"",G7-N7)</f>
        <v/>
      </c>
      <c r="P7" s="14">
        <f>IF(Method!$B$55=TRUE(),"🛑 PAUSED",IF(O7="","",IF(O7&lt;Method!$B$8,"PASS","BET")))</f>
        <v/>
      </c>
    </row>
    <row r="8">
      <c r="A8" s="14" t="n">
        <v>5</v>
      </c>
      <c r="B8" s="13" t="n">
        <v>46186</v>
      </c>
      <c r="C8" s="14" t="inlineStr">
        <is>
          <t>Qatar</t>
        </is>
      </c>
      <c r="D8" s="14" t="inlineStr">
        <is>
          <t>Switzerland</t>
        </is>
      </c>
      <c r="E8" s="14" t="n">
        <v>0.5070649385452271</v>
      </c>
      <c r="F8" s="14" t="n">
        <v>2.694297552108765</v>
      </c>
      <c r="G8" s="14">
        <f>IFERROR(GOAL_GRID(E8,F8,"ou25"),"")</f>
        <v/>
      </c>
      <c r="H8" s="14">
        <f>IFERROR(GOAL_GRID(E8,F8,"btts"),"")</f>
        <v/>
      </c>
      <c r="I8" s="14">
        <f>IFERROR(GOAL_GRID(E8,F8,"ou15"),"")</f>
        <v/>
      </c>
      <c r="J8" s="14">
        <f>IFERROR(GOAL_GRID(E8,F8,"ou35"),"")</f>
        <v/>
      </c>
      <c r="N8" s="14">
        <f>IF(K8="","",1/K8)</f>
        <v/>
      </c>
      <c r="O8" s="14">
        <f>IF(OR(G8="",N8=""),"",G8-N8)</f>
        <v/>
      </c>
      <c r="P8" s="14">
        <f>IF(Method!$B$55=TRUE(),"🛑 PAUSED",IF(O8="","",IF(O8&lt;Method!$B$8,"PASS","BET")))</f>
        <v/>
      </c>
    </row>
    <row r="9">
      <c r="A9" s="14" t="n">
        <v>6</v>
      </c>
      <c r="B9" s="13" t="n">
        <v>46186</v>
      </c>
      <c r="C9" s="14" t="inlineStr">
        <is>
          <t>Brazil</t>
        </is>
      </c>
      <c r="D9" s="14" t="inlineStr">
        <is>
          <t>Morocco</t>
        </is>
      </c>
      <c r="E9" s="14" t="n">
        <v>1.395082116127014</v>
      </c>
      <c r="F9" s="14" t="n">
        <v>1.185265302658081</v>
      </c>
      <c r="G9" s="14">
        <f>IFERROR(GOAL_GRID(E9,F9,"ou25"),"")</f>
        <v/>
      </c>
      <c r="H9" s="14">
        <f>IFERROR(GOAL_GRID(E9,F9,"btts"),"")</f>
        <v/>
      </c>
      <c r="I9" s="14">
        <f>IFERROR(GOAL_GRID(E9,F9,"ou15"),"")</f>
        <v/>
      </c>
      <c r="J9" s="14">
        <f>IFERROR(GOAL_GRID(E9,F9,"ou35"),"")</f>
        <v/>
      </c>
      <c r="N9" s="14">
        <f>IF(K9="","",1/K9)</f>
        <v/>
      </c>
      <c r="O9" s="14">
        <f>IF(OR(G9="",N9=""),"",G9-N9)</f>
        <v/>
      </c>
      <c r="P9" s="14">
        <f>IF(Method!$B$55=TRUE(),"🛑 PAUSED",IF(O9="","",IF(O9&lt;Method!$B$8,"PASS","BET")))</f>
        <v/>
      </c>
    </row>
    <row r="10">
      <c r="A10" s="14" t="n">
        <v>7</v>
      </c>
      <c r="B10" s="13" t="n">
        <v>46186</v>
      </c>
      <c r="C10" s="14" t="inlineStr">
        <is>
          <t>Haiti</t>
        </is>
      </c>
      <c r="D10" s="14" t="inlineStr">
        <is>
          <t>Scotland</t>
        </is>
      </c>
      <c r="E10" s="14" t="n">
        <v>0.9333598017692566</v>
      </c>
      <c r="F10" s="14" t="n">
        <v>1.762029528617859</v>
      </c>
      <c r="G10" s="14">
        <f>IFERROR(GOAL_GRID(E10,F10,"ou25"),"")</f>
        <v/>
      </c>
      <c r="H10" s="14">
        <f>IFERROR(GOAL_GRID(E10,F10,"btts"),"")</f>
        <v/>
      </c>
      <c r="I10" s="14">
        <f>IFERROR(GOAL_GRID(E10,F10,"ou15"),"")</f>
        <v/>
      </c>
      <c r="J10" s="14">
        <f>IFERROR(GOAL_GRID(E10,F10,"ou35"),"")</f>
        <v/>
      </c>
      <c r="N10" s="14">
        <f>IF(K10="","",1/K10)</f>
        <v/>
      </c>
      <c r="O10" s="14">
        <f>IF(OR(G10="",N10=""),"",G10-N10)</f>
        <v/>
      </c>
      <c r="P10" s="14">
        <f>IF(Method!$B$55=TRUE(),"🛑 PAUSED",IF(O10="","",IF(O10&lt;Method!$B$8,"PASS","BET")))</f>
        <v/>
      </c>
    </row>
    <row r="11">
      <c r="A11" s="14" t="n">
        <v>8</v>
      </c>
      <c r="B11" s="13" t="n">
        <v>46186</v>
      </c>
      <c r="C11" s="14" t="inlineStr">
        <is>
          <t>Australia</t>
        </is>
      </c>
      <c r="D11" s="14" t="inlineStr">
        <is>
          <t>Turkey</t>
        </is>
      </c>
      <c r="E11" s="14" t="n">
        <v>1.079418301582336</v>
      </c>
      <c r="F11" s="14" t="n">
        <v>1.129528880119324</v>
      </c>
      <c r="G11" s="14">
        <f>IFERROR(GOAL_GRID(E11,F11,"ou25"),"")</f>
        <v/>
      </c>
      <c r="H11" s="14">
        <f>IFERROR(GOAL_GRID(E11,F11,"btts"),"")</f>
        <v/>
      </c>
      <c r="I11" s="14">
        <f>IFERROR(GOAL_GRID(E11,F11,"ou15"),"")</f>
        <v/>
      </c>
      <c r="J11" s="14">
        <f>IFERROR(GOAL_GRID(E11,F11,"ou35"),"")</f>
        <v/>
      </c>
      <c r="N11" s="14">
        <f>IF(K11="","",1/K11)</f>
        <v/>
      </c>
      <c r="O11" s="14">
        <f>IF(OR(G11="",N11=""),"",G11-N11)</f>
        <v/>
      </c>
      <c r="P11" s="14">
        <f>IF(Method!$B$55=TRUE(),"🛑 PAUSED",IF(O11="","",IF(O11&lt;Method!$B$8,"PASS","BET")))</f>
        <v/>
      </c>
    </row>
    <row r="12">
      <c r="A12" s="14" t="n">
        <v>9</v>
      </c>
      <c r="B12" s="13" t="n">
        <v>46187</v>
      </c>
      <c r="C12" s="14" t="inlineStr">
        <is>
          <t>Germany</t>
        </is>
      </c>
      <c r="D12" s="14" t="inlineStr">
        <is>
          <t>Curacao</t>
        </is>
      </c>
      <c r="E12" s="14" t="n">
        <v>2.912247180938721</v>
      </c>
      <c r="F12" s="14" t="n">
        <v>0.6124724149703979</v>
      </c>
      <c r="G12" s="14">
        <f>IFERROR(GOAL_GRID(E12,F12,"ou25"),"")</f>
        <v/>
      </c>
      <c r="H12" s="14">
        <f>IFERROR(GOAL_GRID(E12,F12,"btts"),"")</f>
        <v/>
      </c>
      <c r="I12" s="14">
        <f>IFERROR(GOAL_GRID(E12,F12,"ou15"),"")</f>
        <v/>
      </c>
      <c r="J12" s="14">
        <f>IFERROR(GOAL_GRID(E12,F12,"ou35"),"")</f>
        <v/>
      </c>
      <c r="N12" s="14">
        <f>IF(K12="","",1/K12)</f>
        <v/>
      </c>
      <c r="O12" s="14">
        <f>IF(OR(G12="",N12=""),"",G12-N12)</f>
        <v/>
      </c>
      <c r="P12" s="14">
        <f>IF(Method!$B$55=TRUE(),"🛑 PAUSED",IF(O12="","",IF(O12&lt;Method!$B$8,"PASS","BET")))</f>
        <v/>
      </c>
    </row>
    <row r="13">
      <c r="A13" s="14" t="n">
        <v>10</v>
      </c>
      <c r="B13" s="13" t="n">
        <v>46187</v>
      </c>
      <c r="C13" s="14" t="inlineStr">
        <is>
          <t>Netherlands</t>
        </is>
      </c>
      <c r="D13" s="14" t="inlineStr">
        <is>
          <t>Japan</t>
        </is>
      </c>
      <c r="E13" s="14" t="n">
        <v>1.558599233627319</v>
      </c>
      <c r="F13" s="14" t="n">
        <v>0.9981161952018738</v>
      </c>
      <c r="G13" s="14">
        <f>IFERROR(GOAL_GRID(E13,F13,"ou25"),"")</f>
        <v/>
      </c>
      <c r="H13" s="14">
        <f>IFERROR(GOAL_GRID(E13,F13,"btts"),"")</f>
        <v/>
      </c>
      <c r="I13" s="14">
        <f>IFERROR(GOAL_GRID(E13,F13,"ou15"),"")</f>
        <v/>
      </c>
      <c r="J13" s="14">
        <f>IFERROR(GOAL_GRID(E13,F13,"ou35"),"")</f>
        <v/>
      </c>
      <c r="N13" s="14">
        <f>IF(K13="","",1/K13)</f>
        <v/>
      </c>
      <c r="O13" s="14">
        <f>IF(OR(G13="",N13=""),"",G13-N13)</f>
        <v/>
      </c>
      <c r="P13" s="14">
        <f>IF(Method!$B$55=TRUE(),"🛑 PAUSED",IF(O13="","",IF(O13&lt;Method!$B$8,"PASS","BET")))</f>
        <v/>
      </c>
    </row>
    <row r="14">
      <c r="A14" s="14" t="n">
        <v>11</v>
      </c>
      <c r="B14" s="13" t="n">
        <v>46187</v>
      </c>
      <c r="C14" s="14" t="inlineStr">
        <is>
          <t>Ivory Coast</t>
        </is>
      </c>
      <c r="D14" s="14" t="inlineStr">
        <is>
          <t>Ecuador</t>
        </is>
      </c>
      <c r="E14" s="14" t="n">
        <v>0.9288633465766907</v>
      </c>
      <c r="F14" s="14" t="n">
        <v>1.562702059745789</v>
      </c>
      <c r="G14" s="14">
        <f>IFERROR(GOAL_GRID(E14,F14,"ou25"),"")</f>
        <v/>
      </c>
      <c r="H14" s="14">
        <f>IFERROR(GOAL_GRID(E14,F14,"btts"),"")</f>
        <v/>
      </c>
      <c r="I14" s="14">
        <f>IFERROR(GOAL_GRID(E14,F14,"ou15"),"")</f>
        <v/>
      </c>
      <c r="J14" s="14">
        <f>IFERROR(GOAL_GRID(E14,F14,"ou35"),"")</f>
        <v/>
      </c>
      <c r="N14" s="14">
        <f>IF(K14="","",1/K14)</f>
        <v/>
      </c>
      <c r="O14" s="14">
        <f>IF(OR(G14="",N14=""),"",G14-N14)</f>
        <v/>
      </c>
      <c r="P14" s="14">
        <f>IF(Method!$B$55=TRUE(),"🛑 PAUSED",IF(O14="","",IF(O14&lt;Method!$B$8,"PASS","BET")))</f>
        <v/>
      </c>
    </row>
    <row r="15">
      <c r="A15" s="14" t="n">
        <v>12</v>
      </c>
      <c r="B15" s="13" t="n">
        <v>46187</v>
      </c>
      <c r="C15" s="14" t="inlineStr">
        <is>
          <t>Sweden</t>
        </is>
      </c>
      <c r="D15" s="14" t="inlineStr">
        <is>
          <t>Tunisia</t>
        </is>
      </c>
      <c r="E15" s="14" t="n">
        <v>1.407131552696228</v>
      </c>
      <c r="F15" s="14" t="n">
        <v>1.158513069152832</v>
      </c>
      <c r="G15" s="14">
        <f>IFERROR(GOAL_GRID(E15,F15,"ou25"),"")</f>
        <v/>
      </c>
      <c r="H15" s="14">
        <f>IFERROR(GOAL_GRID(E15,F15,"btts"),"")</f>
        <v/>
      </c>
      <c r="I15" s="14">
        <f>IFERROR(GOAL_GRID(E15,F15,"ou15"),"")</f>
        <v/>
      </c>
      <c r="J15" s="14">
        <f>IFERROR(GOAL_GRID(E15,F15,"ou35"),"")</f>
        <v/>
      </c>
      <c r="N15" s="14">
        <f>IF(K15="","",1/K15)</f>
        <v/>
      </c>
      <c r="O15" s="14">
        <f>IF(OR(G15="",N15=""),"",G15-N15)</f>
        <v/>
      </c>
      <c r="P15" s="14">
        <f>IF(Method!$B$55=TRUE(),"🛑 PAUSED",IF(O15="","",IF(O15&lt;Method!$B$8,"PASS","BET")))</f>
        <v/>
      </c>
    </row>
    <row r="16">
      <c r="A16" s="14" t="n">
        <v>13</v>
      </c>
      <c r="B16" s="13" t="n">
        <v>46188</v>
      </c>
      <c r="C16" s="14" t="inlineStr">
        <is>
          <t>Spain</t>
        </is>
      </c>
      <c r="D16" s="14" t="inlineStr">
        <is>
          <t>Cape Verde</t>
        </is>
      </c>
      <c r="E16" s="14" t="n">
        <v>3.974347352981567</v>
      </c>
      <c r="F16" s="14" t="n">
        <v>0.5507604479789734</v>
      </c>
      <c r="G16" s="14">
        <f>IFERROR(GOAL_GRID(E16,F16,"ou25"),"")</f>
        <v/>
      </c>
      <c r="H16" s="14">
        <f>IFERROR(GOAL_GRID(E16,F16,"btts"),"")</f>
        <v/>
      </c>
      <c r="I16" s="14">
        <f>IFERROR(GOAL_GRID(E16,F16,"ou15"),"")</f>
        <v/>
      </c>
      <c r="J16" s="14">
        <f>IFERROR(GOAL_GRID(E16,F16,"ou35"),"")</f>
        <v/>
      </c>
      <c r="N16" s="14">
        <f>IF(K16="","",1/K16)</f>
        <v/>
      </c>
      <c r="O16" s="14">
        <f>IF(OR(G16="",N16=""),"",G16-N16)</f>
        <v/>
      </c>
      <c r="P16" s="14">
        <f>IF(Method!$B$55=TRUE(),"🛑 PAUSED",IF(O16="","",IF(O16&lt;Method!$B$8,"PASS","BET")))</f>
        <v/>
      </c>
    </row>
    <row r="17">
      <c r="A17" s="14" t="n">
        <v>14</v>
      </c>
      <c r="B17" s="13" t="n">
        <v>46188</v>
      </c>
      <c r="C17" s="14" t="inlineStr">
        <is>
          <t>Belgium</t>
        </is>
      </c>
      <c r="D17" s="14" t="inlineStr">
        <is>
          <t>Egypt</t>
        </is>
      </c>
      <c r="E17" s="14" t="n">
        <v>1.484561204910278</v>
      </c>
      <c r="F17" s="14" t="n">
        <v>0.8500382900238037</v>
      </c>
      <c r="G17" s="14">
        <f>IFERROR(GOAL_GRID(E17,F17,"ou25"),"")</f>
        <v/>
      </c>
      <c r="H17" s="14">
        <f>IFERROR(GOAL_GRID(E17,F17,"btts"),"")</f>
        <v/>
      </c>
      <c r="I17" s="14">
        <f>IFERROR(GOAL_GRID(E17,F17,"ou15"),"")</f>
        <v/>
      </c>
      <c r="J17" s="14">
        <f>IFERROR(GOAL_GRID(E17,F17,"ou35"),"")</f>
        <v/>
      </c>
      <c r="N17" s="14">
        <f>IF(K17="","",1/K17)</f>
        <v/>
      </c>
      <c r="O17" s="14">
        <f>IF(OR(G17="",N17=""),"",G17-N17)</f>
        <v/>
      </c>
      <c r="P17" s="14">
        <f>IF(Method!$B$55=TRUE(),"🛑 PAUSED",IF(O17="","",IF(O17&lt;Method!$B$8,"PASS","BET")))</f>
        <v/>
      </c>
    </row>
    <row r="18">
      <c r="A18" s="14" t="n">
        <v>15</v>
      </c>
      <c r="B18" s="13" t="n">
        <v>46188</v>
      </c>
      <c r="C18" s="14" t="inlineStr">
        <is>
          <t>Saudi Arabia</t>
        </is>
      </c>
      <c r="D18" s="14" t="inlineStr">
        <is>
          <t>Uruguay</t>
        </is>
      </c>
      <c r="E18" s="14" t="n">
        <v>0.7826226353645325</v>
      </c>
      <c r="F18" s="14" t="n">
        <v>1.859959125518799</v>
      </c>
      <c r="G18" s="14">
        <f>IFERROR(GOAL_GRID(E18,F18,"ou25"),"")</f>
        <v/>
      </c>
      <c r="H18" s="14">
        <f>IFERROR(GOAL_GRID(E18,F18,"btts"),"")</f>
        <v/>
      </c>
      <c r="I18" s="14">
        <f>IFERROR(GOAL_GRID(E18,F18,"ou15"),"")</f>
        <v/>
      </c>
      <c r="J18" s="14">
        <f>IFERROR(GOAL_GRID(E18,F18,"ou35"),"")</f>
        <v/>
      </c>
      <c r="N18" s="14">
        <f>IF(K18="","",1/K18)</f>
        <v/>
      </c>
      <c r="O18" s="14">
        <f>IF(OR(G18="",N18=""),"",G18-N18)</f>
        <v/>
      </c>
      <c r="P18" s="14">
        <f>IF(Method!$B$55=TRUE(),"🛑 PAUSED",IF(O18="","",IF(O18&lt;Method!$B$8,"PASS","BET")))</f>
        <v/>
      </c>
    </row>
    <row r="19">
      <c r="A19" s="14" t="n">
        <v>16</v>
      </c>
      <c r="B19" s="13" t="n">
        <v>46188</v>
      </c>
      <c r="C19" s="14" t="inlineStr">
        <is>
          <t>Iran</t>
        </is>
      </c>
      <c r="D19" s="14" t="inlineStr">
        <is>
          <t>New Zealand</t>
        </is>
      </c>
      <c r="E19" s="14" t="n">
        <v>1.671989798545837</v>
      </c>
      <c r="F19" s="14" t="n">
        <v>0.7866598963737488</v>
      </c>
      <c r="G19" s="14">
        <f>IFERROR(GOAL_GRID(E19,F19,"ou25"),"")</f>
        <v/>
      </c>
      <c r="H19" s="14">
        <f>IFERROR(GOAL_GRID(E19,F19,"btts"),"")</f>
        <v/>
      </c>
      <c r="I19" s="14">
        <f>IFERROR(GOAL_GRID(E19,F19,"ou15"),"")</f>
        <v/>
      </c>
      <c r="J19" s="14">
        <f>IFERROR(GOAL_GRID(E19,F19,"ou35"),"")</f>
        <v/>
      </c>
      <c r="N19" s="14">
        <f>IF(K19="","",1/K19)</f>
        <v/>
      </c>
      <c r="O19" s="14">
        <f>IF(OR(G19="",N19=""),"",G19-N19)</f>
        <v/>
      </c>
      <c r="P19" s="14">
        <f>IF(Method!$B$55=TRUE(),"🛑 PAUSED",IF(O19="","",IF(O19&lt;Method!$B$8,"PASS","BET")))</f>
        <v/>
      </c>
    </row>
    <row r="20">
      <c r="A20" s="14" t="n">
        <v>17</v>
      </c>
      <c r="B20" s="13" t="n">
        <v>46189</v>
      </c>
      <c r="C20" s="14" t="inlineStr">
        <is>
          <t>France</t>
        </is>
      </c>
      <c r="D20" s="14" t="inlineStr">
        <is>
          <t>Senegal</t>
        </is>
      </c>
      <c r="E20" s="14" t="n">
        <v>2.937868118286133</v>
      </c>
      <c r="F20" s="14" t="n">
        <v>0.6618795990943909</v>
      </c>
      <c r="G20" s="14">
        <f>IFERROR(GOAL_GRID(E20,F20,"ou25"),"")</f>
        <v/>
      </c>
      <c r="H20" s="14">
        <f>IFERROR(GOAL_GRID(E20,F20,"btts"),"")</f>
        <v/>
      </c>
      <c r="I20" s="14">
        <f>IFERROR(GOAL_GRID(E20,F20,"ou15"),"")</f>
        <v/>
      </c>
      <c r="J20" s="14">
        <f>IFERROR(GOAL_GRID(E20,F20,"ou35"),"")</f>
        <v/>
      </c>
      <c r="N20" s="14">
        <f>IF(K20="","",1/K20)</f>
        <v/>
      </c>
      <c r="O20" s="14">
        <f>IF(OR(G20="",N20=""),"",G20-N20)</f>
        <v/>
      </c>
      <c r="P20" s="14">
        <f>IF(Method!$B$55=TRUE(),"🛑 PAUSED",IF(O20="","",IF(O20&lt;Method!$B$8,"PASS","BET")))</f>
        <v/>
      </c>
    </row>
    <row r="21">
      <c r="A21" s="14" t="n">
        <v>18</v>
      </c>
      <c r="B21" s="13" t="n">
        <v>46189</v>
      </c>
      <c r="C21" s="14" t="inlineStr">
        <is>
          <t>Iraq</t>
        </is>
      </c>
      <c r="D21" s="14" t="inlineStr">
        <is>
          <t>Norway</t>
        </is>
      </c>
      <c r="E21" s="14" t="n">
        <v>0.5952606201171875</v>
      </c>
      <c r="F21" s="14" t="n">
        <v>1.817635416984558</v>
      </c>
      <c r="G21" s="14">
        <f>IFERROR(GOAL_GRID(E21,F21,"ou25"),"")</f>
        <v/>
      </c>
      <c r="H21" s="14">
        <f>IFERROR(GOAL_GRID(E21,F21,"btts"),"")</f>
        <v/>
      </c>
      <c r="I21" s="14">
        <f>IFERROR(GOAL_GRID(E21,F21,"ou15"),"")</f>
        <v/>
      </c>
      <c r="J21" s="14">
        <f>IFERROR(GOAL_GRID(E21,F21,"ou35"),"")</f>
        <v/>
      </c>
      <c r="N21" s="14">
        <f>IF(K21="","",1/K21)</f>
        <v/>
      </c>
      <c r="O21" s="14">
        <f>IF(OR(G21="",N21=""),"",G21-N21)</f>
        <v/>
      </c>
      <c r="P21" s="14">
        <f>IF(Method!$B$55=TRUE(),"🛑 PAUSED",IF(O21="","",IF(O21&lt;Method!$B$8,"PASS","BET")))</f>
        <v/>
      </c>
    </row>
    <row r="22">
      <c r="A22" s="14" t="n">
        <v>19</v>
      </c>
      <c r="B22" s="13" t="n">
        <v>46189</v>
      </c>
      <c r="C22" s="14" t="inlineStr">
        <is>
          <t>Argentina</t>
        </is>
      </c>
      <c r="D22" s="14" t="inlineStr">
        <is>
          <t>Algeria</t>
        </is>
      </c>
      <c r="E22" s="14" t="n">
        <v>2.852847337722778</v>
      </c>
      <c r="F22" s="14" t="n">
        <v>0.5470420718193054</v>
      </c>
      <c r="G22" s="14">
        <f>IFERROR(GOAL_GRID(E22,F22,"ou25"),"")</f>
        <v/>
      </c>
      <c r="H22" s="14">
        <f>IFERROR(GOAL_GRID(E22,F22,"btts"),"")</f>
        <v/>
      </c>
      <c r="I22" s="14">
        <f>IFERROR(GOAL_GRID(E22,F22,"ou15"),"")</f>
        <v/>
      </c>
      <c r="J22" s="14">
        <f>IFERROR(GOAL_GRID(E22,F22,"ou35"),"")</f>
        <v/>
      </c>
      <c r="N22" s="14">
        <f>IF(K22="","",1/K22)</f>
        <v/>
      </c>
      <c r="O22" s="14">
        <f>IF(OR(G22="",N22=""),"",G22-N22)</f>
        <v/>
      </c>
      <c r="P22" s="14">
        <f>IF(Method!$B$55=TRUE(),"🛑 PAUSED",IF(O22="","",IF(O22&lt;Method!$B$8,"PASS","BET")))</f>
        <v/>
      </c>
    </row>
    <row r="23">
      <c r="A23" s="14" t="n">
        <v>20</v>
      </c>
      <c r="B23" s="13" t="n">
        <v>46189</v>
      </c>
      <c r="C23" s="14" t="inlineStr">
        <is>
          <t>Austria</t>
        </is>
      </c>
      <c r="D23" s="14" t="inlineStr">
        <is>
          <t>Jordan</t>
        </is>
      </c>
      <c r="E23" s="14" t="n">
        <v>1.43788743019104</v>
      </c>
      <c r="F23" s="14" t="n">
        <v>0.8991714715957642</v>
      </c>
      <c r="G23" s="14">
        <f>IFERROR(GOAL_GRID(E23,F23,"ou25"),"")</f>
        <v/>
      </c>
      <c r="H23" s="14">
        <f>IFERROR(GOAL_GRID(E23,F23,"btts"),"")</f>
        <v/>
      </c>
      <c r="I23" s="14">
        <f>IFERROR(GOAL_GRID(E23,F23,"ou15"),"")</f>
        <v/>
      </c>
      <c r="J23" s="14">
        <f>IFERROR(GOAL_GRID(E23,F23,"ou35"),"")</f>
        <v/>
      </c>
      <c r="N23" s="14">
        <f>IF(K23="","",1/K23)</f>
        <v/>
      </c>
      <c r="O23" s="14">
        <f>IF(OR(G23="",N23=""),"",G23-N23)</f>
        <v/>
      </c>
      <c r="P23" s="14">
        <f>IF(Method!$B$55=TRUE(),"🛑 PAUSED",IF(O23="","",IF(O23&lt;Method!$B$8,"PASS","BET")))</f>
        <v/>
      </c>
    </row>
    <row r="24">
      <c r="A24" s="14" t="n">
        <v>21</v>
      </c>
      <c r="B24" s="13" t="n">
        <v>46190</v>
      </c>
      <c r="C24" s="14" t="inlineStr">
        <is>
          <t>Portugal</t>
        </is>
      </c>
      <c r="D24" s="14" t="inlineStr">
        <is>
          <t>DR Congo</t>
        </is>
      </c>
      <c r="E24" s="14" t="n">
        <v>1.969486594200134</v>
      </c>
      <c r="F24" s="14" t="n">
        <v>0.6501172184944153</v>
      </c>
      <c r="G24" s="14">
        <f>IFERROR(GOAL_GRID(E24,F24,"ou25"),"")</f>
        <v/>
      </c>
      <c r="H24" s="14">
        <f>IFERROR(GOAL_GRID(E24,F24,"btts"),"")</f>
        <v/>
      </c>
      <c r="I24" s="14">
        <f>IFERROR(GOAL_GRID(E24,F24,"ou15"),"")</f>
        <v/>
      </c>
      <c r="J24" s="14">
        <f>IFERROR(GOAL_GRID(E24,F24,"ou35"),"")</f>
        <v/>
      </c>
      <c r="N24" s="14">
        <f>IF(K24="","",1/K24)</f>
        <v/>
      </c>
      <c r="O24" s="14">
        <f>IF(OR(G24="",N24=""),"",G24-N24)</f>
        <v/>
      </c>
      <c r="P24" s="14">
        <f>IF(Method!$B$55=TRUE(),"🛑 PAUSED",IF(O24="","",IF(O24&lt;Method!$B$8,"PASS","BET")))</f>
        <v/>
      </c>
    </row>
    <row r="25">
      <c r="A25" s="14" t="n">
        <v>22</v>
      </c>
      <c r="B25" s="13" t="n">
        <v>46190</v>
      </c>
      <c r="C25" s="14" t="inlineStr">
        <is>
          <t>England</t>
        </is>
      </c>
      <c r="D25" s="14" t="inlineStr">
        <is>
          <t>Croatia</t>
        </is>
      </c>
      <c r="E25" s="14" t="n">
        <v>1.44753897190094</v>
      </c>
      <c r="F25" s="14" t="n">
        <v>1.053088545799255</v>
      </c>
      <c r="G25" s="14">
        <f>IFERROR(GOAL_GRID(E25,F25,"ou25"),"")</f>
        <v/>
      </c>
      <c r="H25" s="14">
        <f>IFERROR(GOAL_GRID(E25,F25,"btts"),"")</f>
        <v/>
      </c>
      <c r="I25" s="14">
        <f>IFERROR(GOAL_GRID(E25,F25,"ou15"),"")</f>
        <v/>
      </c>
      <c r="J25" s="14">
        <f>IFERROR(GOAL_GRID(E25,F25,"ou35"),"")</f>
        <v/>
      </c>
      <c r="N25" s="14">
        <f>IF(K25="","",1/K25)</f>
        <v/>
      </c>
      <c r="O25" s="14">
        <f>IF(OR(G25="",N25=""),"",G25-N25)</f>
        <v/>
      </c>
      <c r="P25" s="14">
        <f>IF(Method!$B$55=TRUE(),"🛑 PAUSED",IF(O25="","",IF(O25&lt;Method!$B$8,"PASS","BET")))</f>
        <v/>
      </c>
    </row>
    <row r="26">
      <c r="A26" s="14" t="n">
        <v>23</v>
      </c>
      <c r="B26" s="13" t="n">
        <v>46190</v>
      </c>
      <c r="C26" s="14" t="inlineStr">
        <is>
          <t>Ghana</t>
        </is>
      </c>
      <c r="D26" s="14" t="inlineStr">
        <is>
          <t>Panama</t>
        </is>
      </c>
      <c r="E26" s="14" t="n">
        <v>1.086556196212769</v>
      </c>
      <c r="F26" s="14" t="n">
        <v>1.543019652366638</v>
      </c>
      <c r="G26" s="14">
        <f>IFERROR(GOAL_GRID(E26,F26,"ou25"),"")</f>
        <v/>
      </c>
      <c r="H26" s="14">
        <f>IFERROR(GOAL_GRID(E26,F26,"btts"),"")</f>
        <v/>
      </c>
      <c r="I26" s="14">
        <f>IFERROR(GOAL_GRID(E26,F26,"ou15"),"")</f>
        <v/>
      </c>
      <c r="J26" s="14">
        <f>IFERROR(GOAL_GRID(E26,F26,"ou35"),"")</f>
        <v/>
      </c>
      <c r="N26" s="14">
        <f>IF(K26="","",1/K26)</f>
        <v/>
      </c>
      <c r="O26" s="14">
        <f>IF(OR(G26="",N26=""),"",G26-N26)</f>
        <v/>
      </c>
      <c r="P26" s="14">
        <f>IF(Method!$B$55=TRUE(),"🛑 PAUSED",IF(O26="","",IF(O26&lt;Method!$B$8,"PASS","BET")))</f>
        <v/>
      </c>
    </row>
    <row r="27">
      <c r="A27" s="14" t="n">
        <v>24</v>
      </c>
      <c r="B27" s="13" t="n">
        <v>46190</v>
      </c>
      <c r="C27" s="14" t="inlineStr">
        <is>
          <t>Uzbekistan</t>
        </is>
      </c>
      <c r="D27" s="14" t="inlineStr">
        <is>
          <t>Colombia</t>
        </is>
      </c>
      <c r="E27" s="14" t="n">
        <v>0.6789467334747314</v>
      </c>
      <c r="F27" s="14" t="n">
        <v>2.098778963088989</v>
      </c>
      <c r="G27" s="14">
        <f>IFERROR(GOAL_GRID(E27,F27,"ou25"),"")</f>
        <v/>
      </c>
      <c r="H27" s="14">
        <f>IFERROR(GOAL_GRID(E27,F27,"btts"),"")</f>
        <v/>
      </c>
      <c r="I27" s="14">
        <f>IFERROR(GOAL_GRID(E27,F27,"ou15"),"")</f>
        <v/>
      </c>
      <c r="J27" s="14">
        <f>IFERROR(GOAL_GRID(E27,F27,"ou35"),"")</f>
        <v/>
      </c>
      <c r="N27" s="14">
        <f>IF(K27="","",1/K27)</f>
        <v/>
      </c>
      <c r="O27" s="14">
        <f>IF(OR(G27="",N27=""),"",G27-N27)</f>
        <v/>
      </c>
      <c r="P27" s="14">
        <f>IF(Method!$B$55=TRUE(),"🛑 PAUSED",IF(O27="","",IF(O27&lt;Method!$B$8,"PASS","BET")))</f>
        <v/>
      </c>
    </row>
    <row r="28">
      <c r="A28" s="14" t="n">
        <v>25</v>
      </c>
      <c r="B28" s="13" t="n">
        <v>46191</v>
      </c>
      <c r="C28" s="14" t="inlineStr">
        <is>
          <t>Czechia</t>
        </is>
      </c>
      <c r="D28" s="14" t="inlineStr">
        <is>
          <t>South Africa</t>
        </is>
      </c>
      <c r="E28" s="14" t="n">
        <v>1.522966265678406</v>
      </c>
      <c r="F28" s="14" t="n">
        <v>0.7703511118888855</v>
      </c>
      <c r="G28" s="14">
        <f>IFERROR(GOAL_GRID(E28,F28,"ou25"),"")</f>
        <v/>
      </c>
      <c r="H28" s="14">
        <f>IFERROR(GOAL_GRID(E28,F28,"btts"),"")</f>
        <v/>
      </c>
      <c r="I28" s="14">
        <f>IFERROR(GOAL_GRID(E28,F28,"ou15"),"")</f>
        <v/>
      </c>
      <c r="J28" s="14">
        <f>IFERROR(GOAL_GRID(E28,F28,"ou35"),"")</f>
        <v/>
      </c>
      <c r="N28" s="14">
        <f>IF(K28="","",1/K28)</f>
        <v/>
      </c>
      <c r="O28" s="14">
        <f>IF(OR(G28="",N28=""),"",G28-N28)</f>
        <v/>
      </c>
      <c r="P28" s="14">
        <f>IF(Method!$B$55=TRUE(),"🛑 PAUSED",IF(O28="","",IF(O28&lt;Method!$B$8,"PASS","BET")))</f>
        <v/>
      </c>
    </row>
    <row r="29">
      <c r="A29" s="14" t="n">
        <v>26</v>
      </c>
      <c r="B29" s="13" t="n">
        <v>46191</v>
      </c>
      <c r="C29" s="14" t="inlineStr">
        <is>
          <t>Switzerland</t>
        </is>
      </c>
      <c r="D29" s="14" t="inlineStr">
        <is>
          <t>Bosnia and Herzegovina</t>
        </is>
      </c>
      <c r="E29" s="14" t="n">
        <v>2.248751163482666</v>
      </c>
      <c r="F29" s="14" t="n">
        <v>0.6002184748649597</v>
      </c>
      <c r="G29" s="14">
        <f>IFERROR(GOAL_GRID(E29,F29,"ou25"),"")</f>
        <v/>
      </c>
      <c r="H29" s="14">
        <f>IFERROR(GOAL_GRID(E29,F29,"btts"),"")</f>
        <v/>
      </c>
      <c r="I29" s="14">
        <f>IFERROR(GOAL_GRID(E29,F29,"ou15"),"")</f>
        <v/>
      </c>
      <c r="J29" s="14">
        <f>IFERROR(GOAL_GRID(E29,F29,"ou35"),"")</f>
        <v/>
      </c>
      <c r="N29" s="14">
        <f>IF(K29="","",1/K29)</f>
        <v/>
      </c>
      <c r="O29" s="14">
        <f>IF(OR(G29="",N29=""),"",G29-N29)</f>
        <v/>
      </c>
      <c r="P29" s="14">
        <f>IF(Method!$B$55=TRUE(),"🛑 PAUSED",IF(O29="","",IF(O29&lt;Method!$B$8,"PASS","BET")))</f>
        <v/>
      </c>
    </row>
    <row r="30">
      <c r="A30" s="14" t="n">
        <v>27</v>
      </c>
      <c r="B30" s="13" t="n">
        <v>46191</v>
      </c>
      <c r="C30" s="14" t="inlineStr">
        <is>
          <t>Canada</t>
        </is>
      </c>
      <c r="D30" s="14" t="inlineStr">
        <is>
          <t>Qatar</t>
        </is>
      </c>
      <c r="E30" s="14" t="n">
        <v>2.649740219116211</v>
      </c>
      <c r="F30" s="14" t="n">
        <v>0.3218085169792175</v>
      </c>
      <c r="G30" s="14">
        <f>IFERROR(GOAL_GRID(E30,F30,"ou25"),"")</f>
        <v/>
      </c>
      <c r="H30" s="14">
        <f>IFERROR(GOAL_GRID(E30,F30,"btts"),"")</f>
        <v/>
      </c>
      <c r="I30" s="14">
        <f>IFERROR(GOAL_GRID(E30,F30,"ou15"),"")</f>
        <v/>
      </c>
      <c r="J30" s="14">
        <f>IFERROR(GOAL_GRID(E30,F30,"ou35"),"")</f>
        <v/>
      </c>
      <c r="N30" s="14">
        <f>IF(K30="","",1/K30)</f>
        <v/>
      </c>
      <c r="O30" s="14">
        <f>IF(OR(G30="",N30=""),"",G30-N30)</f>
        <v/>
      </c>
      <c r="P30" s="14">
        <f>IF(Method!$B$55=TRUE(),"🛑 PAUSED",IF(O30="","",IF(O30&lt;Method!$B$8,"PASS","BET")))</f>
        <v/>
      </c>
    </row>
    <row r="31">
      <c r="A31" s="14" t="n">
        <v>28</v>
      </c>
      <c r="B31" s="13" t="n">
        <v>46191</v>
      </c>
      <c r="C31" s="14" t="inlineStr">
        <is>
          <t>Mexico</t>
        </is>
      </c>
      <c r="D31" s="14" t="inlineStr">
        <is>
          <t>South Korea</t>
        </is>
      </c>
      <c r="E31" s="14" t="n">
        <v>1.993137955665588</v>
      </c>
      <c r="F31" s="14" t="n">
        <v>0.6759727001190186</v>
      </c>
      <c r="G31" s="14">
        <f>IFERROR(GOAL_GRID(E31,F31,"ou25"),"")</f>
        <v/>
      </c>
      <c r="H31" s="14">
        <f>IFERROR(GOAL_GRID(E31,F31,"btts"),"")</f>
        <v/>
      </c>
      <c r="I31" s="14">
        <f>IFERROR(GOAL_GRID(E31,F31,"ou15"),"")</f>
        <v/>
      </c>
      <c r="J31" s="14">
        <f>IFERROR(GOAL_GRID(E31,F31,"ou35"),"")</f>
        <v/>
      </c>
      <c r="N31" s="14">
        <f>IF(K31="","",1/K31)</f>
        <v/>
      </c>
      <c r="O31" s="14">
        <f>IF(OR(G31="",N31=""),"",G31-N31)</f>
        <v/>
      </c>
      <c r="P31" s="14">
        <f>IF(Method!$B$55=TRUE(),"🛑 PAUSED",IF(O31="","",IF(O31&lt;Method!$B$8,"PASS","BET")))</f>
        <v/>
      </c>
    </row>
    <row r="32">
      <c r="A32" s="14" t="n">
        <v>29</v>
      </c>
      <c r="B32" s="13" t="n">
        <v>46192</v>
      </c>
      <c r="C32" s="14" t="inlineStr">
        <is>
          <t>United States</t>
        </is>
      </c>
      <c r="D32" s="14" t="inlineStr">
        <is>
          <t>Australia</t>
        </is>
      </c>
      <c r="E32" s="14" t="n">
        <v>1.648293733596802</v>
      </c>
      <c r="F32" s="14" t="n">
        <v>0.9421712756156921</v>
      </c>
      <c r="G32" s="14">
        <f>IFERROR(GOAL_GRID(E32,F32,"ou25"),"")</f>
        <v/>
      </c>
      <c r="H32" s="14">
        <f>IFERROR(GOAL_GRID(E32,F32,"btts"),"")</f>
        <v/>
      </c>
      <c r="I32" s="14">
        <f>IFERROR(GOAL_GRID(E32,F32,"ou15"),"")</f>
        <v/>
      </c>
      <c r="J32" s="14">
        <f>IFERROR(GOAL_GRID(E32,F32,"ou35"),"")</f>
        <v/>
      </c>
      <c r="N32" s="14">
        <f>IF(K32="","",1/K32)</f>
        <v/>
      </c>
      <c r="O32" s="14">
        <f>IF(OR(G32="",N32=""),"",G32-N32)</f>
        <v/>
      </c>
      <c r="P32" s="14">
        <f>IF(Method!$B$55=TRUE(),"🛑 PAUSED",IF(O32="","",IF(O32&lt;Method!$B$8,"PASS","BET")))</f>
        <v/>
      </c>
    </row>
    <row r="33">
      <c r="A33" s="14" t="n">
        <v>30</v>
      </c>
      <c r="B33" s="13" t="n">
        <v>46192</v>
      </c>
      <c r="C33" s="14" t="inlineStr">
        <is>
          <t>Scotland</t>
        </is>
      </c>
      <c r="D33" s="14" t="inlineStr">
        <is>
          <t>Morocco</t>
        </is>
      </c>
      <c r="E33" s="14" t="n">
        <v>0.8106740713119507</v>
      </c>
      <c r="F33" s="14" t="n">
        <v>1.668235301971436</v>
      </c>
      <c r="G33" s="14">
        <f>IFERROR(GOAL_GRID(E33,F33,"ou25"),"")</f>
        <v/>
      </c>
      <c r="H33" s="14">
        <f>IFERROR(GOAL_GRID(E33,F33,"btts"),"")</f>
        <v/>
      </c>
      <c r="I33" s="14">
        <f>IFERROR(GOAL_GRID(E33,F33,"ou15"),"")</f>
        <v/>
      </c>
      <c r="J33" s="14">
        <f>IFERROR(GOAL_GRID(E33,F33,"ou35"),"")</f>
        <v/>
      </c>
      <c r="N33" s="14">
        <f>IF(K33="","",1/K33)</f>
        <v/>
      </c>
      <c r="O33" s="14">
        <f>IF(OR(G33="",N33=""),"",G33-N33)</f>
        <v/>
      </c>
      <c r="P33" s="14">
        <f>IF(Method!$B$55=TRUE(),"🛑 PAUSED",IF(O33="","",IF(O33&lt;Method!$B$8,"PASS","BET")))</f>
        <v/>
      </c>
    </row>
    <row r="34">
      <c r="A34" s="14" t="n">
        <v>31</v>
      </c>
      <c r="B34" s="13" t="n">
        <v>46192</v>
      </c>
      <c r="C34" s="14" t="inlineStr">
        <is>
          <t>Brazil</t>
        </is>
      </c>
      <c r="D34" s="14" t="inlineStr">
        <is>
          <t>Haiti</t>
        </is>
      </c>
      <c r="E34" s="14" t="n">
        <v>2.728375434875488</v>
      </c>
      <c r="F34" s="14" t="n">
        <v>0.5816285610198975</v>
      </c>
      <c r="G34" s="14">
        <f>IFERROR(GOAL_GRID(E34,F34,"ou25"),"")</f>
        <v/>
      </c>
      <c r="H34" s="14">
        <f>IFERROR(GOAL_GRID(E34,F34,"btts"),"")</f>
        <v/>
      </c>
      <c r="I34" s="14">
        <f>IFERROR(GOAL_GRID(E34,F34,"ou15"),"")</f>
        <v/>
      </c>
      <c r="J34" s="14">
        <f>IFERROR(GOAL_GRID(E34,F34,"ou35"),"")</f>
        <v/>
      </c>
      <c r="N34" s="14">
        <f>IF(K34="","",1/K34)</f>
        <v/>
      </c>
      <c r="O34" s="14">
        <f>IF(OR(G34="",N34=""),"",G34-N34)</f>
        <v/>
      </c>
      <c r="P34" s="14">
        <f>IF(Method!$B$55=TRUE(),"🛑 PAUSED",IF(O34="","",IF(O34&lt;Method!$B$8,"PASS","BET")))</f>
        <v/>
      </c>
    </row>
    <row r="35">
      <c r="A35" s="14" t="n">
        <v>32</v>
      </c>
      <c r="B35" s="13" t="n">
        <v>46192</v>
      </c>
      <c r="C35" s="14" t="inlineStr">
        <is>
          <t>Turkey</t>
        </is>
      </c>
      <c r="D35" s="14" t="inlineStr">
        <is>
          <t>Paraguay</t>
        </is>
      </c>
      <c r="E35" s="14" t="n">
        <v>1.499217391014099</v>
      </c>
      <c r="F35" s="14" t="n">
        <v>1.039818406105042</v>
      </c>
      <c r="G35" s="14">
        <f>IFERROR(GOAL_GRID(E35,F35,"ou25"),"")</f>
        <v/>
      </c>
      <c r="H35" s="14">
        <f>IFERROR(GOAL_GRID(E35,F35,"btts"),"")</f>
        <v/>
      </c>
      <c r="I35" s="14">
        <f>IFERROR(GOAL_GRID(E35,F35,"ou15"),"")</f>
        <v/>
      </c>
      <c r="J35" s="14">
        <f>IFERROR(GOAL_GRID(E35,F35,"ou35"),"")</f>
        <v/>
      </c>
      <c r="N35" s="14">
        <f>IF(K35="","",1/K35)</f>
        <v/>
      </c>
      <c r="O35" s="14">
        <f>IF(OR(G35="",N35=""),"",G35-N35)</f>
        <v/>
      </c>
      <c r="P35" s="14">
        <f>IF(Method!$B$55=TRUE(),"🛑 PAUSED",IF(O35="","",IF(O35&lt;Method!$B$8,"PASS","BET")))</f>
        <v/>
      </c>
    </row>
    <row r="36">
      <c r="A36" s="14" t="n">
        <v>33</v>
      </c>
      <c r="B36" s="13" t="n">
        <v>46193</v>
      </c>
      <c r="C36" s="14" t="inlineStr">
        <is>
          <t>Netherlands</t>
        </is>
      </c>
      <c r="D36" s="14" t="inlineStr">
        <is>
          <t>Sweden</t>
        </is>
      </c>
      <c r="E36" s="14" t="n">
        <v>2.704113245010376</v>
      </c>
      <c r="F36" s="14" t="n">
        <v>0.8300619125366211</v>
      </c>
      <c r="G36" s="14">
        <f>IFERROR(GOAL_GRID(E36,F36,"ou25"),"")</f>
        <v/>
      </c>
      <c r="H36" s="14">
        <f>IFERROR(GOAL_GRID(E36,F36,"btts"),"")</f>
        <v/>
      </c>
      <c r="I36" s="14">
        <f>IFERROR(GOAL_GRID(E36,F36,"ou15"),"")</f>
        <v/>
      </c>
      <c r="J36" s="14">
        <f>IFERROR(GOAL_GRID(E36,F36,"ou35"),"")</f>
        <v/>
      </c>
      <c r="N36" s="14">
        <f>IF(K36="","",1/K36)</f>
        <v/>
      </c>
      <c r="O36" s="14">
        <f>IF(OR(G36="",N36=""),"",G36-N36)</f>
        <v/>
      </c>
      <c r="P36" s="14">
        <f>IF(Method!$B$55=TRUE(),"🛑 PAUSED",IF(O36="","",IF(O36&lt;Method!$B$8,"PASS","BET")))</f>
        <v/>
      </c>
    </row>
    <row r="37">
      <c r="A37" s="14" t="n">
        <v>34</v>
      </c>
      <c r="B37" s="13" t="n">
        <v>46193</v>
      </c>
      <c r="C37" s="14" t="inlineStr">
        <is>
          <t>Germany</t>
        </is>
      </c>
      <c r="D37" s="14" t="inlineStr">
        <is>
          <t>Ivory Coast</t>
        </is>
      </c>
      <c r="E37" s="14" t="n">
        <v>1.789369106292725</v>
      </c>
      <c r="F37" s="14" t="n">
        <v>0.745577871799469</v>
      </c>
      <c r="G37" s="14">
        <f>IFERROR(GOAL_GRID(E37,F37,"ou25"),"")</f>
        <v/>
      </c>
      <c r="H37" s="14">
        <f>IFERROR(GOAL_GRID(E37,F37,"btts"),"")</f>
        <v/>
      </c>
      <c r="I37" s="14">
        <f>IFERROR(GOAL_GRID(E37,F37,"ou15"),"")</f>
        <v/>
      </c>
      <c r="J37" s="14">
        <f>IFERROR(GOAL_GRID(E37,F37,"ou35"),"")</f>
        <v/>
      </c>
      <c r="N37" s="14">
        <f>IF(K37="","",1/K37)</f>
        <v/>
      </c>
      <c r="O37" s="14">
        <f>IF(OR(G37="",N37=""),"",G37-N37)</f>
        <v/>
      </c>
      <c r="P37" s="14">
        <f>IF(Method!$B$55=TRUE(),"🛑 PAUSED",IF(O37="","",IF(O37&lt;Method!$B$8,"PASS","BET")))</f>
        <v/>
      </c>
    </row>
    <row r="38">
      <c r="A38" s="14" t="n">
        <v>35</v>
      </c>
      <c r="B38" s="13" t="n">
        <v>46193</v>
      </c>
      <c r="C38" s="14" t="inlineStr">
        <is>
          <t>Ecuador</t>
        </is>
      </c>
      <c r="D38" s="14" t="inlineStr">
        <is>
          <t>Curacao</t>
        </is>
      </c>
      <c r="E38" s="14" t="n">
        <v>2.565414190292358</v>
      </c>
      <c r="F38" s="14" t="n">
        <v>0.5425713062286377</v>
      </c>
      <c r="G38" s="14">
        <f>IFERROR(GOAL_GRID(E38,F38,"ou25"),"")</f>
        <v/>
      </c>
      <c r="H38" s="14">
        <f>IFERROR(GOAL_GRID(E38,F38,"btts"),"")</f>
        <v/>
      </c>
      <c r="I38" s="14">
        <f>IFERROR(GOAL_GRID(E38,F38,"ou15"),"")</f>
        <v/>
      </c>
      <c r="J38" s="14">
        <f>IFERROR(GOAL_GRID(E38,F38,"ou35"),"")</f>
        <v/>
      </c>
      <c r="N38" s="14">
        <f>IF(K38="","",1/K38)</f>
        <v/>
      </c>
      <c r="O38" s="14">
        <f>IF(OR(G38="",N38=""),"",G38-N38)</f>
        <v/>
      </c>
      <c r="P38" s="14">
        <f>IF(Method!$B$55=TRUE(),"🛑 PAUSED",IF(O38="","",IF(O38&lt;Method!$B$8,"PASS","BET")))</f>
        <v/>
      </c>
    </row>
    <row r="39">
      <c r="A39" s="14" t="n">
        <v>36</v>
      </c>
      <c r="B39" s="13" t="n">
        <v>46193</v>
      </c>
      <c r="C39" s="14" t="inlineStr">
        <is>
          <t>Tunisia</t>
        </is>
      </c>
      <c r="D39" s="14" t="inlineStr">
        <is>
          <t>Japan</t>
        </is>
      </c>
      <c r="E39" s="14" t="n">
        <v>0.7097924947738647</v>
      </c>
      <c r="F39" s="14" t="n">
        <v>1.855494618415833</v>
      </c>
      <c r="G39" s="14">
        <f>IFERROR(GOAL_GRID(E39,F39,"ou25"),"")</f>
        <v/>
      </c>
      <c r="H39" s="14">
        <f>IFERROR(GOAL_GRID(E39,F39,"btts"),"")</f>
        <v/>
      </c>
      <c r="I39" s="14">
        <f>IFERROR(GOAL_GRID(E39,F39,"ou15"),"")</f>
        <v/>
      </c>
      <c r="J39" s="14">
        <f>IFERROR(GOAL_GRID(E39,F39,"ou35"),"")</f>
        <v/>
      </c>
      <c r="N39" s="14">
        <f>IF(K39="","",1/K39)</f>
        <v/>
      </c>
      <c r="O39" s="14">
        <f>IF(OR(G39="",N39=""),"",G39-N39)</f>
        <v/>
      </c>
      <c r="P39" s="14">
        <f>IF(Method!$B$55=TRUE(),"🛑 PAUSED",IF(O39="","",IF(O39&lt;Method!$B$8,"PASS","BET")))</f>
        <v/>
      </c>
    </row>
    <row r="40">
      <c r="A40" s="14" t="n">
        <v>37</v>
      </c>
      <c r="B40" s="13" t="n">
        <v>46194</v>
      </c>
      <c r="C40" s="14" t="inlineStr">
        <is>
          <t>Spain</t>
        </is>
      </c>
      <c r="D40" s="14" t="inlineStr">
        <is>
          <t>Saudi Arabia</t>
        </is>
      </c>
      <c r="E40" s="14" t="n">
        <v>2.529829740524292</v>
      </c>
      <c r="F40" s="14" t="n">
        <v>0.5405099987983704</v>
      </c>
      <c r="G40" s="14">
        <f>IFERROR(GOAL_GRID(E40,F40,"ou25"),"")</f>
        <v/>
      </c>
      <c r="H40" s="14">
        <f>IFERROR(GOAL_GRID(E40,F40,"btts"),"")</f>
        <v/>
      </c>
      <c r="I40" s="14">
        <f>IFERROR(GOAL_GRID(E40,F40,"ou15"),"")</f>
        <v/>
      </c>
      <c r="J40" s="14">
        <f>IFERROR(GOAL_GRID(E40,F40,"ou35"),"")</f>
        <v/>
      </c>
      <c r="N40" s="14">
        <f>IF(K40="","",1/K40)</f>
        <v/>
      </c>
      <c r="O40" s="14">
        <f>IF(OR(G40="",N40=""),"",G40-N40)</f>
        <v/>
      </c>
      <c r="P40" s="14">
        <f>IF(Method!$B$55=TRUE(),"🛑 PAUSED",IF(O40="","",IF(O40&lt;Method!$B$8,"PASS","BET")))</f>
        <v/>
      </c>
    </row>
    <row r="41">
      <c r="A41" s="14" t="n">
        <v>38</v>
      </c>
      <c r="B41" s="13" t="n">
        <v>46194</v>
      </c>
      <c r="C41" s="14" t="inlineStr">
        <is>
          <t>Belgium</t>
        </is>
      </c>
      <c r="D41" s="14" t="inlineStr">
        <is>
          <t>Iran</t>
        </is>
      </c>
      <c r="E41" s="14" t="n">
        <v>1.512933731079102</v>
      </c>
      <c r="F41" s="14" t="n">
        <v>1.086187839508057</v>
      </c>
      <c r="G41" s="14">
        <f>IFERROR(GOAL_GRID(E41,F41,"ou25"),"")</f>
        <v/>
      </c>
      <c r="H41" s="14">
        <f>IFERROR(GOAL_GRID(E41,F41,"btts"),"")</f>
        <v/>
      </c>
      <c r="I41" s="14">
        <f>IFERROR(GOAL_GRID(E41,F41,"ou15"),"")</f>
        <v/>
      </c>
      <c r="J41" s="14">
        <f>IFERROR(GOAL_GRID(E41,F41,"ou35"),"")</f>
        <v/>
      </c>
      <c r="N41" s="14">
        <f>IF(K41="","",1/K41)</f>
        <v/>
      </c>
      <c r="O41" s="14">
        <f>IF(OR(G41="",N41=""),"",G41-N41)</f>
        <v/>
      </c>
      <c r="P41" s="14">
        <f>IF(Method!$B$55=TRUE(),"🛑 PAUSED",IF(O41="","",IF(O41&lt;Method!$B$8,"PASS","BET")))</f>
        <v/>
      </c>
    </row>
    <row r="42">
      <c r="A42" s="14" t="n">
        <v>39</v>
      </c>
      <c r="B42" s="13" t="n">
        <v>46194</v>
      </c>
      <c r="C42" s="14" t="inlineStr">
        <is>
          <t>Uruguay</t>
        </is>
      </c>
      <c r="D42" s="14" t="inlineStr">
        <is>
          <t>Cape Verde</t>
        </is>
      </c>
      <c r="E42" s="14" t="n">
        <v>1.794381141662598</v>
      </c>
      <c r="F42" s="14" t="n">
        <v>0.665635347366333</v>
      </c>
      <c r="G42" s="14">
        <f>IFERROR(GOAL_GRID(E42,F42,"ou25"),"")</f>
        <v/>
      </c>
      <c r="H42" s="14">
        <f>IFERROR(GOAL_GRID(E42,F42,"btts"),"")</f>
        <v/>
      </c>
      <c r="I42" s="14">
        <f>IFERROR(GOAL_GRID(E42,F42,"ou15"),"")</f>
        <v/>
      </c>
      <c r="J42" s="14">
        <f>IFERROR(GOAL_GRID(E42,F42,"ou35"),"")</f>
        <v/>
      </c>
      <c r="N42" s="14">
        <f>IF(K42="","",1/K42)</f>
        <v/>
      </c>
      <c r="O42" s="14">
        <f>IF(OR(G42="",N42=""),"",G42-N42)</f>
        <v/>
      </c>
      <c r="P42" s="14">
        <f>IF(Method!$B$55=TRUE(),"🛑 PAUSED",IF(O42="","",IF(O42&lt;Method!$B$8,"PASS","BET")))</f>
        <v/>
      </c>
    </row>
    <row r="43">
      <c r="A43" s="14" t="n">
        <v>40</v>
      </c>
      <c r="B43" s="13" t="n">
        <v>46194</v>
      </c>
      <c r="C43" s="14" t="inlineStr">
        <is>
          <t>New Zealand</t>
        </is>
      </c>
      <c r="D43" s="14" t="inlineStr">
        <is>
          <t>Egypt</t>
        </is>
      </c>
      <c r="E43" s="14" t="n">
        <v>1.052033305168152</v>
      </c>
      <c r="F43" s="14" t="n">
        <v>1.471725940704346</v>
      </c>
      <c r="G43" s="14">
        <f>IFERROR(GOAL_GRID(E43,F43,"ou25"),"")</f>
        <v/>
      </c>
      <c r="H43" s="14">
        <f>IFERROR(GOAL_GRID(E43,F43,"btts"),"")</f>
        <v/>
      </c>
      <c r="I43" s="14">
        <f>IFERROR(GOAL_GRID(E43,F43,"ou15"),"")</f>
        <v/>
      </c>
      <c r="J43" s="14">
        <f>IFERROR(GOAL_GRID(E43,F43,"ou35"),"")</f>
        <v/>
      </c>
      <c r="N43" s="14">
        <f>IF(K43="","",1/K43)</f>
        <v/>
      </c>
      <c r="O43" s="14">
        <f>IF(OR(G43="",N43=""),"",G43-N43)</f>
        <v/>
      </c>
      <c r="P43" s="14">
        <f>IF(Method!$B$55=TRUE(),"🛑 PAUSED",IF(O43="","",IF(O43&lt;Method!$B$8,"PASS","BET")))</f>
        <v/>
      </c>
    </row>
    <row r="44">
      <c r="A44" s="14" t="n">
        <v>41</v>
      </c>
      <c r="B44" s="13" t="n">
        <v>46195</v>
      </c>
      <c r="C44" s="14" t="inlineStr">
        <is>
          <t>Argentina</t>
        </is>
      </c>
      <c r="D44" s="14" t="inlineStr">
        <is>
          <t>Austria</t>
        </is>
      </c>
      <c r="E44" s="14" t="n">
        <v>2.662137269973755</v>
      </c>
      <c r="F44" s="14" t="n">
        <v>0.5545205473899841</v>
      </c>
      <c r="G44" s="14">
        <f>IFERROR(GOAL_GRID(E44,F44,"ou25"),"")</f>
        <v/>
      </c>
      <c r="H44" s="14">
        <f>IFERROR(GOAL_GRID(E44,F44,"btts"),"")</f>
        <v/>
      </c>
      <c r="I44" s="14">
        <f>IFERROR(GOAL_GRID(E44,F44,"ou15"),"")</f>
        <v/>
      </c>
      <c r="J44" s="14">
        <f>IFERROR(GOAL_GRID(E44,F44,"ou35"),"")</f>
        <v/>
      </c>
      <c r="N44" s="14">
        <f>IF(K44="","",1/K44)</f>
        <v/>
      </c>
      <c r="O44" s="14">
        <f>IF(OR(G44="",N44=""),"",G44-N44)</f>
        <v/>
      </c>
      <c r="P44" s="14">
        <f>IF(Method!$B$55=TRUE(),"🛑 PAUSED",IF(O44="","",IF(O44&lt;Method!$B$8,"PASS","BET")))</f>
        <v/>
      </c>
    </row>
    <row r="45">
      <c r="A45" s="14" t="n">
        <v>42</v>
      </c>
      <c r="B45" s="13" t="n">
        <v>46195</v>
      </c>
      <c r="C45" s="14" t="inlineStr">
        <is>
          <t>France</t>
        </is>
      </c>
      <c r="D45" s="14" t="inlineStr">
        <is>
          <t>Iraq</t>
        </is>
      </c>
      <c r="E45" s="14" t="n">
        <v>2.838973760604858</v>
      </c>
      <c r="F45" s="14" t="n">
        <v>0.6842857003211975</v>
      </c>
      <c r="G45" s="14">
        <f>IFERROR(GOAL_GRID(E45,F45,"ou25"),"")</f>
        <v/>
      </c>
      <c r="H45" s="14">
        <f>IFERROR(GOAL_GRID(E45,F45,"btts"),"")</f>
        <v/>
      </c>
      <c r="I45" s="14">
        <f>IFERROR(GOAL_GRID(E45,F45,"ou15"),"")</f>
        <v/>
      </c>
      <c r="J45" s="14">
        <f>IFERROR(GOAL_GRID(E45,F45,"ou35"),"")</f>
        <v/>
      </c>
      <c r="N45" s="14">
        <f>IF(K45="","",1/K45)</f>
        <v/>
      </c>
      <c r="O45" s="14">
        <f>IF(OR(G45="",N45=""),"",G45-N45)</f>
        <v/>
      </c>
      <c r="P45" s="14">
        <f>IF(Method!$B$55=TRUE(),"🛑 PAUSED",IF(O45="","",IF(O45&lt;Method!$B$8,"PASS","BET")))</f>
        <v/>
      </c>
    </row>
    <row r="46">
      <c r="A46" s="14" t="n">
        <v>43</v>
      </c>
      <c r="B46" s="13" t="n">
        <v>46195</v>
      </c>
      <c r="C46" s="14" t="inlineStr">
        <is>
          <t>Norway</t>
        </is>
      </c>
      <c r="D46" s="14" t="inlineStr">
        <is>
          <t>Senegal</t>
        </is>
      </c>
      <c r="E46" s="14" t="n">
        <v>1.69382107257843</v>
      </c>
      <c r="F46" s="14" t="n">
        <v>0.9878279566764832</v>
      </c>
      <c r="G46" s="14">
        <f>IFERROR(GOAL_GRID(E46,F46,"ou25"),"")</f>
        <v/>
      </c>
      <c r="H46" s="14">
        <f>IFERROR(GOAL_GRID(E46,F46,"btts"),"")</f>
        <v/>
      </c>
      <c r="I46" s="14">
        <f>IFERROR(GOAL_GRID(E46,F46,"ou15"),"")</f>
        <v/>
      </c>
      <c r="J46" s="14">
        <f>IFERROR(GOAL_GRID(E46,F46,"ou35"),"")</f>
        <v/>
      </c>
      <c r="N46" s="14">
        <f>IF(K46="","",1/K46)</f>
        <v/>
      </c>
      <c r="O46" s="14">
        <f>IF(OR(G46="",N46=""),"",G46-N46)</f>
        <v/>
      </c>
      <c r="P46" s="14">
        <f>IF(Method!$B$55=TRUE(),"🛑 PAUSED",IF(O46="","",IF(O46&lt;Method!$B$8,"PASS","BET")))</f>
        <v/>
      </c>
    </row>
    <row r="47">
      <c r="A47" s="14" t="n">
        <v>44</v>
      </c>
      <c r="B47" s="13" t="n">
        <v>46195</v>
      </c>
      <c r="C47" s="14" t="inlineStr">
        <is>
          <t>Jordan</t>
        </is>
      </c>
      <c r="D47" s="14" t="inlineStr">
        <is>
          <t>Algeria</t>
        </is>
      </c>
      <c r="E47" s="14" t="n">
        <v>1.111549973487854</v>
      </c>
      <c r="F47" s="14" t="n">
        <v>1.577648878097534</v>
      </c>
      <c r="G47" s="14">
        <f>IFERROR(GOAL_GRID(E47,F47,"ou25"),"")</f>
        <v/>
      </c>
      <c r="H47" s="14">
        <f>IFERROR(GOAL_GRID(E47,F47,"btts"),"")</f>
        <v/>
      </c>
      <c r="I47" s="14">
        <f>IFERROR(GOAL_GRID(E47,F47,"ou15"),"")</f>
        <v/>
      </c>
      <c r="J47" s="14">
        <f>IFERROR(GOAL_GRID(E47,F47,"ou35"),"")</f>
        <v/>
      </c>
      <c r="N47" s="14">
        <f>IF(K47="","",1/K47)</f>
        <v/>
      </c>
      <c r="O47" s="14">
        <f>IF(OR(G47="",N47=""),"",G47-N47)</f>
        <v/>
      </c>
      <c r="P47" s="14">
        <f>IF(Method!$B$55=TRUE(),"🛑 PAUSED",IF(O47="","",IF(O47&lt;Method!$B$8,"PASS","BET")))</f>
        <v/>
      </c>
    </row>
    <row r="48">
      <c r="A48" s="14" t="n">
        <v>45</v>
      </c>
      <c r="B48" s="13" t="n">
        <v>46196</v>
      </c>
      <c r="C48" s="14" t="inlineStr">
        <is>
          <t>Portugal</t>
        </is>
      </c>
      <c r="D48" s="14" t="inlineStr">
        <is>
          <t>Uzbekistan</t>
        </is>
      </c>
      <c r="E48" s="14" t="n">
        <v>1.954663753509521</v>
      </c>
      <c r="F48" s="14" t="n">
        <v>0.7448497414588928</v>
      </c>
      <c r="G48" s="14">
        <f>IFERROR(GOAL_GRID(E48,F48,"ou25"),"")</f>
        <v/>
      </c>
      <c r="H48" s="14">
        <f>IFERROR(GOAL_GRID(E48,F48,"btts"),"")</f>
        <v/>
      </c>
      <c r="I48" s="14">
        <f>IFERROR(GOAL_GRID(E48,F48,"ou15"),"")</f>
        <v/>
      </c>
      <c r="J48" s="14">
        <f>IFERROR(GOAL_GRID(E48,F48,"ou35"),"")</f>
        <v/>
      </c>
      <c r="N48" s="14">
        <f>IF(K48="","",1/K48)</f>
        <v/>
      </c>
      <c r="O48" s="14">
        <f>IF(OR(G48="",N48=""),"",G48-N48)</f>
        <v/>
      </c>
      <c r="P48" s="14">
        <f>IF(Method!$B$55=TRUE(),"🛑 PAUSED",IF(O48="","",IF(O48&lt;Method!$B$8,"PASS","BET")))</f>
        <v/>
      </c>
    </row>
    <row r="49">
      <c r="A49" s="14" t="n">
        <v>46</v>
      </c>
      <c r="B49" s="13" t="n">
        <v>46196</v>
      </c>
      <c r="C49" s="14" t="inlineStr">
        <is>
          <t>England</t>
        </is>
      </c>
      <c r="D49" s="14" t="inlineStr">
        <is>
          <t>Ghana</t>
        </is>
      </c>
      <c r="E49" s="14" t="n">
        <v>2.460013389587402</v>
      </c>
      <c r="F49" s="14" t="n">
        <v>0.5643496513366699</v>
      </c>
      <c r="G49" s="14">
        <f>IFERROR(GOAL_GRID(E49,F49,"ou25"),"")</f>
        <v/>
      </c>
      <c r="H49" s="14">
        <f>IFERROR(GOAL_GRID(E49,F49,"btts"),"")</f>
        <v/>
      </c>
      <c r="I49" s="14">
        <f>IFERROR(GOAL_GRID(E49,F49,"ou15"),"")</f>
        <v/>
      </c>
      <c r="J49" s="14">
        <f>IFERROR(GOAL_GRID(E49,F49,"ou35"),"")</f>
        <v/>
      </c>
      <c r="N49" s="14">
        <f>IF(K49="","",1/K49)</f>
        <v/>
      </c>
      <c r="O49" s="14">
        <f>IF(OR(G49="",N49=""),"",G49-N49)</f>
        <v/>
      </c>
      <c r="P49" s="14">
        <f>IF(Method!$B$55=TRUE(),"🛑 PAUSED",IF(O49="","",IF(O49&lt;Method!$B$8,"PASS","BET")))</f>
        <v/>
      </c>
    </row>
    <row r="50">
      <c r="A50" s="14" t="n">
        <v>47</v>
      </c>
      <c r="B50" s="13" t="n">
        <v>46196</v>
      </c>
      <c r="C50" s="14" t="inlineStr">
        <is>
          <t>Panama</t>
        </is>
      </c>
      <c r="D50" s="14" t="inlineStr">
        <is>
          <t>Croatia</t>
        </is>
      </c>
      <c r="E50" s="14" t="n">
        <v>0.934880793094635</v>
      </c>
      <c r="F50" s="14" t="n">
        <v>1.821219086647034</v>
      </c>
      <c r="G50" s="14">
        <f>IFERROR(GOAL_GRID(E50,F50,"ou25"),"")</f>
        <v/>
      </c>
      <c r="H50" s="14">
        <f>IFERROR(GOAL_GRID(E50,F50,"btts"),"")</f>
        <v/>
      </c>
      <c r="I50" s="14">
        <f>IFERROR(GOAL_GRID(E50,F50,"ou15"),"")</f>
        <v/>
      </c>
      <c r="J50" s="14">
        <f>IFERROR(GOAL_GRID(E50,F50,"ou35"),"")</f>
        <v/>
      </c>
      <c r="N50" s="14">
        <f>IF(K50="","",1/K50)</f>
        <v/>
      </c>
      <c r="O50" s="14">
        <f>IF(OR(G50="",N50=""),"",G50-N50)</f>
        <v/>
      </c>
      <c r="P50" s="14">
        <f>IF(Method!$B$55=TRUE(),"🛑 PAUSED",IF(O50="","",IF(O50&lt;Method!$B$8,"PASS","BET")))</f>
        <v/>
      </c>
    </row>
    <row r="51">
      <c r="A51" s="14" t="n">
        <v>48</v>
      </c>
      <c r="B51" s="13" t="n">
        <v>46196</v>
      </c>
      <c r="C51" s="14" t="inlineStr">
        <is>
          <t>Colombia</t>
        </is>
      </c>
      <c r="D51" s="14" t="inlineStr">
        <is>
          <t>DR Congo</t>
        </is>
      </c>
      <c r="E51" s="14" t="n">
        <v>2.144279718399048</v>
      </c>
      <c r="F51" s="14" t="n">
        <v>0.5892113447189331</v>
      </c>
      <c r="G51" s="14">
        <f>IFERROR(GOAL_GRID(E51,F51,"ou25"),"")</f>
        <v/>
      </c>
      <c r="H51" s="14">
        <f>IFERROR(GOAL_GRID(E51,F51,"btts"),"")</f>
        <v/>
      </c>
      <c r="I51" s="14">
        <f>IFERROR(GOAL_GRID(E51,F51,"ou15"),"")</f>
        <v/>
      </c>
      <c r="J51" s="14">
        <f>IFERROR(GOAL_GRID(E51,F51,"ou35"),"")</f>
        <v/>
      </c>
      <c r="N51" s="14">
        <f>IF(K51="","",1/K51)</f>
        <v/>
      </c>
      <c r="O51" s="14">
        <f>IF(OR(G51="",N51=""),"",G51-N51)</f>
        <v/>
      </c>
      <c r="P51" s="14">
        <f>IF(Method!$B$55=TRUE(),"🛑 PAUSED",IF(O51="","",IF(O51&lt;Method!$B$8,"PASS","BET")))</f>
        <v/>
      </c>
    </row>
    <row r="52">
      <c r="A52" s="14" t="n">
        <v>49</v>
      </c>
      <c r="B52" s="13" t="n">
        <v>46197</v>
      </c>
      <c r="C52" s="14" t="inlineStr">
        <is>
          <t>Switzerland</t>
        </is>
      </c>
      <c r="D52" s="14" t="inlineStr">
        <is>
          <t>Canada</t>
        </is>
      </c>
      <c r="E52" s="14" t="n">
        <v>1.437123656272888</v>
      </c>
      <c r="F52" s="14" t="n">
        <v>1.111369729042053</v>
      </c>
      <c r="G52" s="14">
        <f>IFERROR(GOAL_GRID(E52,F52,"ou25"),"")</f>
        <v/>
      </c>
      <c r="H52" s="14">
        <f>IFERROR(GOAL_GRID(E52,F52,"btts"),"")</f>
        <v/>
      </c>
      <c r="I52" s="14">
        <f>IFERROR(GOAL_GRID(E52,F52,"ou15"),"")</f>
        <v/>
      </c>
      <c r="J52" s="14">
        <f>IFERROR(GOAL_GRID(E52,F52,"ou35"),"")</f>
        <v/>
      </c>
      <c r="N52" s="14">
        <f>IF(K52="","",1/K52)</f>
        <v/>
      </c>
      <c r="O52" s="14">
        <f>IF(OR(G52="",N52=""),"",G52-N52)</f>
        <v/>
      </c>
      <c r="P52" s="14">
        <f>IF(Method!$B$55=TRUE(),"🛑 PAUSED",IF(O52="","",IF(O52&lt;Method!$B$8,"PASS","BET")))</f>
        <v/>
      </c>
    </row>
    <row r="53">
      <c r="A53" s="14" t="n">
        <v>50</v>
      </c>
      <c r="B53" s="13" t="n">
        <v>46197</v>
      </c>
      <c r="C53" s="14" t="inlineStr">
        <is>
          <t>Bosnia and Herzegovina</t>
        </is>
      </c>
      <c r="D53" s="14" t="inlineStr">
        <is>
          <t>Qatar</t>
        </is>
      </c>
      <c r="E53" s="14" t="n">
        <v>1.404040336608887</v>
      </c>
      <c r="F53" s="14" t="n">
        <v>1.020411014556885</v>
      </c>
      <c r="G53" s="14">
        <f>IFERROR(GOAL_GRID(E53,F53,"ou25"),"")</f>
        <v/>
      </c>
      <c r="H53" s="14">
        <f>IFERROR(GOAL_GRID(E53,F53,"btts"),"")</f>
        <v/>
      </c>
      <c r="I53" s="14">
        <f>IFERROR(GOAL_GRID(E53,F53,"ou15"),"")</f>
        <v/>
      </c>
      <c r="J53" s="14">
        <f>IFERROR(GOAL_GRID(E53,F53,"ou35"),"")</f>
        <v/>
      </c>
      <c r="N53" s="14">
        <f>IF(K53="","",1/K53)</f>
        <v/>
      </c>
      <c r="O53" s="14">
        <f>IF(OR(G53="",N53=""),"",G53-N53)</f>
        <v/>
      </c>
      <c r="P53" s="14">
        <f>IF(Method!$B$55=TRUE(),"🛑 PAUSED",IF(O53="","",IF(O53&lt;Method!$B$8,"PASS","BET")))</f>
        <v/>
      </c>
    </row>
    <row r="54">
      <c r="A54" s="14" t="n">
        <v>51</v>
      </c>
      <c r="B54" s="13" t="n">
        <v>46197</v>
      </c>
      <c r="C54" s="14" t="inlineStr">
        <is>
          <t>Scotland</t>
        </is>
      </c>
      <c r="D54" s="14" t="inlineStr">
        <is>
          <t>Brazil</t>
        </is>
      </c>
      <c r="E54" s="14" t="n">
        <v>0.7930641770362854</v>
      </c>
      <c r="F54" s="14" t="n">
        <v>2.146225214004517</v>
      </c>
      <c r="G54" s="14">
        <f>IFERROR(GOAL_GRID(E54,F54,"ou25"),"")</f>
        <v/>
      </c>
      <c r="H54" s="14">
        <f>IFERROR(GOAL_GRID(E54,F54,"btts"),"")</f>
        <v/>
      </c>
      <c r="I54" s="14">
        <f>IFERROR(GOAL_GRID(E54,F54,"ou15"),"")</f>
        <v/>
      </c>
      <c r="J54" s="14">
        <f>IFERROR(GOAL_GRID(E54,F54,"ou35"),"")</f>
        <v/>
      </c>
      <c r="N54" s="14">
        <f>IF(K54="","",1/K54)</f>
        <v/>
      </c>
      <c r="O54" s="14">
        <f>IF(OR(G54="",N54=""),"",G54-N54)</f>
        <v/>
      </c>
      <c r="P54" s="14">
        <f>IF(Method!$B$55=TRUE(),"🛑 PAUSED",IF(O54="","",IF(O54&lt;Method!$B$8,"PASS","BET")))</f>
        <v/>
      </c>
    </row>
    <row r="55">
      <c r="A55" s="14" t="n">
        <v>52</v>
      </c>
      <c r="B55" s="13" t="n">
        <v>46197</v>
      </c>
      <c r="C55" s="14" t="inlineStr">
        <is>
          <t>Morocco</t>
        </is>
      </c>
      <c r="D55" s="14" t="inlineStr">
        <is>
          <t>Haiti</t>
        </is>
      </c>
      <c r="E55" s="14" t="n">
        <v>2.209931373596191</v>
      </c>
      <c r="F55" s="14" t="n">
        <v>0.5828475952148438</v>
      </c>
      <c r="G55" s="14">
        <f>IFERROR(GOAL_GRID(E55,F55,"ou25"),"")</f>
        <v/>
      </c>
      <c r="H55" s="14">
        <f>IFERROR(GOAL_GRID(E55,F55,"btts"),"")</f>
        <v/>
      </c>
      <c r="I55" s="14">
        <f>IFERROR(GOAL_GRID(E55,F55,"ou15"),"")</f>
        <v/>
      </c>
      <c r="J55" s="14">
        <f>IFERROR(GOAL_GRID(E55,F55,"ou35"),"")</f>
        <v/>
      </c>
      <c r="N55" s="14">
        <f>IF(K55="","",1/K55)</f>
        <v/>
      </c>
      <c r="O55" s="14">
        <f>IF(OR(G55="",N55=""),"",G55-N55)</f>
        <v/>
      </c>
      <c r="P55" s="14">
        <f>IF(Method!$B$55=TRUE(),"🛑 PAUSED",IF(O55="","",IF(O55&lt;Method!$B$8,"PASS","BET")))</f>
        <v/>
      </c>
    </row>
    <row r="56">
      <c r="A56" s="14" t="n">
        <v>53</v>
      </c>
      <c r="B56" s="13" t="n">
        <v>46197</v>
      </c>
      <c r="C56" s="14" t="inlineStr">
        <is>
          <t>Czechia</t>
        </is>
      </c>
      <c r="D56" s="14" t="inlineStr">
        <is>
          <t>Mexico</t>
        </is>
      </c>
      <c r="E56" s="14" t="n">
        <v>0.622419536113739</v>
      </c>
      <c r="F56" s="14" t="n">
        <v>2.434916019439697</v>
      </c>
      <c r="G56" s="14">
        <f>IFERROR(GOAL_GRID(E56,F56,"ou25"),"")</f>
        <v/>
      </c>
      <c r="H56" s="14">
        <f>IFERROR(GOAL_GRID(E56,F56,"btts"),"")</f>
        <v/>
      </c>
      <c r="I56" s="14">
        <f>IFERROR(GOAL_GRID(E56,F56,"ou15"),"")</f>
        <v/>
      </c>
      <c r="J56" s="14">
        <f>IFERROR(GOAL_GRID(E56,F56,"ou35"),"")</f>
        <v/>
      </c>
      <c r="N56" s="14">
        <f>IF(K56="","",1/K56)</f>
        <v/>
      </c>
      <c r="O56" s="14">
        <f>IF(OR(G56="",N56=""),"",G56-N56)</f>
        <v/>
      </c>
      <c r="P56" s="14">
        <f>IF(Method!$B$55=TRUE(),"🛑 PAUSED",IF(O56="","",IF(O56&lt;Method!$B$8,"PASS","BET")))</f>
        <v/>
      </c>
    </row>
    <row r="57">
      <c r="A57" s="14" t="n">
        <v>54</v>
      </c>
      <c r="B57" s="13" t="n">
        <v>46197</v>
      </c>
      <c r="C57" s="14" t="inlineStr">
        <is>
          <t>South Africa</t>
        </is>
      </c>
      <c r="D57" s="14" t="inlineStr">
        <is>
          <t>South Korea</t>
        </is>
      </c>
      <c r="E57" s="14" t="n">
        <v>0.7381753325462341</v>
      </c>
      <c r="F57" s="14" t="n">
        <v>1.490415096282959</v>
      </c>
      <c r="G57" s="14">
        <f>IFERROR(GOAL_GRID(E57,F57,"ou25"),"")</f>
        <v/>
      </c>
      <c r="H57" s="14">
        <f>IFERROR(GOAL_GRID(E57,F57,"btts"),"")</f>
        <v/>
      </c>
      <c r="I57" s="14">
        <f>IFERROR(GOAL_GRID(E57,F57,"ou15"),"")</f>
        <v/>
      </c>
      <c r="J57" s="14">
        <f>IFERROR(GOAL_GRID(E57,F57,"ou35"),"")</f>
        <v/>
      </c>
      <c r="N57" s="14">
        <f>IF(K57="","",1/K57)</f>
        <v/>
      </c>
      <c r="O57" s="14">
        <f>IF(OR(G57="",N57=""),"",G57-N57)</f>
        <v/>
      </c>
      <c r="P57" s="14">
        <f>IF(Method!$B$55=TRUE(),"🛑 PAUSED",IF(O57="","",IF(O57&lt;Method!$B$8,"PASS","BET")))</f>
        <v/>
      </c>
    </row>
    <row r="58">
      <c r="A58" s="14" t="n">
        <v>55</v>
      </c>
      <c r="B58" s="13" t="n">
        <v>46198</v>
      </c>
      <c r="C58" s="14" t="inlineStr">
        <is>
          <t>Ecuador</t>
        </is>
      </c>
      <c r="D58" s="14" t="inlineStr">
        <is>
          <t>Germany</t>
        </is>
      </c>
      <c r="E58" s="14" t="n">
        <v>1.247310042381287</v>
      </c>
      <c r="F58" s="14" t="n">
        <v>1.276440382003784</v>
      </c>
      <c r="G58" s="14">
        <f>IFERROR(GOAL_GRID(E58,F58,"ou25"),"")</f>
        <v/>
      </c>
      <c r="H58" s="14">
        <f>IFERROR(GOAL_GRID(E58,F58,"btts"),"")</f>
        <v/>
      </c>
      <c r="I58" s="14">
        <f>IFERROR(GOAL_GRID(E58,F58,"ou15"),"")</f>
        <v/>
      </c>
      <c r="J58" s="14">
        <f>IFERROR(GOAL_GRID(E58,F58,"ou35"),"")</f>
        <v/>
      </c>
      <c r="N58" s="14">
        <f>IF(K58="","",1/K58)</f>
        <v/>
      </c>
      <c r="O58" s="14">
        <f>IF(OR(G58="",N58=""),"",G58-N58)</f>
        <v/>
      </c>
      <c r="P58" s="14">
        <f>IF(Method!$B$55=TRUE(),"🛑 PAUSED",IF(O58="","",IF(O58&lt;Method!$B$8,"PASS","BET")))</f>
        <v/>
      </c>
    </row>
    <row r="59">
      <c r="A59" s="14" t="n">
        <v>56</v>
      </c>
      <c r="B59" s="13" t="n">
        <v>46198</v>
      </c>
      <c r="C59" s="14" t="inlineStr">
        <is>
          <t>Curacao</t>
        </is>
      </c>
      <c r="D59" s="14" t="inlineStr">
        <is>
          <t>Ivory Coast</t>
        </is>
      </c>
      <c r="E59" s="14" t="n">
        <v>0.6557688117027283</v>
      </c>
      <c r="F59" s="14" t="n">
        <v>2.059283256530762</v>
      </c>
      <c r="G59" s="14">
        <f>IFERROR(GOAL_GRID(E59,F59,"ou25"),"")</f>
        <v/>
      </c>
      <c r="H59" s="14">
        <f>IFERROR(GOAL_GRID(E59,F59,"btts"),"")</f>
        <v/>
      </c>
      <c r="I59" s="14">
        <f>IFERROR(GOAL_GRID(E59,F59,"ou15"),"")</f>
        <v/>
      </c>
      <c r="J59" s="14">
        <f>IFERROR(GOAL_GRID(E59,F59,"ou35"),"")</f>
        <v/>
      </c>
      <c r="N59" s="14">
        <f>IF(K59="","",1/K59)</f>
        <v/>
      </c>
      <c r="O59" s="14">
        <f>IF(OR(G59="",N59=""),"",G59-N59)</f>
        <v/>
      </c>
      <c r="P59" s="14">
        <f>IF(Method!$B$55=TRUE(),"🛑 PAUSED",IF(O59="","",IF(O59&lt;Method!$B$8,"PASS","BET")))</f>
        <v/>
      </c>
    </row>
    <row r="60">
      <c r="A60" s="14" t="n">
        <v>57</v>
      </c>
      <c r="B60" s="13" t="n">
        <v>46198</v>
      </c>
      <c r="C60" s="14" t="inlineStr">
        <is>
          <t>Japan</t>
        </is>
      </c>
      <c r="D60" s="14" t="inlineStr">
        <is>
          <t>Sweden</t>
        </is>
      </c>
      <c r="E60" s="14" t="n">
        <v>1.837089657783508</v>
      </c>
      <c r="F60" s="14" t="n">
        <v>0.8426067233085632</v>
      </c>
      <c r="G60" s="14">
        <f>IFERROR(GOAL_GRID(E60,F60,"ou25"),"")</f>
        <v/>
      </c>
      <c r="H60" s="14">
        <f>IFERROR(GOAL_GRID(E60,F60,"btts"),"")</f>
        <v/>
      </c>
      <c r="I60" s="14">
        <f>IFERROR(GOAL_GRID(E60,F60,"ou15"),"")</f>
        <v/>
      </c>
      <c r="J60" s="14">
        <f>IFERROR(GOAL_GRID(E60,F60,"ou35"),"")</f>
        <v/>
      </c>
      <c r="N60" s="14">
        <f>IF(K60="","",1/K60)</f>
        <v/>
      </c>
      <c r="O60" s="14">
        <f>IF(OR(G60="",N60=""),"",G60-N60)</f>
        <v/>
      </c>
      <c r="P60" s="14">
        <f>IF(Method!$B$55=TRUE(),"🛑 PAUSED",IF(O60="","",IF(O60&lt;Method!$B$8,"PASS","BET")))</f>
        <v/>
      </c>
    </row>
    <row r="61">
      <c r="A61" s="14" t="n">
        <v>58</v>
      </c>
      <c r="B61" s="13" t="n">
        <v>46198</v>
      </c>
      <c r="C61" s="14" t="inlineStr">
        <is>
          <t>Tunisia</t>
        </is>
      </c>
      <c r="D61" s="14" t="inlineStr">
        <is>
          <t>Netherlands</t>
        </is>
      </c>
      <c r="E61" s="14" t="n">
        <v>0.6021531820297241</v>
      </c>
      <c r="F61" s="14" t="n">
        <v>2.305819749832153</v>
      </c>
      <c r="G61" s="14">
        <f>IFERROR(GOAL_GRID(E61,F61,"ou25"),"")</f>
        <v/>
      </c>
      <c r="H61" s="14">
        <f>IFERROR(GOAL_GRID(E61,F61,"btts"),"")</f>
        <v/>
      </c>
      <c r="I61" s="14">
        <f>IFERROR(GOAL_GRID(E61,F61,"ou15"),"")</f>
        <v/>
      </c>
      <c r="J61" s="14">
        <f>IFERROR(GOAL_GRID(E61,F61,"ou35"),"")</f>
        <v/>
      </c>
      <c r="N61" s="14">
        <f>IF(K61="","",1/K61)</f>
        <v/>
      </c>
      <c r="O61" s="14">
        <f>IF(OR(G61="",N61=""),"",G61-N61)</f>
        <v/>
      </c>
      <c r="P61" s="14">
        <f>IF(Method!$B$55=TRUE(),"🛑 PAUSED",IF(O61="","",IF(O61&lt;Method!$B$8,"PASS","BET")))</f>
        <v/>
      </c>
    </row>
    <row r="62">
      <c r="A62" s="14" t="n">
        <v>59</v>
      </c>
      <c r="B62" s="13" t="n">
        <v>46198</v>
      </c>
      <c r="C62" s="14" t="inlineStr">
        <is>
          <t>Turkey</t>
        </is>
      </c>
      <c r="D62" s="14" t="inlineStr">
        <is>
          <t>United States</t>
        </is>
      </c>
      <c r="E62" s="14" t="n">
        <v>1.73206615447998</v>
      </c>
      <c r="F62" s="14" t="n">
        <v>1.168804526329041</v>
      </c>
      <c r="G62" s="14">
        <f>IFERROR(GOAL_GRID(E62,F62,"ou25"),"")</f>
        <v/>
      </c>
      <c r="H62" s="14">
        <f>IFERROR(GOAL_GRID(E62,F62,"btts"),"")</f>
        <v/>
      </c>
      <c r="I62" s="14">
        <f>IFERROR(GOAL_GRID(E62,F62,"ou15"),"")</f>
        <v/>
      </c>
      <c r="J62" s="14">
        <f>IFERROR(GOAL_GRID(E62,F62,"ou35"),"")</f>
        <v/>
      </c>
      <c r="N62" s="14">
        <f>IF(K62="","",1/K62)</f>
        <v/>
      </c>
      <c r="O62" s="14">
        <f>IF(OR(G62="",N62=""),"",G62-N62)</f>
        <v/>
      </c>
      <c r="P62" s="14">
        <f>IF(Method!$B$55=TRUE(),"🛑 PAUSED",IF(O62="","",IF(O62&lt;Method!$B$8,"PASS","BET")))</f>
        <v/>
      </c>
    </row>
    <row r="63">
      <c r="A63" s="14" t="n">
        <v>60</v>
      </c>
      <c r="B63" s="13" t="n">
        <v>46198</v>
      </c>
      <c r="C63" s="14" t="inlineStr">
        <is>
          <t>Paraguay</t>
        </is>
      </c>
      <c r="D63" s="14" t="inlineStr">
        <is>
          <t>Australia</t>
        </is>
      </c>
      <c r="E63" s="14" t="n">
        <v>1.25291895866394</v>
      </c>
      <c r="F63" s="14" t="n">
        <v>1.114261269569397</v>
      </c>
      <c r="G63" s="14">
        <f>IFERROR(GOAL_GRID(E63,F63,"ou25"),"")</f>
        <v/>
      </c>
      <c r="H63" s="14">
        <f>IFERROR(GOAL_GRID(E63,F63,"btts"),"")</f>
        <v/>
      </c>
      <c r="I63" s="14">
        <f>IFERROR(GOAL_GRID(E63,F63,"ou15"),"")</f>
        <v/>
      </c>
      <c r="J63" s="14">
        <f>IFERROR(GOAL_GRID(E63,F63,"ou35"),"")</f>
        <v/>
      </c>
      <c r="N63" s="14">
        <f>IF(K63="","",1/K63)</f>
        <v/>
      </c>
      <c r="O63" s="14">
        <f>IF(OR(G63="",N63=""),"",G63-N63)</f>
        <v/>
      </c>
      <c r="P63" s="14">
        <f>IF(Method!$B$55=TRUE(),"🛑 PAUSED",IF(O63="","",IF(O63&lt;Method!$B$8,"PASS","BET")))</f>
        <v/>
      </c>
    </row>
    <row r="64">
      <c r="A64" s="14" t="n">
        <v>61</v>
      </c>
      <c r="B64" s="13" t="n">
        <v>46199</v>
      </c>
      <c r="C64" s="14" t="inlineStr">
        <is>
          <t>Norway</t>
        </is>
      </c>
      <c r="D64" s="14" t="inlineStr">
        <is>
          <t>France</t>
        </is>
      </c>
      <c r="E64" s="14" t="n">
        <v>1.426909804344177</v>
      </c>
      <c r="F64" s="14" t="n">
        <v>1.885288596153259</v>
      </c>
      <c r="G64" s="14">
        <f>IFERROR(GOAL_GRID(E64,F64,"ou25"),"")</f>
        <v/>
      </c>
      <c r="H64" s="14">
        <f>IFERROR(GOAL_GRID(E64,F64,"btts"),"")</f>
        <v/>
      </c>
      <c r="I64" s="14">
        <f>IFERROR(GOAL_GRID(E64,F64,"ou15"),"")</f>
        <v/>
      </c>
      <c r="J64" s="14">
        <f>IFERROR(GOAL_GRID(E64,F64,"ou35"),"")</f>
        <v/>
      </c>
      <c r="N64" s="14">
        <f>IF(K64="","",1/K64)</f>
        <v/>
      </c>
      <c r="O64" s="14">
        <f>IF(OR(G64="",N64=""),"",G64-N64)</f>
        <v/>
      </c>
      <c r="P64" s="14">
        <f>IF(Method!$B$55=TRUE(),"🛑 PAUSED",IF(O64="","",IF(O64&lt;Method!$B$8,"PASS","BET")))</f>
        <v/>
      </c>
    </row>
    <row r="65">
      <c r="A65" s="14" t="n">
        <v>62</v>
      </c>
      <c r="B65" s="13" t="n">
        <v>46199</v>
      </c>
      <c r="C65" s="14" t="inlineStr">
        <is>
          <t>Senegal</t>
        </is>
      </c>
      <c r="D65" s="14" t="inlineStr">
        <is>
          <t>Iraq</t>
        </is>
      </c>
      <c r="E65" s="14" t="n">
        <v>1.709765195846558</v>
      </c>
      <c r="F65" s="14" t="n">
        <v>0.7337285280227661</v>
      </c>
      <c r="G65" s="14">
        <f>IFERROR(GOAL_GRID(E65,F65,"ou25"),"")</f>
        <v/>
      </c>
      <c r="H65" s="14">
        <f>IFERROR(GOAL_GRID(E65,F65,"btts"),"")</f>
        <v/>
      </c>
      <c r="I65" s="14">
        <f>IFERROR(GOAL_GRID(E65,F65,"ou15"),"")</f>
        <v/>
      </c>
      <c r="J65" s="14">
        <f>IFERROR(GOAL_GRID(E65,F65,"ou35"),"")</f>
        <v/>
      </c>
      <c r="N65" s="14">
        <f>IF(K65="","",1/K65)</f>
        <v/>
      </c>
      <c r="O65" s="14">
        <f>IF(OR(G65="",N65=""),"",G65-N65)</f>
        <v/>
      </c>
      <c r="P65" s="14">
        <f>IF(Method!$B$55=TRUE(),"🛑 PAUSED",IF(O65="","",IF(O65&lt;Method!$B$8,"PASS","BET")))</f>
        <v/>
      </c>
    </row>
    <row r="66">
      <c r="A66" s="14" t="n">
        <v>63</v>
      </c>
      <c r="B66" s="13" t="n">
        <v>46199</v>
      </c>
      <c r="C66" s="14" t="inlineStr">
        <is>
          <t>Uruguay</t>
        </is>
      </c>
      <c r="D66" s="14" t="inlineStr">
        <is>
          <t>Spain</t>
        </is>
      </c>
      <c r="E66" s="14" t="n">
        <v>0.3948654234409332</v>
      </c>
      <c r="F66" s="14" t="n">
        <v>2.396549463272095</v>
      </c>
      <c r="G66" s="14">
        <f>IFERROR(GOAL_GRID(E66,F66,"ou25"),"")</f>
        <v/>
      </c>
      <c r="H66" s="14">
        <f>IFERROR(GOAL_GRID(E66,F66,"btts"),"")</f>
        <v/>
      </c>
      <c r="I66" s="14">
        <f>IFERROR(GOAL_GRID(E66,F66,"ou15"),"")</f>
        <v/>
      </c>
      <c r="J66" s="14">
        <f>IFERROR(GOAL_GRID(E66,F66,"ou35"),"")</f>
        <v/>
      </c>
      <c r="N66" s="14">
        <f>IF(K66="","",1/K66)</f>
        <v/>
      </c>
      <c r="O66" s="14">
        <f>IF(OR(G66="",N66=""),"",G66-N66)</f>
        <v/>
      </c>
      <c r="P66" s="14">
        <f>IF(Method!$B$55=TRUE(),"🛑 PAUSED",IF(O66="","",IF(O66&lt;Method!$B$8,"PASS","BET")))</f>
        <v/>
      </c>
    </row>
    <row r="67">
      <c r="A67" s="14" t="n">
        <v>64</v>
      </c>
      <c r="B67" s="13" t="n">
        <v>46199</v>
      </c>
      <c r="C67" s="14" t="inlineStr">
        <is>
          <t>Cape Verde</t>
        </is>
      </c>
      <c r="D67" s="14" t="inlineStr">
        <is>
          <t>Saudi Arabia</t>
        </is>
      </c>
      <c r="E67" s="14" t="n">
        <v>1.048025727272034</v>
      </c>
      <c r="F67" s="14" t="n">
        <v>1.157611846923828</v>
      </c>
      <c r="G67" s="14">
        <f>IFERROR(GOAL_GRID(E67,F67,"ou25"),"")</f>
        <v/>
      </c>
      <c r="H67" s="14">
        <f>IFERROR(GOAL_GRID(E67,F67,"btts"),"")</f>
        <v/>
      </c>
      <c r="I67" s="14">
        <f>IFERROR(GOAL_GRID(E67,F67,"ou15"),"")</f>
        <v/>
      </c>
      <c r="J67" s="14">
        <f>IFERROR(GOAL_GRID(E67,F67,"ou35"),"")</f>
        <v/>
      </c>
      <c r="N67" s="14">
        <f>IF(K67="","",1/K67)</f>
        <v/>
      </c>
      <c r="O67" s="14">
        <f>IF(OR(G67="",N67=""),"",G67-N67)</f>
        <v/>
      </c>
      <c r="P67" s="14">
        <f>IF(Method!$B$55=TRUE(),"🛑 PAUSED",IF(O67="","",IF(O67&lt;Method!$B$8,"PASS","BET")))</f>
        <v/>
      </c>
    </row>
    <row r="68">
      <c r="A68" s="14" t="n">
        <v>65</v>
      </c>
      <c r="B68" s="13" t="n">
        <v>46199</v>
      </c>
      <c r="C68" s="14" t="inlineStr">
        <is>
          <t>Egypt</t>
        </is>
      </c>
      <c r="D68" s="14" t="inlineStr">
        <is>
          <t>Iran</t>
        </is>
      </c>
      <c r="E68" s="14" t="n">
        <v>1.02712094783783</v>
      </c>
      <c r="F68" s="14" t="n">
        <v>1.299754738807678</v>
      </c>
      <c r="G68" s="14">
        <f>IFERROR(GOAL_GRID(E68,F68,"ou25"),"")</f>
        <v/>
      </c>
      <c r="H68" s="14">
        <f>IFERROR(GOAL_GRID(E68,F68,"btts"),"")</f>
        <v/>
      </c>
      <c r="I68" s="14">
        <f>IFERROR(GOAL_GRID(E68,F68,"ou15"),"")</f>
        <v/>
      </c>
      <c r="J68" s="14">
        <f>IFERROR(GOAL_GRID(E68,F68,"ou35"),"")</f>
        <v/>
      </c>
      <c r="N68" s="14">
        <f>IF(K68="","",1/K68)</f>
        <v/>
      </c>
      <c r="O68" s="14">
        <f>IF(OR(G68="",N68=""),"",G68-N68)</f>
        <v/>
      </c>
      <c r="P68" s="14">
        <f>IF(Method!$B$55=TRUE(),"🛑 PAUSED",IF(O68="","",IF(O68&lt;Method!$B$8,"PASS","BET")))</f>
        <v/>
      </c>
    </row>
    <row r="69">
      <c r="A69" s="14" t="n">
        <v>66</v>
      </c>
      <c r="B69" s="13" t="n">
        <v>46199</v>
      </c>
      <c r="C69" s="14" t="inlineStr">
        <is>
          <t>New Zealand</t>
        </is>
      </c>
      <c r="D69" s="14" t="inlineStr">
        <is>
          <t>Belgium</t>
        </is>
      </c>
      <c r="E69" s="14" t="n">
        <v>0.7316855192184448</v>
      </c>
      <c r="F69" s="14" t="n">
        <v>2.116066217422485</v>
      </c>
      <c r="G69" s="14">
        <f>IFERROR(GOAL_GRID(E69,F69,"ou25"),"")</f>
        <v/>
      </c>
      <c r="H69" s="14">
        <f>IFERROR(GOAL_GRID(E69,F69,"btts"),"")</f>
        <v/>
      </c>
      <c r="I69" s="14">
        <f>IFERROR(GOAL_GRID(E69,F69,"ou15"),"")</f>
        <v/>
      </c>
      <c r="J69" s="14">
        <f>IFERROR(GOAL_GRID(E69,F69,"ou35"),"")</f>
        <v/>
      </c>
      <c r="N69" s="14">
        <f>IF(K69="","",1/K69)</f>
        <v/>
      </c>
      <c r="O69" s="14">
        <f>IF(OR(G69="",N69=""),"",G69-N69)</f>
        <v/>
      </c>
      <c r="P69" s="14">
        <f>IF(Method!$B$55=TRUE(),"🛑 PAUSED",IF(O69="","",IF(O69&lt;Method!$B$8,"PASS","BET")))</f>
        <v/>
      </c>
    </row>
    <row r="70">
      <c r="A70" s="14" t="n">
        <v>67</v>
      </c>
      <c r="B70" s="13" t="n">
        <v>46200</v>
      </c>
      <c r="C70" s="14" t="inlineStr">
        <is>
          <t>Panama</t>
        </is>
      </c>
      <c r="D70" s="14" t="inlineStr">
        <is>
          <t>England</t>
        </is>
      </c>
      <c r="E70" s="14" t="n">
        <v>0.7039592862129211</v>
      </c>
      <c r="F70" s="14" t="n">
        <v>2.194536924362183</v>
      </c>
      <c r="G70" s="14">
        <f>IFERROR(GOAL_GRID(E70,F70,"ou25"),"")</f>
        <v/>
      </c>
      <c r="H70" s="14">
        <f>IFERROR(GOAL_GRID(E70,F70,"btts"),"")</f>
        <v/>
      </c>
      <c r="I70" s="14">
        <f>IFERROR(GOAL_GRID(E70,F70,"ou15"),"")</f>
        <v/>
      </c>
      <c r="J70" s="14">
        <f>IFERROR(GOAL_GRID(E70,F70,"ou35"),"")</f>
        <v/>
      </c>
      <c r="N70" s="14">
        <f>IF(K70="","",1/K70)</f>
        <v/>
      </c>
      <c r="O70" s="14">
        <f>IF(OR(G70="",N70=""),"",G70-N70)</f>
        <v/>
      </c>
      <c r="P70" s="14">
        <f>IF(Method!$B$55=TRUE(),"🛑 PAUSED",IF(O70="","",IF(O70&lt;Method!$B$8,"PASS","BET")))</f>
        <v/>
      </c>
    </row>
    <row r="71">
      <c r="A71" s="14" t="n">
        <v>68</v>
      </c>
      <c r="B71" s="13" t="n">
        <v>46200</v>
      </c>
      <c r="C71" s="14" t="inlineStr">
        <is>
          <t>Croatia</t>
        </is>
      </c>
      <c r="D71" s="14" t="inlineStr">
        <is>
          <t>Ghana</t>
        </is>
      </c>
      <c r="E71" s="14" t="n">
        <v>2.065465450286865</v>
      </c>
      <c r="F71" s="14" t="n">
        <v>0.6299178004264832</v>
      </c>
      <c r="G71" s="14">
        <f>IFERROR(GOAL_GRID(E71,F71,"ou25"),"")</f>
        <v/>
      </c>
      <c r="H71" s="14">
        <f>IFERROR(GOAL_GRID(E71,F71,"btts"),"")</f>
        <v/>
      </c>
      <c r="I71" s="14">
        <f>IFERROR(GOAL_GRID(E71,F71,"ou15"),"")</f>
        <v/>
      </c>
      <c r="J71" s="14">
        <f>IFERROR(GOAL_GRID(E71,F71,"ou35"),"")</f>
        <v/>
      </c>
      <c r="N71" s="14">
        <f>IF(K71="","",1/K71)</f>
        <v/>
      </c>
      <c r="O71" s="14">
        <f>IF(OR(G71="",N71=""),"",G71-N71)</f>
        <v/>
      </c>
      <c r="P71" s="14">
        <f>IF(Method!$B$55=TRUE(),"🛑 PAUSED",IF(O71="","",IF(O71&lt;Method!$B$8,"PASS","BET")))</f>
        <v/>
      </c>
    </row>
    <row r="72">
      <c r="A72" s="14" t="n">
        <v>69</v>
      </c>
      <c r="B72" s="13" t="n">
        <v>46200</v>
      </c>
      <c r="C72" s="14" t="inlineStr">
        <is>
          <t>Colombia</t>
        </is>
      </c>
      <c r="D72" s="14" t="inlineStr">
        <is>
          <t>Portugal</t>
        </is>
      </c>
      <c r="E72" s="14" t="n">
        <v>1.488301992416382</v>
      </c>
      <c r="F72" s="14" t="n">
        <v>1.126097679138184</v>
      </c>
      <c r="G72" s="14">
        <f>IFERROR(GOAL_GRID(E72,F72,"ou25"),"")</f>
        <v/>
      </c>
      <c r="H72" s="14">
        <f>IFERROR(GOAL_GRID(E72,F72,"btts"),"")</f>
        <v/>
      </c>
      <c r="I72" s="14">
        <f>IFERROR(GOAL_GRID(E72,F72,"ou15"),"")</f>
        <v/>
      </c>
      <c r="J72" s="14">
        <f>IFERROR(GOAL_GRID(E72,F72,"ou35"),"")</f>
        <v/>
      </c>
      <c r="N72" s="14">
        <f>IF(K72="","",1/K72)</f>
        <v/>
      </c>
      <c r="O72" s="14">
        <f>IF(OR(G72="",N72=""),"",G72-N72)</f>
        <v/>
      </c>
      <c r="P72" s="14">
        <f>IF(Method!$B$55=TRUE(),"🛑 PAUSED",IF(O72="","",IF(O72&lt;Method!$B$8,"PASS","BET")))</f>
        <v/>
      </c>
    </row>
    <row r="73">
      <c r="A73" s="14" t="n">
        <v>70</v>
      </c>
      <c r="B73" s="13" t="n">
        <v>46200</v>
      </c>
      <c r="C73" s="14" t="inlineStr">
        <is>
          <t>DR Congo</t>
        </is>
      </c>
      <c r="D73" s="14" t="inlineStr">
        <is>
          <t>Uzbekistan</t>
        </is>
      </c>
      <c r="E73" s="14" t="n">
        <v>0.9883605241775513</v>
      </c>
      <c r="F73" s="14" t="n">
        <v>1.173827528953552</v>
      </c>
      <c r="G73" s="14">
        <f>IFERROR(GOAL_GRID(E73,F73,"ou25"),"")</f>
        <v/>
      </c>
      <c r="H73" s="14">
        <f>IFERROR(GOAL_GRID(E73,F73,"btts"),"")</f>
        <v/>
      </c>
      <c r="I73" s="14">
        <f>IFERROR(GOAL_GRID(E73,F73,"ou15"),"")</f>
        <v/>
      </c>
      <c r="J73" s="14">
        <f>IFERROR(GOAL_GRID(E73,F73,"ou35"),"")</f>
        <v/>
      </c>
      <c r="N73" s="14">
        <f>IF(K73="","",1/K73)</f>
        <v/>
      </c>
      <c r="O73" s="14">
        <f>IF(OR(G73="",N73=""),"",G73-N73)</f>
        <v/>
      </c>
      <c r="P73" s="14">
        <f>IF(Method!$B$55=TRUE(),"🛑 PAUSED",IF(O73="","",IF(O73&lt;Method!$B$8,"PASS","BET")))</f>
        <v/>
      </c>
    </row>
    <row r="74">
      <c r="A74" s="14" t="n">
        <v>71</v>
      </c>
      <c r="B74" s="13" t="n">
        <v>46200</v>
      </c>
      <c r="C74" s="14" t="inlineStr">
        <is>
          <t>Algeria</t>
        </is>
      </c>
      <c r="D74" s="14" t="inlineStr">
        <is>
          <t>Austria</t>
        </is>
      </c>
      <c r="E74" s="14" t="n">
        <v>1.007866501808167</v>
      </c>
      <c r="F74" s="14" t="n">
        <v>1.344476461410522</v>
      </c>
      <c r="G74" s="14">
        <f>IFERROR(GOAL_GRID(E74,F74,"ou25"),"")</f>
        <v/>
      </c>
      <c r="H74" s="14">
        <f>IFERROR(GOAL_GRID(E74,F74,"btts"),"")</f>
        <v/>
      </c>
      <c r="I74" s="14">
        <f>IFERROR(GOAL_GRID(E74,F74,"ou15"),"")</f>
        <v/>
      </c>
      <c r="J74" s="14">
        <f>IFERROR(GOAL_GRID(E74,F74,"ou35"),"")</f>
        <v/>
      </c>
      <c r="N74" s="14">
        <f>IF(K74="","",1/K74)</f>
        <v/>
      </c>
      <c r="O74" s="14">
        <f>IF(OR(G74="",N74=""),"",G74-N74)</f>
        <v/>
      </c>
      <c r="P74" s="14">
        <f>IF(Method!$B$55=TRUE(),"🛑 PAUSED",IF(O74="","",IF(O74&lt;Method!$B$8,"PASS","BET")))</f>
        <v/>
      </c>
    </row>
    <row r="75">
      <c r="A75" s="14" t="n">
        <v>72</v>
      </c>
      <c r="B75" s="13" t="n">
        <v>46200</v>
      </c>
      <c r="C75" s="14" t="inlineStr">
        <is>
          <t>Jordan</t>
        </is>
      </c>
      <c r="D75" s="14" t="inlineStr">
        <is>
          <t>Argentina</t>
        </is>
      </c>
      <c r="E75" s="14" t="n">
        <v>0.3273528516292572</v>
      </c>
      <c r="F75" s="14" t="n">
        <v>3.388942003250122</v>
      </c>
      <c r="G75" s="14">
        <f>IFERROR(GOAL_GRID(E75,F75,"ou25"),"")</f>
        <v/>
      </c>
      <c r="H75" s="14">
        <f>IFERROR(GOAL_GRID(E75,F75,"btts"),"")</f>
        <v/>
      </c>
      <c r="I75" s="14">
        <f>IFERROR(GOAL_GRID(E75,F75,"ou15"),"")</f>
        <v/>
      </c>
      <c r="J75" s="14">
        <f>IFERROR(GOAL_GRID(E75,F75,"ou35"),"")</f>
        <v/>
      </c>
      <c r="N75" s="14">
        <f>IF(K75="","",1/K75)</f>
        <v/>
      </c>
      <c r="O75" s="14">
        <f>IF(OR(G75="",N75=""),"",G75-N75)</f>
        <v/>
      </c>
      <c r="P75" s="14">
        <f>IF(Method!$B$55=TRUE(),"🛑 PAUSED",IF(O75="","",IF(O75&lt;Method!$B$8,"PASS","BET")))</f>
        <v/>
      </c>
    </row>
    <row r="76">
      <c r="A76" s="14" t="n">
        <v>73</v>
      </c>
      <c r="B76" s="13" t="n">
        <v>46201</v>
      </c>
      <c r="C76" s="14" t="inlineStr">
        <is>
          <t>South Africa</t>
        </is>
      </c>
      <c r="D76" s="14" t="inlineStr">
        <is>
          <t>Canada</t>
        </is>
      </c>
      <c r="E76" s="14" t="n">
        <v>0.6392928659915924</v>
      </c>
      <c r="F76" s="14" t="n">
        <v>1.891780138015747</v>
      </c>
      <c r="G76" s="14">
        <f>IFERROR(GOAL_GRID(E76,F76,"ou25"),"")</f>
        <v/>
      </c>
      <c r="H76" s="14">
        <f>IFERROR(GOAL_GRID(E76,F76,"btts"),"")</f>
        <v/>
      </c>
      <c r="I76" s="14">
        <f>IFERROR(GOAL_GRID(E76,F76,"ou15"),"")</f>
        <v/>
      </c>
      <c r="J76" s="14">
        <f>IFERROR(GOAL_GRID(E76,F76,"ou35"),"")</f>
        <v/>
      </c>
      <c r="N76" s="14">
        <f>IF(K76="","",1/K76)</f>
        <v/>
      </c>
      <c r="O76" s="14">
        <f>IF(OR(G76="",N76=""),"",G76-N76)</f>
        <v/>
      </c>
      <c r="P76" s="14">
        <f>IF(Method!$B$55=TRUE(),"🛑 PAUSED",IF(O76="","",IF(O76&lt;Method!$B$8,"PASS","BET")))</f>
        <v/>
      </c>
    </row>
    <row r="77">
      <c r="A77" s="14" t="n">
        <v>74</v>
      </c>
      <c r="B77" s="13" t="n">
        <v>46202</v>
      </c>
      <c r="C77" s="14" t="inlineStr">
        <is>
          <t>Germany</t>
        </is>
      </c>
      <c r="D77" s="14" t="inlineStr">
        <is>
          <t>Paraguay</t>
        </is>
      </c>
      <c r="E77" s="14" t="n">
        <v>1.504253506660461</v>
      </c>
      <c r="F77" s="14" t="n">
        <v>0.9342637062072754</v>
      </c>
      <c r="G77" s="14">
        <f>IFERROR(GOAL_GRID(E77,F77,"ou25"),"")</f>
        <v/>
      </c>
      <c r="H77" s="14">
        <f>IFERROR(GOAL_GRID(E77,F77,"btts"),"")</f>
        <v/>
      </c>
      <c r="I77" s="14">
        <f>IFERROR(GOAL_GRID(E77,F77,"ou15"),"")</f>
        <v/>
      </c>
      <c r="J77" s="14">
        <f>IFERROR(GOAL_GRID(E77,F77,"ou35"),"")</f>
        <v/>
      </c>
      <c r="N77" s="14">
        <f>IF(K77="","",1/K77)</f>
        <v/>
      </c>
      <c r="O77" s="14">
        <f>IF(OR(G77="",N77=""),"",G77-N77)</f>
        <v/>
      </c>
      <c r="P77" s="14">
        <f>IF(Method!$B$55=TRUE(),"🛑 PAUSED",IF(O77="","",IF(O77&lt;Method!$B$8,"PASS","BET")))</f>
        <v/>
      </c>
    </row>
    <row r="78">
      <c r="A78" s="14" t="n">
        <v>75</v>
      </c>
      <c r="B78" s="13" t="n">
        <v>46202</v>
      </c>
      <c r="C78" s="14" t="inlineStr">
        <is>
          <t>Netherlands</t>
        </is>
      </c>
      <c r="D78" s="14" t="inlineStr">
        <is>
          <t>Morocco</t>
        </is>
      </c>
      <c r="E78" s="14" t="n">
        <v>1.258414030075073</v>
      </c>
      <c r="F78" s="14" t="n">
        <v>1.098317623138428</v>
      </c>
      <c r="G78" s="14">
        <f>IFERROR(GOAL_GRID(E78,F78,"ou25"),"")</f>
        <v/>
      </c>
      <c r="H78" s="14">
        <f>IFERROR(GOAL_GRID(E78,F78,"btts"),"")</f>
        <v/>
      </c>
      <c r="I78" s="14">
        <f>IFERROR(GOAL_GRID(E78,F78,"ou15"),"")</f>
        <v/>
      </c>
      <c r="J78" s="14">
        <f>IFERROR(GOAL_GRID(E78,F78,"ou35"),"")</f>
        <v/>
      </c>
      <c r="N78" s="14">
        <f>IF(K78="","",1/K78)</f>
        <v/>
      </c>
      <c r="O78" s="14">
        <f>IF(OR(G78="",N78=""),"",G78-N78)</f>
        <v/>
      </c>
      <c r="P78" s="14">
        <f>IF(Method!$B$55=TRUE(),"🛑 PAUSED",IF(O78="","",IF(O78&lt;Method!$B$8,"PASS","BET")))</f>
        <v/>
      </c>
    </row>
    <row r="79">
      <c r="A79" s="14" t="n">
        <v>76</v>
      </c>
      <c r="B79" s="13" t="n">
        <v>46202</v>
      </c>
      <c r="C79" s="14" t="inlineStr">
        <is>
          <t>Brazil</t>
        </is>
      </c>
      <c r="D79" s="14" t="inlineStr">
        <is>
          <t>Japan</t>
        </is>
      </c>
      <c r="E79" s="14" t="n">
        <v>1.543777763843536</v>
      </c>
      <c r="F79" s="14" t="n">
        <v>1.006892770528793</v>
      </c>
      <c r="G79" s="14">
        <f>IFERROR(GOAL_GRID(E79,F79,"ou25"),"")</f>
        <v/>
      </c>
      <c r="H79" s="14">
        <f>IFERROR(GOAL_GRID(E79,F79,"btts"),"")</f>
        <v/>
      </c>
      <c r="I79" s="14">
        <f>IFERROR(GOAL_GRID(E79,F79,"ou15"),"")</f>
        <v/>
      </c>
      <c r="J79" s="14">
        <f>IFERROR(GOAL_GRID(E79,F79,"ou35"),"")</f>
        <v/>
      </c>
      <c r="N79" s="14">
        <f>IF(K79="","",1/K79)</f>
        <v/>
      </c>
      <c r="O79" s="14">
        <f>IF(OR(G79="",N79=""),"",G79-N79)</f>
        <v/>
      </c>
      <c r="P79" s="14">
        <f>IF(Method!$B$55=TRUE(),"🛑 PAUSED",IF(O79="","",IF(O79&lt;Method!$B$8,"PASS","BET")))</f>
        <v/>
      </c>
    </row>
    <row r="80">
      <c r="A80" s="14" t="n">
        <v>77</v>
      </c>
      <c r="B80" s="13" t="n">
        <v>46203</v>
      </c>
      <c r="C80" s="14" t="inlineStr">
        <is>
          <t>France</t>
        </is>
      </c>
      <c r="D80" s="14" t="inlineStr">
        <is>
          <t>Sweden</t>
        </is>
      </c>
      <c r="E80" s="14" t="n">
        <v>2.989665269851685</v>
      </c>
      <c r="F80" s="14" t="n">
        <v>0.5926701128482819</v>
      </c>
      <c r="G80" s="14">
        <f>IFERROR(GOAL_GRID(E80,F80,"ou25"),"")</f>
        <v/>
      </c>
      <c r="H80" s="14">
        <f>IFERROR(GOAL_GRID(E80,F80,"btts"),"")</f>
        <v/>
      </c>
      <c r="I80" s="14">
        <f>IFERROR(GOAL_GRID(E80,F80,"ou15"),"")</f>
        <v/>
      </c>
      <c r="J80" s="14">
        <f>IFERROR(GOAL_GRID(E80,F80,"ou35"),"")</f>
        <v/>
      </c>
      <c r="N80" s="14">
        <f>IF(K80="","",1/K80)</f>
        <v/>
      </c>
      <c r="O80" s="14">
        <f>IF(OR(G80="",N80=""),"",G80-N80)</f>
        <v/>
      </c>
      <c r="P80" s="14">
        <f>IF(Method!$B$55=TRUE(),"🛑 PAUSED",IF(O80="","",IF(O80&lt;Method!$B$8,"PASS","BET")))</f>
        <v/>
      </c>
    </row>
    <row r="81">
      <c r="A81" s="14" t="n">
        <v>78</v>
      </c>
      <c r="B81" s="13" t="n">
        <v>46203</v>
      </c>
      <c r="C81" s="14" t="inlineStr">
        <is>
          <t>Ivory Coast</t>
        </is>
      </c>
      <c r="D81" s="14" t="inlineStr">
        <is>
          <t>Norway</t>
        </is>
      </c>
      <c r="E81" s="14" t="n">
        <v>0.7905860543251038</v>
      </c>
      <c r="F81" s="14" t="n">
        <v>1.70906800031662</v>
      </c>
      <c r="G81" s="14">
        <f>IFERROR(GOAL_GRID(E81,F81,"ou25"),"")</f>
        <v/>
      </c>
      <c r="H81" s="14">
        <f>IFERROR(GOAL_GRID(E81,F81,"btts"),"")</f>
        <v/>
      </c>
      <c r="I81" s="14">
        <f>IFERROR(GOAL_GRID(E81,F81,"ou15"),"")</f>
        <v/>
      </c>
      <c r="J81" s="14">
        <f>IFERROR(GOAL_GRID(E81,F81,"ou35"),"")</f>
        <v/>
      </c>
      <c r="N81" s="14">
        <f>IF(K81="","",1/K81)</f>
        <v/>
      </c>
      <c r="O81" s="14">
        <f>IF(OR(G81="",N81=""),"",G81-N81)</f>
        <v/>
      </c>
      <c r="P81" s="14">
        <f>IF(Method!$B$55=TRUE(),"🛑 PAUSED",IF(O81="","",IF(O81&lt;Method!$B$8,"PASS","BET")))</f>
        <v/>
      </c>
    </row>
    <row r="82">
      <c r="A82" s="14" t="n">
        <v>79</v>
      </c>
      <c r="B82" s="13" t="n">
        <v>46203</v>
      </c>
      <c r="C82" s="14" t="inlineStr">
        <is>
          <t>Mexico</t>
        </is>
      </c>
      <c r="D82" s="14" t="inlineStr">
        <is>
          <t>Ecuador</t>
        </is>
      </c>
      <c r="E82" s="14" t="n">
        <v>1.175451517105103</v>
      </c>
      <c r="F82" s="14" t="n">
        <v>1.112970113754272</v>
      </c>
      <c r="G82" s="14">
        <f>IFERROR(GOAL_GRID(E82,F82,"ou25"),"")</f>
        <v/>
      </c>
      <c r="H82" s="14">
        <f>IFERROR(GOAL_GRID(E82,F82,"btts"),"")</f>
        <v/>
      </c>
      <c r="I82" s="14">
        <f>IFERROR(GOAL_GRID(E82,F82,"ou15"),"")</f>
        <v/>
      </c>
      <c r="J82" s="14">
        <f>IFERROR(GOAL_GRID(E82,F82,"ou35"),"")</f>
        <v/>
      </c>
      <c r="N82" s="14">
        <f>IF(K82="","",1/K82)</f>
        <v/>
      </c>
      <c r="O82" s="14">
        <f>IF(OR(G82="",N82=""),"",G82-N82)</f>
        <v/>
      </c>
      <c r="P82" s="14">
        <f>IF(Method!$B$55=TRUE(),"🛑 PAUSED",IF(O82="","",IF(O82&lt;Method!$B$8,"PASS","BET")))</f>
        <v/>
      </c>
    </row>
    <row r="83">
      <c r="A83" s="14" t="n">
        <v>80</v>
      </c>
      <c r="B83" s="13" t="n">
        <v>46204</v>
      </c>
      <c r="C83" s="14" t="inlineStr">
        <is>
          <t>England</t>
        </is>
      </c>
      <c r="D83" s="14" t="inlineStr">
        <is>
          <t>DR Congo</t>
        </is>
      </c>
      <c r="E83" s="14" t="n">
        <v>2.039280354976654</v>
      </c>
      <c r="F83" s="14" t="n">
        <v>0.6487061977386475</v>
      </c>
      <c r="G83" s="14">
        <f>IFERROR(GOAL_GRID(E83,F83,"ou25"),"")</f>
        <v/>
      </c>
      <c r="H83" s="14">
        <f>IFERROR(GOAL_GRID(E83,F83,"btts"),"")</f>
        <v/>
      </c>
      <c r="I83" s="14">
        <f>IFERROR(GOAL_GRID(E83,F83,"ou15"),"")</f>
        <v/>
      </c>
      <c r="J83" s="14">
        <f>IFERROR(GOAL_GRID(E83,F83,"ou35"),"")</f>
        <v/>
      </c>
      <c r="N83" s="14">
        <f>IF(K83="","",1/K83)</f>
        <v/>
      </c>
      <c r="O83" s="14">
        <f>IF(OR(G83="",N83=""),"",G83-N83)</f>
        <v/>
      </c>
      <c r="P83" s="14">
        <f>IF(Method!$B$55=TRUE(),"🛑 PAUSED",IF(O83="","",IF(O83&lt;Method!$B$8,"PASS","BET")))</f>
        <v/>
      </c>
    </row>
    <row r="84">
      <c r="A84" s="14" t="n">
        <v>81</v>
      </c>
      <c r="B84" s="13" t="n">
        <v>46204</v>
      </c>
      <c r="C84" s="14" t="inlineStr">
        <is>
          <t>United States</t>
        </is>
      </c>
      <c r="D84" s="14" t="inlineStr">
        <is>
          <t>Bosnia and Herzegovina</t>
        </is>
      </c>
      <c r="E84" s="14" t="n">
        <v>1.80923992395401</v>
      </c>
      <c r="F84" s="14" t="n">
        <v>0.8501176238059998</v>
      </c>
      <c r="G84" s="14">
        <f>IFERROR(GOAL_GRID(E84,F84,"ou25"),"")</f>
        <v/>
      </c>
      <c r="H84" s="14">
        <f>IFERROR(GOAL_GRID(E84,F84,"btts"),"")</f>
        <v/>
      </c>
      <c r="I84" s="14">
        <f>IFERROR(GOAL_GRID(E84,F84,"ou15"),"")</f>
        <v/>
      </c>
      <c r="J84" s="14">
        <f>IFERROR(GOAL_GRID(E84,F84,"ou35"),"")</f>
        <v/>
      </c>
      <c r="N84" s="14">
        <f>IF(K84="","",1/K84)</f>
        <v/>
      </c>
      <c r="O84" s="14">
        <f>IF(OR(G84="",N84=""),"",G84-N84)</f>
        <v/>
      </c>
      <c r="P84" s="14">
        <f>IF(Method!$B$55=TRUE(),"🛑 PAUSED",IF(O84="","",IF(O84&lt;Method!$B$8,"PASS","BET")))</f>
        <v/>
      </c>
    </row>
    <row r="85">
      <c r="A85" s="14" t="n">
        <v>82</v>
      </c>
      <c r="B85" s="13" t="n">
        <v>46204</v>
      </c>
      <c r="C85" s="14" t="inlineStr">
        <is>
          <t>Belgium</t>
        </is>
      </c>
      <c r="D85" s="14" t="inlineStr">
        <is>
          <t>Senegal</t>
        </is>
      </c>
      <c r="E85" s="14" t="n">
        <v>1.525157451629639</v>
      </c>
      <c r="F85" s="14" t="n">
        <v>1.115908980369568</v>
      </c>
      <c r="G85" s="14">
        <f>IFERROR(GOAL_GRID(E85,F85,"ou25"),"")</f>
        <v/>
      </c>
      <c r="H85" s="14">
        <f>IFERROR(GOAL_GRID(E85,F85,"btts"),"")</f>
        <v/>
      </c>
      <c r="I85" s="14">
        <f>IFERROR(GOAL_GRID(E85,F85,"ou15"),"")</f>
        <v/>
      </c>
      <c r="J85" s="14">
        <f>IFERROR(GOAL_GRID(E85,F85,"ou35"),"")</f>
        <v/>
      </c>
      <c r="N85" s="14">
        <f>IF(K85="","",1/K85)</f>
        <v/>
      </c>
      <c r="O85" s="14">
        <f>IF(OR(G85="",N85=""),"",G85-N85)</f>
        <v/>
      </c>
      <c r="P85" s="14">
        <f>IF(Method!$B$55=TRUE(),"🛑 PAUSED",IF(O85="","",IF(O85&lt;Method!$B$8,"PASS","BET")))</f>
        <v/>
      </c>
    </row>
    <row r="86">
      <c r="A86" s="14" t="n">
        <v>83</v>
      </c>
      <c r="B86" s="13" t="n">
        <v>46205</v>
      </c>
      <c r="C86" s="14" t="inlineStr">
        <is>
          <t>Portugal</t>
        </is>
      </c>
      <c r="D86" s="14" t="inlineStr">
        <is>
          <t>Croatia</t>
        </is>
      </c>
      <c r="E86" s="14" t="n">
        <v>1.610720455646515</v>
      </c>
      <c r="F86" s="14" t="n">
        <v>1.159503757953644</v>
      </c>
      <c r="G86" s="14">
        <f>IFERROR(GOAL_GRID(E86,F86,"ou25"),"")</f>
        <v/>
      </c>
      <c r="H86" s="14">
        <f>IFERROR(GOAL_GRID(E86,F86,"btts"),"")</f>
        <v/>
      </c>
      <c r="I86" s="14">
        <f>IFERROR(GOAL_GRID(E86,F86,"ou15"),"")</f>
        <v/>
      </c>
      <c r="J86" s="14">
        <f>IFERROR(GOAL_GRID(E86,F86,"ou35"),"")</f>
        <v/>
      </c>
      <c r="N86" s="14">
        <f>IF(K86="","",1/K86)</f>
        <v/>
      </c>
      <c r="O86" s="14">
        <f>IF(OR(G86="",N86=""),"",G86-N86)</f>
        <v/>
      </c>
      <c r="P86" s="14">
        <f>IF(Method!$B$55=TRUE(),"🛑 PAUSED",IF(O86="","",IF(O86&lt;Method!$B$8,"PASS","BET")))</f>
        <v/>
      </c>
    </row>
    <row r="87">
      <c r="A87" s="14" t="n">
        <v>84</v>
      </c>
      <c r="B87" s="13" t="n">
        <v>46205</v>
      </c>
      <c r="C87" s="14" t="inlineStr">
        <is>
          <t>Spain</t>
        </is>
      </c>
      <c r="D87" s="14" t="inlineStr">
        <is>
          <t>Austria</t>
        </is>
      </c>
      <c r="E87" s="14" t="n">
        <v>2.616841435432434</v>
      </c>
      <c r="F87" s="14" t="n">
        <v>0.4394755065441132</v>
      </c>
      <c r="G87" s="14">
        <f>IFERROR(GOAL_GRID(E87,F87,"ou25"),"")</f>
        <v/>
      </c>
      <c r="H87" s="14">
        <f>IFERROR(GOAL_GRID(E87,F87,"btts"),"")</f>
        <v/>
      </c>
      <c r="I87" s="14">
        <f>IFERROR(GOAL_GRID(E87,F87,"ou15"),"")</f>
        <v/>
      </c>
      <c r="J87" s="14">
        <f>IFERROR(GOAL_GRID(E87,F87,"ou35"),"")</f>
        <v/>
      </c>
      <c r="N87" s="14">
        <f>IF(K87="","",1/K87)</f>
        <v/>
      </c>
      <c r="O87" s="14">
        <f>IF(OR(G87="",N87=""),"",G87-N87)</f>
        <v/>
      </c>
      <c r="P87" s="14">
        <f>IF(Method!$B$55=TRUE(),"🛑 PAUSED",IF(O87="","",IF(O87&lt;Method!$B$8,"PASS","BET")))</f>
        <v/>
      </c>
    </row>
    <row r="88">
      <c r="A88" s="14" t="n">
        <v>85</v>
      </c>
      <c r="B88" s="13" t="n">
        <v>46205</v>
      </c>
      <c r="C88" s="14" t="inlineStr">
        <is>
          <t>Switzerland</t>
        </is>
      </c>
      <c r="D88" s="14" t="inlineStr">
        <is>
          <t>Algeria</t>
        </is>
      </c>
      <c r="E88" s="14" t="n">
        <v>1.675892353057861</v>
      </c>
      <c r="F88" s="14" t="n">
        <v>0.9029442965984344</v>
      </c>
      <c r="G88" s="14">
        <f>IFERROR(GOAL_GRID(E88,F88,"ou25"),"")</f>
        <v/>
      </c>
      <c r="H88" s="14">
        <f>IFERROR(GOAL_GRID(E88,F88,"btts"),"")</f>
        <v/>
      </c>
      <c r="I88" s="14">
        <f>IFERROR(GOAL_GRID(E88,F88,"ou15"),"")</f>
        <v/>
      </c>
      <c r="J88" s="14">
        <f>IFERROR(GOAL_GRID(E88,F88,"ou35"),"")</f>
        <v/>
      </c>
      <c r="N88" s="14">
        <f>IF(K88="","",1/K88)</f>
        <v/>
      </c>
      <c r="O88" s="14">
        <f>IF(OR(G88="",N88=""),"",G88-N88)</f>
        <v/>
      </c>
      <c r="P88" s="14">
        <f>IF(Method!$B$55=TRUE(),"🛑 PAUSED",IF(O88="","",IF(O88&lt;Method!$B$8,"PASS","BET")))</f>
        <v/>
      </c>
    </row>
    <row r="89">
      <c r="A89" s="14" t="n">
        <v>86</v>
      </c>
      <c r="B89" s="13" t="n">
        <v>46206</v>
      </c>
      <c r="C89" s="14" t="inlineStr">
        <is>
          <t>Argentina</t>
        </is>
      </c>
      <c r="D89" s="14" t="inlineStr">
        <is>
          <t>Cape Verde</t>
        </is>
      </c>
      <c r="E89" s="14" t="n">
        <v>2.748599290847778</v>
      </c>
      <c r="F89" s="14" t="n">
        <v>0.3832080960273743</v>
      </c>
      <c r="G89" s="14">
        <f>IFERROR(GOAL_GRID(E89,F89,"ou25"),"")</f>
        <v/>
      </c>
      <c r="H89" s="14">
        <f>IFERROR(GOAL_GRID(E89,F89,"btts"),"")</f>
        <v/>
      </c>
      <c r="I89" s="14">
        <f>IFERROR(GOAL_GRID(E89,F89,"ou15"),"")</f>
        <v/>
      </c>
      <c r="J89" s="14">
        <f>IFERROR(GOAL_GRID(E89,F89,"ou35"),"")</f>
        <v/>
      </c>
      <c r="N89" s="14">
        <f>IF(K89="","",1/K89)</f>
        <v/>
      </c>
      <c r="O89" s="14">
        <f>IF(OR(G89="",N89=""),"",G89-N89)</f>
        <v/>
      </c>
      <c r="P89" s="14">
        <f>IF(Method!$B$55=TRUE(),"🛑 PAUSED",IF(O89="","",IF(O89&lt;Method!$B$8,"PASS","BET")))</f>
        <v/>
      </c>
    </row>
    <row r="90">
      <c r="A90" s="14" t="n">
        <v>87</v>
      </c>
      <c r="B90" s="13" t="n">
        <v>46206</v>
      </c>
      <c r="C90" s="14" t="inlineStr">
        <is>
          <t>Colombia</t>
        </is>
      </c>
      <c r="D90" s="14" t="inlineStr">
        <is>
          <t>Ghana</t>
        </is>
      </c>
      <c r="E90" s="14" t="n">
        <v>2.465847611427307</v>
      </c>
      <c r="F90" s="14" t="n">
        <v>0.5633532702922821</v>
      </c>
      <c r="G90" s="14">
        <f>IFERROR(GOAL_GRID(E90,F90,"ou25"),"")</f>
        <v/>
      </c>
      <c r="H90" s="14">
        <f>IFERROR(GOAL_GRID(E90,F90,"btts"),"")</f>
        <v/>
      </c>
      <c r="I90" s="14">
        <f>IFERROR(GOAL_GRID(E90,F90,"ou15"),"")</f>
        <v/>
      </c>
      <c r="J90" s="14">
        <f>IFERROR(GOAL_GRID(E90,F90,"ou35"),"")</f>
        <v/>
      </c>
      <c r="N90" s="14">
        <f>IF(K90="","",1/K90)</f>
        <v/>
      </c>
      <c r="O90" s="14">
        <f>IF(OR(G90="",N90=""),"",G90-N90)</f>
        <v/>
      </c>
      <c r="P90" s="14">
        <f>IF(Method!$B$55=TRUE(),"🛑 PAUSED",IF(O90="","",IF(O90&lt;Method!$B$8,"PASS","BET")))</f>
        <v/>
      </c>
    </row>
    <row r="91">
      <c r="A91" s="14" t="n">
        <v>88</v>
      </c>
      <c r="B91" s="13" t="n">
        <v>46206</v>
      </c>
      <c r="C91" s="14" t="inlineStr">
        <is>
          <t>Australia</t>
        </is>
      </c>
      <c r="D91" s="14" t="inlineStr">
        <is>
          <t>Egypt</t>
        </is>
      </c>
      <c r="E91" s="14" t="n">
        <v>1.291885614395142</v>
      </c>
      <c r="F91" s="14" t="n">
        <v>0.9488085508346558</v>
      </c>
      <c r="G91" s="14">
        <f>IFERROR(GOAL_GRID(E91,F91,"ou25"),"")</f>
        <v/>
      </c>
      <c r="H91" s="14">
        <f>IFERROR(GOAL_GRID(E91,F91,"btts"),"")</f>
        <v/>
      </c>
      <c r="I91" s="14">
        <f>IFERROR(GOAL_GRID(E91,F91,"ou15"),"")</f>
        <v/>
      </c>
      <c r="J91" s="14">
        <f>IFERROR(GOAL_GRID(E91,F91,"ou35"),"")</f>
        <v/>
      </c>
      <c r="N91" s="14">
        <f>IF(K91="","",1/K91)</f>
        <v/>
      </c>
      <c r="O91" s="14">
        <f>IF(OR(G91="",N91=""),"",G91-N91)</f>
        <v/>
      </c>
      <c r="P91" s="14">
        <f>IF(Method!$B$55=TRUE(),"🛑 PAUSED",IF(O91="","",IF(O91&lt;Method!$B$8,"PASS","BET")))</f>
        <v/>
      </c>
    </row>
    <row r="92">
      <c r="A92" s="14" t="n">
        <v>89</v>
      </c>
      <c r="B92" s="13" t="n">
        <v>46207</v>
      </c>
      <c r="C92" s="14" t="inlineStr">
        <is>
          <t>Paraguay</t>
        </is>
      </c>
      <c r="D92" s="14" t="inlineStr">
        <is>
          <t>France</t>
        </is>
      </c>
      <c r="E92" s="14" t="n">
        <v>0.7070662379264832</v>
      </c>
      <c r="F92" s="14" t="n">
        <v>2.127808690071106</v>
      </c>
      <c r="G92" s="14">
        <f>IFERROR(GOAL_GRID(E92,F92,"ou25"),"")</f>
        <v/>
      </c>
      <c r="H92" s="14">
        <f>IFERROR(GOAL_GRID(E92,F92,"btts"),"")</f>
        <v/>
      </c>
      <c r="I92" s="14">
        <f>IFERROR(GOAL_GRID(E92,F92,"ou15"),"")</f>
        <v/>
      </c>
      <c r="J92" s="14">
        <f>IFERROR(GOAL_GRID(E92,F92,"ou35"),"")</f>
        <v/>
      </c>
      <c r="N92" s="14">
        <f>IF(K92="","",1/K92)</f>
        <v/>
      </c>
      <c r="O92" s="14">
        <f>IF(OR(G92="",N92=""),"",G92-N92)</f>
        <v/>
      </c>
      <c r="P92" s="14">
        <f>IF(Method!$B$55=TRUE(),"🛑 PAUSED",IF(O92="","",IF(O92&lt;Method!$B$8,"PASS","BET")))</f>
        <v/>
      </c>
    </row>
    <row r="93">
      <c r="A93" s="14" t="n">
        <v>90</v>
      </c>
      <c r="B93" s="13" t="n">
        <v>46207</v>
      </c>
      <c r="C93" s="14" t="inlineStr">
        <is>
          <t>Canada</t>
        </is>
      </c>
      <c r="D93" s="14" t="inlineStr">
        <is>
          <t>Morocco</t>
        </is>
      </c>
      <c r="E93" s="14" t="n">
        <v>0.9116917550563812</v>
      </c>
      <c r="F93" s="14" t="n">
        <v>1.311631739139557</v>
      </c>
      <c r="G93" s="14">
        <f>IFERROR(GOAL_GRID(E93,F93,"ou25"),"")</f>
        <v/>
      </c>
      <c r="H93" s="14">
        <f>IFERROR(GOAL_GRID(E93,F93,"btts"),"")</f>
        <v/>
      </c>
      <c r="I93" s="14">
        <f>IFERROR(GOAL_GRID(E93,F93,"ou15"),"")</f>
        <v/>
      </c>
      <c r="J93" s="14">
        <f>IFERROR(GOAL_GRID(E93,F93,"ou35"),"")</f>
        <v/>
      </c>
      <c r="N93" s="14">
        <f>IF(K93="","",1/K93)</f>
        <v/>
      </c>
      <c r="O93" s="14">
        <f>IF(OR(G93="",N93=""),"",G93-N93)</f>
        <v/>
      </c>
      <c r="P93" s="14">
        <f>IF(Method!$B$55=TRUE(),"🛑 PAUSED",IF(O93="","",IF(O93&lt;Method!$B$8,"PASS","BET")))</f>
        <v/>
      </c>
    </row>
    <row r="94">
      <c r="A94" s="14" t="n">
        <v>91</v>
      </c>
      <c r="B94" s="13" t="n">
        <v>46208</v>
      </c>
      <c r="C94" s="14" t="inlineStr">
        <is>
          <t>Brazil</t>
        </is>
      </c>
      <c r="D94" s="14" t="inlineStr">
        <is>
          <t>Norway</t>
        </is>
      </c>
      <c r="E94" s="14" t="n">
        <v>1.47900128364563</v>
      </c>
      <c r="F94" s="14" t="n">
        <v>1.264320909976959</v>
      </c>
      <c r="G94" s="14">
        <f>IFERROR(GOAL_GRID(E94,F94,"ou25"),"")</f>
        <v/>
      </c>
      <c r="H94" s="14">
        <f>IFERROR(GOAL_GRID(E94,F94,"btts"),"")</f>
        <v/>
      </c>
      <c r="I94" s="14">
        <f>IFERROR(GOAL_GRID(E94,F94,"ou15"),"")</f>
        <v/>
      </c>
      <c r="J94" s="14">
        <f>IFERROR(GOAL_GRID(E94,F94,"ou35"),"")</f>
        <v/>
      </c>
      <c r="N94" s="14">
        <f>IF(K94="","",1/K94)</f>
        <v/>
      </c>
      <c r="O94" s="14">
        <f>IF(OR(G94="",N94=""),"",G94-N94)</f>
        <v/>
      </c>
      <c r="P94" s="14">
        <f>IF(Method!$B$55=TRUE(),"🛑 PAUSED",IF(O94="","",IF(O94&lt;Method!$B$8,"PASS","BET")))</f>
        <v/>
      </c>
    </row>
    <row r="95">
      <c r="A95" s="14" t="n">
        <v>92</v>
      </c>
      <c r="B95" s="13" t="n">
        <v>46208</v>
      </c>
      <c r="C95" s="14" t="inlineStr">
        <is>
          <t>Mexico</t>
        </is>
      </c>
      <c r="D95" s="14" t="inlineStr">
        <is>
          <t>England</t>
        </is>
      </c>
      <c r="E95" s="14" t="n">
        <v>1.027521193027496</v>
      </c>
      <c r="F95" s="14" t="n">
        <v>1.383021950721741</v>
      </c>
      <c r="G95" s="14">
        <f>IFERROR(GOAL_GRID(E95,F95,"ou25"),"")</f>
        <v/>
      </c>
      <c r="H95" s="14">
        <f>IFERROR(GOAL_GRID(E95,F95,"btts"),"")</f>
        <v/>
      </c>
      <c r="I95" s="14">
        <f>IFERROR(GOAL_GRID(E95,F95,"ou15"),"")</f>
        <v/>
      </c>
      <c r="J95" s="14">
        <f>IFERROR(GOAL_GRID(E95,F95,"ou35"),"")</f>
        <v/>
      </c>
      <c r="N95" s="14">
        <f>IF(K95="","",1/K95)</f>
        <v/>
      </c>
      <c r="O95" s="14">
        <f>IF(OR(G95="",N95=""),"",G95-N95)</f>
        <v/>
      </c>
      <c r="P95" s="14">
        <f>IF(Method!$B$55=TRUE(),"🛑 PAUSED",IF(O95="","",IF(O95&lt;Method!$B$8,"PASS","BET")))</f>
        <v/>
      </c>
    </row>
    <row r="96">
      <c r="A96" s="14" t="n">
        <v>93</v>
      </c>
      <c r="B96" s="13" t="n">
        <v>46209</v>
      </c>
      <c r="C96" s="14" t="inlineStr">
        <is>
          <t>Portugal</t>
        </is>
      </c>
      <c r="D96" s="14" t="inlineStr">
        <is>
          <t>Spain</t>
        </is>
      </c>
      <c r="E96" s="14" t="n">
        <v>1.03389298915863</v>
      </c>
      <c r="F96" s="14" t="n">
        <v>1.801998615264893</v>
      </c>
      <c r="G96" s="14">
        <f>IFERROR(GOAL_GRID(E96,F96,"ou25"),"")</f>
        <v/>
      </c>
      <c r="H96" s="14">
        <f>IFERROR(GOAL_GRID(E96,F96,"btts"),"")</f>
        <v/>
      </c>
      <c r="I96" s="14">
        <f>IFERROR(GOAL_GRID(E96,F96,"ou15"),"")</f>
        <v/>
      </c>
      <c r="J96" s="14">
        <f>IFERROR(GOAL_GRID(E96,F96,"ou35"),"")</f>
        <v/>
      </c>
      <c r="N96" s="14">
        <f>IF(K96="","",1/K96)</f>
        <v/>
      </c>
      <c r="O96" s="14">
        <f>IF(OR(G96="",N96=""),"",G96-N96)</f>
        <v/>
      </c>
      <c r="P96" s="14">
        <f>IF(Method!$B$55=TRUE(),"🛑 PAUSED",IF(O96="","",IF(O96&lt;Method!$B$8,"PASS","BET")))</f>
        <v/>
      </c>
    </row>
    <row r="97">
      <c r="A97" s="14" t="n">
        <v>94</v>
      </c>
      <c r="B97" s="13" t="n">
        <v>46209</v>
      </c>
      <c r="C97" s="14" t="inlineStr">
        <is>
          <t>United States</t>
        </is>
      </c>
      <c r="D97" s="14" t="inlineStr">
        <is>
          <t>Belgium</t>
        </is>
      </c>
      <c r="E97" s="14" t="n">
        <v>1.086620151996613</v>
      </c>
      <c r="F97" s="14" t="n">
        <v>1.764074862003326</v>
      </c>
      <c r="G97" s="14">
        <f>IFERROR(GOAL_GRID(E97,F97,"ou25"),"")</f>
        <v/>
      </c>
      <c r="H97" s="14">
        <f>IFERROR(GOAL_GRID(E97,F97,"btts"),"")</f>
        <v/>
      </c>
      <c r="I97" s="14">
        <f>IFERROR(GOAL_GRID(E97,F97,"ou15"),"")</f>
        <v/>
      </c>
      <c r="J97" s="14">
        <f>IFERROR(GOAL_GRID(E97,F97,"ou35"),"")</f>
        <v/>
      </c>
      <c r="N97" s="14">
        <f>IF(K97="","",1/K97)</f>
        <v/>
      </c>
      <c r="O97" s="14">
        <f>IF(OR(G97="",N97=""),"",G97-N97)</f>
        <v/>
      </c>
      <c r="P97" s="14">
        <f>IF(Method!$B$55=TRUE(),"🛑 PAUSED",IF(O97="","",IF(O97&lt;Method!$B$8,"PASS","BET")))</f>
        <v/>
      </c>
    </row>
    <row r="98">
      <c r="A98" s="14" t="n">
        <v>95</v>
      </c>
      <c r="B98" s="13" t="n">
        <v>46210</v>
      </c>
      <c r="C98" s="14" t="inlineStr">
        <is>
          <t>W86</t>
        </is>
      </c>
      <c r="D98" s="14" t="inlineStr">
        <is>
          <t>W88</t>
        </is>
      </c>
    </row>
    <row r="99">
      <c r="A99" s="14" t="n">
        <v>96</v>
      </c>
      <c r="B99" s="13" t="n">
        <v>46210</v>
      </c>
      <c r="C99" s="14" t="inlineStr">
        <is>
          <t>W85</t>
        </is>
      </c>
      <c r="D99" s="14" t="inlineStr">
        <is>
          <t>W87</t>
        </is>
      </c>
    </row>
    <row r="100">
      <c r="A100" s="14" t="n">
        <v>97</v>
      </c>
      <c r="B100" s="13" t="n">
        <v>46212</v>
      </c>
      <c r="C100" s="14" t="inlineStr">
        <is>
          <t>W89</t>
        </is>
      </c>
      <c r="D100" s="14" t="inlineStr">
        <is>
          <t>W90</t>
        </is>
      </c>
    </row>
    <row r="101">
      <c r="A101" s="14" t="n">
        <v>98</v>
      </c>
      <c r="B101" s="13" t="n">
        <v>46213</v>
      </c>
      <c r="C101" s="14" t="inlineStr">
        <is>
          <t>W93</t>
        </is>
      </c>
      <c r="D101" s="14" t="inlineStr">
        <is>
          <t>W94</t>
        </is>
      </c>
    </row>
    <row r="102">
      <c r="A102" s="14" t="n">
        <v>99</v>
      </c>
      <c r="B102" s="13" t="n">
        <v>46214</v>
      </c>
      <c r="C102" s="14" t="inlineStr">
        <is>
          <t>W91</t>
        </is>
      </c>
      <c r="D102" s="14" t="inlineStr">
        <is>
          <t>W92</t>
        </is>
      </c>
    </row>
    <row r="103">
      <c r="A103" s="14" t="n">
        <v>100</v>
      </c>
      <c r="B103" s="13" t="n">
        <v>46214</v>
      </c>
      <c r="C103" s="14" t="inlineStr">
        <is>
          <t>W95</t>
        </is>
      </c>
      <c r="D103" s="14" t="inlineStr">
        <is>
          <t>W96</t>
        </is>
      </c>
    </row>
    <row r="104">
      <c r="A104" s="14" t="n">
        <v>101</v>
      </c>
      <c r="B104" s="13" t="n">
        <v>46217</v>
      </c>
      <c r="C104" s="14" t="inlineStr">
        <is>
          <t>W97</t>
        </is>
      </c>
      <c r="D104" s="14" t="inlineStr">
        <is>
          <t>W98</t>
        </is>
      </c>
    </row>
    <row r="105">
      <c r="A105" s="14" t="n">
        <v>102</v>
      </c>
      <c r="B105" s="13" t="n">
        <v>46218</v>
      </c>
      <c r="C105" s="14" t="inlineStr">
        <is>
          <t>W99</t>
        </is>
      </c>
      <c r="D105" s="14" t="inlineStr">
        <is>
          <t>W100</t>
        </is>
      </c>
    </row>
    <row r="106">
      <c r="A106" s="14" t="n">
        <v>103</v>
      </c>
      <c r="B106" s="13" t="n">
        <v>46221</v>
      </c>
      <c r="C106" s="14" t="inlineStr">
        <is>
          <t>L101</t>
        </is>
      </c>
      <c r="D106" s="14" t="inlineStr">
        <is>
          <t>L102</t>
        </is>
      </c>
    </row>
    <row r="107">
      <c r="A107" s="14" t="n">
        <v>104</v>
      </c>
      <c r="B107" s="13" t="n">
        <v>46222</v>
      </c>
      <c r="C107" s="14" t="inlineStr">
        <is>
          <t>W101</t>
        </is>
      </c>
      <c r="D107" s="14" t="inlineStr">
        <is>
          <t>W102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11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sheetData>
    <row r="1">
      <c r="A1" s="14" t="inlineStr">
        <is>
          <t>CLV — closing-line-value tracker · rolling 20-bet average · positive CLV = beating the close</t>
        </is>
      </c>
      <c r="B1" s="14" t="inlineStr">
        <is>
          <t>CLV tracked for 1X2 picks only — O/U and BTTS coming in v2.4</t>
        </is>
      </c>
    </row>
    <row r="2">
      <c r="A2" s="14" t="inlineStr">
        <is>
          <t>Source: Bets!AO backed odds + AW:AY snapshot block · type closing odds in col F after market closes</t>
        </is>
      </c>
    </row>
    <row r="3">
      <c r="A3" s="14" t="inlineStr">
        <is>
          <t>Bet #</t>
        </is>
      </c>
      <c r="B3" s="14" t="inlineStr">
        <is>
          <t>#m</t>
        </is>
      </c>
      <c r="C3" s="14" t="inlineStr">
        <is>
          <t>Pick</t>
        </is>
      </c>
      <c r="D3" s="14" t="inlineStr">
        <is>
          <t>Stake</t>
        </is>
      </c>
      <c r="E3" s="14" t="inlineStr">
        <is>
          <t>Taken odds</t>
        </is>
      </c>
      <c r="F3" s="14" t="inlineStr">
        <is>
          <t>Closing odds</t>
        </is>
      </c>
      <c r="G3" s="14" t="inlineStr">
        <is>
          <t>CLV %</t>
        </is>
      </c>
      <c r="H3" s="14" t="inlineStr">
        <is>
          <t>Rolling 20 CLV %</t>
        </is>
      </c>
      <c r="I3" s="14" t="inlineStr">
        <is>
          <t>Status</t>
        </is>
      </c>
    </row>
    <row r="4">
      <c r="A4" s="14" t="n">
        <v>1</v>
      </c>
      <c r="B4" s="14" t="n">
        <v>2</v>
      </c>
      <c r="C4" s="14" t="inlineStr">
        <is>
          <t>H</t>
        </is>
      </c>
      <c r="D4" s="14" t="n">
        <v>3</v>
      </c>
      <c r="E4" s="14" t="n">
        <v>2.6</v>
      </c>
      <c r="F4" s="0" t="inlineStr"/>
      <c r="G4" s="14">
        <f>IF(OR(E4="",F4="",NOT(ISNUMBER(E4)),NOT(ISNUMBER(F4)),E4&lt;=0,F4&lt;=0),"",(E4-F4)/F4)</f>
        <v/>
      </c>
      <c r="H4" s="14">
        <f>IFERROR(IF(COUNT(G4:G4)&lt;20,"n="&amp;COUNT(G4:G4)&amp;": "&amp;AVERAGE(G4:G4),AVERAGE(G4:G4)),"")</f>
        <v/>
      </c>
      <c r="I4" s="14">
        <f>IF(H4="","",IF(ISNUMBER(H4),IF(H4&gt;0,"BEATING CLOSE","BELOW CLOSE"),IF(IFERROR(VALUE(REGEXEXTRACT(H4,": (.*)$")),0)&gt;0,"BEATING CLOSE (n&lt;20)","BELOW CLOSE (n&lt;20)")))</f>
        <v/>
      </c>
    </row>
    <row r="5">
      <c r="A5" s="14" t="n">
        <v>2</v>
      </c>
      <c r="B5" s="14" t="n">
        <v>3</v>
      </c>
      <c r="C5" s="14" t="inlineStr">
        <is>
          <t>H</t>
        </is>
      </c>
      <c r="D5" s="14" t="n">
        <v>12</v>
      </c>
      <c r="E5" s="14" t="n">
        <v>1.85</v>
      </c>
      <c r="F5" s="0" t="inlineStr"/>
      <c r="G5" s="14">
        <f>IF(OR(E5="",F5="",NOT(ISNUMBER(E5)),NOT(ISNUMBER(F5)),E5&lt;=0,F5&lt;=0),"",(E5-F5)/F5)</f>
        <v/>
      </c>
      <c r="H5" s="14">
        <f>IFERROR(IF(COUNT(G4:G5)&lt;20,"n="&amp;COUNT(G4:G5)&amp;": "&amp;AVERAGE(G4:G5),AVERAGE(G4:G5)),"")</f>
        <v/>
      </c>
      <c r="I5" s="14">
        <f>IF(H5="","",IF(ISNUMBER(H5),IF(H5&gt;0,"BEATING CLOSE","BELOW CLOSE"),IF(IFERROR(VALUE(REGEXEXTRACT(H5,": (.*)$")),0)&gt;0,"BEATING CLOSE (n&lt;20)","BELOW CLOSE (n&lt;20)")))</f>
        <v/>
      </c>
    </row>
    <row r="6">
      <c r="A6" s="14" t="n">
        <v>3</v>
      </c>
      <c r="B6" s="14" t="n">
        <v>6</v>
      </c>
      <c r="C6" s="14" t="inlineStr">
        <is>
          <t>A</t>
        </is>
      </c>
      <c r="D6" s="14" t="n">
        <v>5</v>
      </c>
      <c r="E6" s="14" t="n">
        <v>1.68</v>
      </c>
      <c r="F6" s="0" t="inlineStr"/>
      <c r="G6" s="14">
        <f>IF(OR(E6="",F6="",NOT(ISNUMBER(E6)),NOT(ISNUMBER(F6)),E6&lt;=0,F6&lt;=0),"",(E6-F6)/F6)</f>
        <v/>
      </c>
      <c r="H6" s="14">
        <f>IFERROR(IF(COUNT(G4:G6)&lt;20,"n="&amp;COUNT(G4:G6)&amp;": "&amp;AVERAGE(G4:G6),AVERAGE(G4:G6)),"")</f>
        <v/>
      </c>
      <c r="I6" s="14">
        <f>IF(H6="","",IF(ISNUMBER(H6),IF(H6&gt;0,"BEATING CLOSE","BELOW CLOSE"),IF(IFERROR(VALUE(REGEXEXTRACT(H6,": (.*)$")),0)&gt;0,"BEATING CLOSE (n&lt;20)","BELOW CLOSE (n&lt;20)")))</f>
        <v/>
      </c>
    </row>
    <row r="7">
      <c r="A7" s="14" t="n">
        <v>4</v>
      </c>
      <c r="B7" s="14" t="n">
        <v>8</v>
      </c>
      <c r="C7" s="14" t="inlineStr">
        <is>
          <t>H</t>
        </is>
      </c>
      <c r="D7" s="14" t="n">
        <v>0</v>
      </c>
      <c r="E7" s="14" t="n">
        <v>5.25</v>
      </c>
      <c r="F7" s="0" t="inlineStr"/>
      <c r="G7" s="14">
        <f>IF(OR(E7="",F7="",NOT(ISNUMBER(E7)),NOT(ISNUMBER(F7)),E7&lt;=0,F7&lt;=0),"",(E7-F7)/F7)</f>
        <v/>
      </c>
      <c r="H7" s="14">
        <f>IFERROR(IF(COUNT(G4:G7)&lt;20,"n="&amp;COUNT(G4:G7)&amp;": "&amp;AVERAGE(G4:G7),AVERAGE(G4:G7)),"")</f>
        <v/>
      </c>
      <c r="I7" s="14">
        <f>IF(H7="","",IF(ISNUMBER(H7),IF(H7&gt;0,"BEATING CLOSE","BELOW CLOSE"),IF(IFERROR(VALUE(REGEXEXTRACT(H7,": (.*)$")),0)&gt;0,"BEATING CLOSE (n&lt;20)","BELOW CLOSE (n&lt;20)")))</f>
        <v/>
      </c>
    </row>
    <row r="8">
      <c r="A8" s="14" t="n">
        <v>5</v>
      </c>
      <c r="B8" s="14" t="n">
        <v>9</v>
      </c>
      <c r="C8" s="14" t="inlineStr">
        <is>
          <t>D</t>
        </is>
      </c>
      <c r="D8" s="14" t="n">
        <v>6</v>
      </c>
      <c r="E8" s="14" t="n">
        <v>19</v>
      </c>
      <c r="F8" s="0" t="inlineStr"/>
      <c r="G8" s="14">
        <f>IF(OR(E8="",F8="",NOT(ISNUMBER(E8)),NOT(ISNUMBER(F8)),E8&lt;=0,F8&lt;=0),"",(E8-F8)/F8)</f>
        <v/>
      </c>
      <c r="H8" s="14">
        <f>IFERROR(IF(COUNT(G4:G8)&lt;20,"n="&amp;COUNT(G4:G8)&amp;": "&amp;AVERAGE(G4:G8),AVERAGE(G4:G8)),"")</f>
        <v/>
      </c>
      <c r="I8" s="14">
        <f>IF(H8="","",IF(ISNUMBER(H8),IF(H8&gt;0,"BEATING CLOSE","BELOW CLOSE"),IF(IFERROR(VALUE(REGEXEXTRACT(H8,": (.*)$")),0)&gt;0,"BEATING CLOSE (n&lt;20)","BELOW CLOSE (n&lt;20)")))</f>
        <v/>
      </c>
    </row>
    <row r="9">
      <c r="A9" s="14" t="n">
        <v>6</v>
      </c>
      <c r="B9" s="14" t="n">
        <v>51</v>
      </c>
      <c r="C9" s="14" t="inlineStr">
        <is>
          <t>H</t>
        </is>
      </c>
      <c r="D9" s="14" t="n">
        <v>12</v>
      </c>
      <c r="E9" s="14" t="n">
        <v>7.5</v>
      </c>
      <c r="F9" s="0" t="inlineStr"/>
      <c r="G9" s="14">
        <f>IF(OR(E9="",F9="",NOT(ISNUMBER(E9)),NOT(ISNUMBER(F9)),E9&lt;=0,F9&lt;=0),"",(E9-F9)/F9)</f>
        <v/>
      </c>
      <c r="H9" s="14">
        <f>IFERROR(IF(COUNT(G4:G9)&lt;20,"n="&amp;COUNT(G4:G9)&amp;": "&amp;AVERAGE(G4:G9),AVERAGE(G4:G9)),"")</f>
        <v/>
      </c>
      <c r="I9" s="14">
        <f>IF(H9="","",IF(ISNUMBER(H9),IF(H9&gt;0,"BEATING CLOSE","BELOW CLOSE"),IF(IFERROR(VALUE(REGEXEXTRACT(H9,": (.*)$")),0)&gt;0,"BEATING CLOSE (n&lt;20)","BELOW CLOSE (n&lt;20)")))</f>
        <v/>
      </c>
    </row>
    <row r="10">
      <c r="A10" s="14" t="n">
        <v>7</v>
      </c>
      <c r="B10" s="14" t="n">
        <v>69</v>
      </c>
      <c r="C10" s="14" t="inlineStr">
        <is>
          <t>H</t>
        </is>
      </c>
      <c r="D10" s="14" t="n">
        <v>19</v>
      </c>
      <c r="E10" s="14" t="n">
        <v>4.2</v>
      </c>
      <c r="F10" s="0" t="inlineStr"/>
      <c r="G10" s="14">
        <f>IF(OR(E10="",F10="",NOT(ISNUMBER(E10)),NOT(ISNUMBER(F10)),E10&lt;=0,F10&lt;=0),"",(E10-F10)/F10)</f>
        <v/>
      </c>
      <c r="H10" s="14">
        <f>IFERROR(IF(COUNT(G4:G10)&lt;20,"n="&amp;COUNT(G4:G10)&amp;": "&amp;AVERAGE(G4:G10),AVERAGE(G4:G10)),"")</f>
        <v/>
      </c>
      <c r="I10" s="14">
        <f>IF(H10="","",IF(ISNUMBER(H10),IF(H10&gt;0,"BEATING CLOSE","BELOW CLOSE"),IF(IFERROR(VALUE(REGEXEXTRACT(H10,": (.*)$")),0)&gt;0,"BEATING CLOSE (n&lt;20)","BELOW CLOSE (n&lt;20)")))</f>
        <v/>
      </c>
    </row>
    <row r="11">
      <c r="A11" s="14" t="n">
        <v>8</v>
      </c>
      <c r="B11" s="14" t="n">
        <v>70</v>
      </c>
      <c r="C11" s="14" t="inlineStr">
        <is>
          <t>A</t>
        </is>
      </c>
      <c r="D11" s="14" t="n">
        <v>16</v>
      </c>
      <c r="E11" s="14" t="n">
        <v>5</v>
      </c>
      <c r="F11" s="0" t="inlineStr"/>
      <c r="G11" s="14">
        <f>IF(OR(E11="",F11="",NOT(ISNUMBER(E11)),NOT(ISNUMBER(F11)),E11&lt;=0,F11&lt;=0),"",(E11-F11)/F11)</f>
        <v/>
      </c>
      <c r="H11" s="14">
        <f>IFERROR(IF(COUNT(G4:G11)&lt;20,"n="&amp;COUNT(G4:G11)&amp;": "&amp;AVERAGE(G4:G11),AVERAGE(G4:G11)),"")</f>
        <v/>
      </c>
      <c r="I11" s="14">
        <f>IF(H11="","",IF(ISNUMBER(H11),IF(H11&gt;0,"BEATING CLOSE","BELOW CLOSE"),IF(IFERROR(VALUE(REGEXEXTRACT(H11,": (.*)$")),0)&gt;0,"BEATING CLOSE (n&lt;20)","BELOW CLOSE (n&lt;20)")))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53" min="1" max="1"/>
    <col width="13" customWidth="1" style="153" min="2" max="2"/>
    <col width="15" customWidth="1" style="153" min="3" max="3"/>
    <col width="26" customWidth="1" style="153" min="4" max="4"/>
    <col width="24" customWidth="1" style="153" min="5" max="5"/>
    <col width="10" customWidth="1" style="153" min="6" max="6"/>
    <col width="9" customWidth="1" style="153" min="7" max="8"/>
    <col width="11" customWidth="1" style="153" min="9" max="9"/>
    <col width="30" customWidth="1" style="153" min="10" max="10"/>
  </cols>
  <sheetData>
    <row r="1" ht="18" customHeight="1" s="153">
      <c r="A1" s="15" t="inlineStr">
        <is>
          <t>WC26 GROUP STAGE — VALUE BETTING DASHBOARD</t>
        </is>
      </c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 ht="15" customHeight="1" s="153">
      <c r="A2" s="16" t="inlineStr">
        <is>
          <t>Model snapshot 2026-06-10 14:10 UTC · type odds on the MATCHDAY tab on game day · stakes auto-size from current bankroll</t>
        </is>
      </c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15" customHeight="1" s="153">
      <c r="A4" s="17" t="inlineStr">
        <is>
          <t>Current bankroll</t>
        </is>
      </c>
      <c r="B4" s="18">
        <f>Method!B10</f>
        <v/>
      </c>
      <c r="C4" s="17" t="inlineStr">
        <is>
          <t>Matches today</t>
        </is>
      </c>
      <c r="D4" s="19">
        <f>COUNTIF(Bets!B2:B105,TODAY())</f>
        <v/>
      </c>
      <c r="E4" s="17" t="inlineStr">
        <is>
          <t>Engine bets placed</t>
        </is>
      </c>
      <c r="F4" s="19">
        <f>SUMPRODUCT(--(Bets!AN2:AN105="Y"),--(Bets!AZ2:AZ105="BET"))</f>
        <v/>
      </c>
      <c r="G4" s="20">
        <f>IF(F5=0,"","⚠ "&amp;F5&amp;" fun bet(s) logged — excluded from engine quality. Judge the engine on Engine P&amp;L and ✓ rows only.")</f>
        <v/>
      </c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 ht="15" customHeight="1" s="153">
      <c r="A5" s="17" t="inlineStr">
        <is>
          <t>Staked (placed)</t>
        </is>
      </c>
      <c r="B5" s="18">
        <f>SUMIF(Bets!AN2:AN105,"Y",Bets!AP2:AP105)</f>
        <v/>
      </c>
      <c r="C5" s="17" t="inlineStr">
        <is>
          <t>Next match day</t>
        </is>
      </c>
      <c r="D5" s="21">
        <f>IFERROR(SMALL(Bets!B2:B105,COUNTIF(Bets!B2:B105,"&lt;"&amp;TODAY())+1),"finished")</f>
        <v/>
      </c>
      <c r="E5" s="17" t="inlineStr">
        <is>
          <t>Fun bets placed</t>
        </is>
      </c>
      <c r="F5" s="19">
        <f>SUMPRODUCT(--(Bets!AN2:AN105="Y"),--(Bets!AZ2:AZ105&lt;&gt;"BET"))</f>
        <v/>
      </c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 ht="15" customHeight="1" s="153">
      <c r="A6" s="17" t="inlineStr">
        <is>
          <t>Settled P&amp;L</t>
        </is>
      </c>
      <c r="B6" s="22">
        <f>SUM(Bets!AR2:AR105)</f>
        <v/>
      </c>
      <c r="C6" s="17" t="inlineStr">
        <is>
          <t>BET signals live</t>
        </is>
      </c>
      <c r="D6" s="19">
        <f>COUNTIF(Bets!AH2:AH105,"BET")</f>
        <v/>
      </c>
      <c r="E6" s="17" t="inlineStr">
        <is>
          <t>Avg CLV (logged)</t>
        </is>
      </c>
      <c r="F6" s="23">
        <f>IFERROR(AVERAGE(Matchday!U4:U107),"–")</f>
        <v/>
      </c>
      <c r="G6" s="54" t="n"/>
      <c r="H6" s="54" t="n"/>
      <c r="I6" s="54" t="n"/>
      <c r="J6" s="54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17" t="inlineStr">
        <is>
          <t>ROI (settled)</t>
        </is>
      </c>
      <c r="B7" s="24">
        <f>IF(SUMPRODUCT(--(Bets!AN2:AN105="Y"),--(Bets!AQ2:AQ105&lt;&gt;""),Bets!AP2:AP105)=0,"–",B6/SUMPRODUCT(--(Bets!AN2:AN105="Y"),--(Bets!AQ2:AQ105&lt;&gt;""),Bets!AP2:AP105))</f>
        <v/>
      </c>
      <c r="C7" s="17" t="inlineStr">
        <is>
          <t>PASS</t>
        </is>
      </c>
      <c r="D7" s="19">
        <f>COUNTIF(Bets!AH2:AH105,"PASS")</f>
        <v/>
      </c>
      <c r="E7" s="17" t="inlineStr">
        <is>
          <t>Engine P&amp;L</t>
        </is>
      </c>
      <c r="F7" s="22">
        <f>SUMIF(Bets!AZ2:AZ105,"BET",Bets!AR2:AR105)</f>
        <v/>
      </c>
      <c r="G7" s="54" t="n"/>
      <c r="H7" s="54" t="n"/>
      <c r="I7" s="54" t="n"/>
      <c r="J7" s="54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5" customHeight="1" s="153">
      <c r="A8" s="17" t="inlineStr">
        <is>
          <t>Record W–L</t>
        </is>
      </c>
      <c r="B8" s="25">
        <f>COUNTIF(Bets!AR2:AR105,"&gt;0")&amp;" – "&amp;COUNTIF(Bets!AR2:AR105,"&lt;0")</f>
        <v/>
      </c>
      <c r="C8" s="17" t="inlineStr">
        <is>
          <t>Awaiting odds</t>
        </is>
      </c>
      <c r="D8" s="19">
        <f>COUNTIF(Bets!AH2:AH105,"· enter odds")</f>
        <v/>
      </c>
      <c r="E8" s="17" t="inlineStr">
        <is>
          <t>Fun-bet P&amp;L</t>
        </is>
      </c>
      <c r="F8" s="22">
        <f>SUMIFS(Bets!AR2:AR105,Bets!AN2:AN105,"Y",Bets!AZ2:AZ105,"&lt;&gt;BET")</f>
        <v/>
      </c>
      <c r="G8" s="54" t="n"/>
      <c r="H8" s="54" t="n"/>
      <c r="I8" s="54" t="n"/>
      <c r="J8" s="54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17" t="inlineStr">
        <is>
          <t>Open bets</t>
        </is>
      </c>
      <c r="B9" s="19">
        <f>SUMPRODUCT(--(Bets!AN2:AN105="Y"),--(Bets!AQ2:AQ105=""))</f>
        <v/>
      </c>
      <c r="C9" s="17" t="inlineStr">
        <is>
          <t>Sum of BET stakes</t>
        </is>
      </c>
      <c r="D9" s="18">
        <f>SUM(Bets!AJ2:AJ105)</f>
        <v/>
      </c>
      <c r="E9" s="54" t="n"/>
      <c r="F9" s="54" t="n"/>
      <c r="G9" s="54" t="n"/>
      <c r="H9" s="54" t="n"/>
      <c r="I9" s="54" t="n"/>
      <c r="J9" s="54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 ht="15" customHeight="1" s="153">
      <c r="A11" s="26" t="inlineStr">
        <is>
          <t>LIVE VALUE BOARD — top BET signals right now (fills as you enter odds)</t>
        </is>
      </c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27" t="inlineStr">
        <is>
          <t>#</t>
        </is>
      </c>
      <c r="B12" s="27" t="inlineStr">
        <is>
          <t>Date</t>
        </is>
      </c>
      <c r="C12" s="27" t="inlineStr">
        <is>
          <t>Group</t>
        </is>
      </c>
      <c r="D12" s="27" t="inlineStr">
        <is>
          <t>Match</t>
        </is>
      </c>
      <c r="E12" s="27" t="inlineStr">
        <is>
          <t>Pick</t>
        </is>
      </c>
      <c r="F12" s="27" t="inlineStr">
        <is>
          <t>Odds</t>
        </is>
      </c>
      <c r="G12" s="27" t="inlineStr">
        <is>
          <t>EV</t>
        </is>
      </c>
      <c r="H12" s="27" t="inlineStr">
        <is>
          <t>Edge</t>
        </is>
      </c>
      <c r="I12" s="27" t="inlineStr">
        <is>
          <t>Stake £</t>
        </is>
      </c>
      <c r="J12" s="27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28">
        <f>IFERROR(INDEX(Bets!$A$2:$A$105,MATCH(LARGE(Bets!$AM$2:$AM$105,1),Bets!$AM$2:$AM$105,0)),"")</f>
        <v/>
      </c>
      <c r="B13" s="29">
        <f>IFERROR(INDEX(Bets!$B$2:$B$105,MATCH(LARGE(Bets!$AM$2:$AM$105,1),Bets!$AM$2:$AM$105,0)),"")</f>
        <v/>
      </c>
      <c r="C13" s="59">
        <f>IFERROR(INDEX(Bets!$C$2:$C$105,MATCH(LARGE(Bets!$AM$2:$AM$105,1),Bets!$AM$2:$AM$105,0)),"")</f>
        <v/>
      </c>
      <c r="D13" s="31">
        <f>IFERROR(INDEX(Bets!$D$2:$D$105,MATCH(LARGE(Bets!$AM$2:$AM$105,1),Bets!$AM$2:$AM$105,0))&amp;"  v  "&amp;INDEX(Bets!$E$2:$E$105,MATCH(LARGE(Bets!$AM$2:$AM$105,1),Bets!$AM$2:$AM$105,0)),"")</f>
        <v/>
      </c>
      <c r="E13" s="32">
        <f>IFERROR(INDEX(Bets!$AD$2:$AD$105,MATCH(LARGE(Bets!$AM$2:$AM$105,1),Bets!$AM$2:$AM$105,0)),"")</f>
        <v/>
      </c>
      <c r="F13" s="33">
        <f>IFERROR(INDEX(Bets!$AE$2:$AE$105,MATCH(LARGE(Bets!$AM$2:$AM$105,1),Bets!$AM$2:$AM$105,0)),"")</f>
        <v/>
      </c>
      <c r="G13" s="34">
        <f>IFERROR(INDEX(Bets!$AF$2:$AF$105,MATCH(LARGE(Bets!$AM$2:$AM$105,1),Bets!$AM$2:$AM$105,0)),"")</f>
        <v/>
      </c>
      <c r="H13" s="34">
        <f>IFERROR(INDEX(Bets!$AG$2:$AG$105,MATCH(LARGE(Bets!$AM$2:$AM$105,1),Bets!$AM$2:$AM$105,0)),"")</f>
        <v/>
      </c>
      <c r="I13" s="35">
        <f>IFERROR(INDEX(Bets!$AJ$2:$AJ$105,MATCH(LARGE(Bets!$AM$2:$AM$105,1),Bets!$AM$2:$AM$105,0)),"")</f>
        <v/>
      </c>
      <c r="J13" s="54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28">
        <f>IFERROR(INDEX(Bets!$A$2:$A$105,MATCH(LARGE(Bets!$AM$2:$AM$105,2),Bets!$AM$2:$AM$105,0)),"")</f>
        <v/>
      </c>
      <c r="B14" s="29">
        <f>IFERROR(INDEX(Bets!$B$2:$B$105,MATCH(LARGE(Bets!$AM$2:$AM$105,2),Bets!$AM$2:$AM$105,0)),"")</f>
        <v/>
      </c>
      <c r="C14" s="59">
        <f>IFERROR(INDEX(Bets!$C$2:$C$105,MATCH(LARGE(Bets!$AM$2:$AM$105,2),Bets!$AM$2:$AM$105,0)),"")</f>
        <v/>
      </c>
      <c r="D14" s="31">
        <f>IFERROR(INDEX(Bets!$D$2:$D$105,MATCH(LARGE(Bets!$AM$2:$AM$105,2),Bets!$AM$2:$AM$105,0))&amp;"  v  "&amp;INDEX(Bets!$E$2:$E$105,MATCH(LARGE(Bets!$AM$2:$AM$105,2),Bets!$AM$2:$AM$105,0)),"")</f>
        <v/>
      </c>
      <c r="E14" s="32">
        <f>IFERROR(INDEX(Bets!$AD$2:$AD$105,MATCH(LARGE(Bets!$AM$2:$AM$105,2),Bets!$AM$2:$AM$105,0)),"")</f>
        <v/>
      </c>
      <c r="F14" s="33">
        <f>IFERROR(INDEX(Bets!$AE$2:$AE$105,MATCH(LARGE(Bets!$AM$2:$AM$105,2),Bets!$AM$2:$AM$105,0)),"")</f>
        <v/>
      </c>
      <c r="G14" s="34">
        <f>IFERROR(INDEX(Bets!$AF$2:$AF$105,MATCH(LARGE(Bets!$AM$2:$AM$105,2),Bets!$AM$2:$AM$105,0)),"")</f>
        <v/>
      </c>
      <c r="H14" s="34">
        <f>IFERROR(INDEX(Bets!$AG$2:$AG$105,MATCH(LARGE(Bets!$AM$2:$AM$105,2),Bets!$AM$2:$AM$105,0)),"")</f>
        <v/>
      </c>
      <c r="I14" s="35">
        <f>IFERROR(INDEX(Bets!$AJ$2:$AJ$105,MATCH(LARGE(Bets!$AM$2:$AM$105,2),Bets!$AM$2:$AM$105,0)),"")</f>
        <v/>
      </c>
      <c r="J14" s="54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28">
        <f>IFERROR(INDEX(Bets!$A$2:$A$105,MATCH(LARGE(Bets!$AM$2:$AM$105,3),Bets!$AM$2:$AM$105,0)),"")</f>
        <v/>
      </c>
      <c r="B15" s="29">
        <f>IFERROR(INDEX(Bets!$B$2:$B$105,MATCH(LARGE(Bets!$AM$2:$AM$105,3),Bets!$AM$2:$AM$105,0)),"")</f>
        <v/>
      </c>
      <c r="C15" s="59">
        <f>IFERROR(INDEX(Bets!$C$2:$C$105,MATCH(LARGE(Bets!$AM$2:$AM$105,3),Bets!$AM$2:$AM$105,0)),"")</f>
        <v/>
      </c>
      <c r="D15" s="31">
        <f>IFERROR(INDEX(Bets!$D$2:$D$105,MATCH(LARGE(Bets!$AM$2:$AM$105,3),Bets!$AM$2:$AM$105,0))&amp;"  v  "&amp;INDEX(Bets!$E$2:$E$105,MATCH(LARGE(Bets!$AM$2:$AM$105,3),Bets!$AM$2:$AM$105,0)),"")</f>
        <v/>
      </c>
      <c r="E15" s="32">
        <f>IFERROR(INDEX(Bets!$AD$2:$AD$105,MATCH(LARGE(Bets!$AM$2:$AM$105,3),Bets!$AM$2:$AM$105,0)),"")</f>
        <v/>
      </c>
      <c r="F15" s="33">
        <f>IFERROR(INDEX(Bets!$AE$2:$AE$105,MATCH(LARGE(Bets!$AM$2:$AM$105,3),Bets!$AM$2:$AM$105,0)),"")</f>
        <v/>
      </c>
      <c r="G15" s="34">
        <f>IFERROR(INDEX(Bets!$AF$2:$AF$105,MATCH(LARGE(Bets!$AM$2:$AM$105,3),Bets!$AM$2:$AM$105,0)),"")</f>
        <v/>
      </c>
      <c r="H15" s="34">
        <f>IFERROR(INDEX(Bets!$AG$2:$AG$105,MATCH(LARGE(Bets!$AM$2:$AM$105,3),Bets!$AM$2:$AM$105,0)),"")</f>
        <v/>
      </c>
      <c r="I15" s="35">
        <f>IFERROR(INDEX(Bets!$AJ$2:$AJ$105,MATCH(LARGE(Bets!$AM$2:$AM$105,3),Bets!$AM$2:$AM$105,0)),"")</f>
        <v/>
      </c>
      <c r="J15" s="54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 ht="15" customHeight="1" s="153">
      <c r="A16" s="28">
        <f>IFERROR(INDEX(Bets!$A$2:$A$105,MATCH(LARGE(Bets!$AM$2:$AM$105,4),Bets!$AM$2:$AM$105,0)),"")</f>
        <v/>
      </c>
      <c r="B16" s="29">
        <f>IFERROR(INDEX(Bets!$B$2:$B$105,MATCH(LARGE(Bets!$AM$2:$AM$105,4),Bets!$AM$2:$AM$105,0)),"")</f>
        <v/>
      </c>
      <c r="C16" s="59">
        <f>IFERROR(INDEX(Bets!$C$2:$C$105,MATCH(LARGE(Bets!$AM$2:$AM$105,4),Bets!$AM$2:$AM$105,0)),"")</f>
        <v/>
      </c>
      <c r="D16" s="31">
        <f>IFERROR(INDEX(Bets!$D$2:$D$105,MATCH(LARGE(Bets!$AM$2:$AM$105,4),Bets!$AM$2:$AM$105,0))&amp;"  v  "&amp;INDEX(Bets!$E$2:$E$105,MATCH(LARGE(Bets!$AM$2:$AM$105,4),Bets!$AM$2:$AM$105,0)),"")</f>
        <v/>
      </c>
      <c r="E16" s="32">
        <f>IFERROR(INDEX(Bets!$AD$2:$AD$105,MATCH(LARGE(Bets!$AM$2:$AM$105,4),Bets!$AM$2:$AM$105,0)),"")</f>
        <v/>
      </c>
      <c r="F16" s="33">
        <f>IFERROR(INDEX(Bets!$AE$2:$AE$105,MATCH(LARGE(Bets!$AM$2:$AM$105,4),Bets!$AM$2:$AM$105,0)),"")</f>
        <v/>
      </c>
      <c r="G16" s="34">
        <f>IFERROR(INDEX(Bets!$AF$2:$AF$105,MATCH(LARGE(Bets!$AM$2:$AM$105,4),Bets!$AM$2:$AM$105,0)),"")</f>
        <v/>
      </c>
      <c r="H16" s="34">
        <f>IFERROR(INDEX(Bets!$AG$2:$AG$105,MATCH(LARGE(Bets!$AM$2:$AM$105,4),Bets!$AM$2:$AM$105,0)),"")</f>
        <v/>
      </c>
      <c r="I16" s="35">
        <f>IFERROR(INDEX(Bets!$AJ$2:$AJ$105,MATCH(LARGE(Bets!$AM$2:$AM$105,4),Bets!$AM$2:$AM$105,0)),"")</f>
        <v/>
      </c>
      <c r="J16" s="54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 ht="15" customHeight="1" s="153">
      <c r="A17" s="28">
        <f>IFERROR(INDEX(Bets!$A$2:$A$105,MATCH(LARGE(Bets!$AM$2:$AM$105,5),Bets!$AM$2:$AM$105,0)),"")</f>
        <v/>
      </c>
      <c r="B17" s="29">
        <f>IFERROR(INDEX(Bets!$B$2:$B$105,MATCH(LARGE(Bets!$AM$2:$AM$105,5),Bets!$AM$2:$AM$105,0)),"")</f>
        <v/>
      </c>
      <c r="C17" s="59">
        <f>IFERROR(INDEX(Bets!$C$2:$C$105,MATCH(LARGE(Bets!$AM$2:$AM$105,5),Bets!$AM$2:$AM$105,0)),"")</f>
        <v/>
      </c>
      <c r="D17" s="31">
        <f>IFERROR(INDEX(Bets!$D$2:$D$105,MATCH(LARGE(Bets!$AM$2:$AM$105,5),Bets!$AM$2:$AM$105,0))&amp;"  v  "&amp;INDEX(Bets!$E$2:$E$105,MATCH(LARGE(Bets!$AM$2:$AM$105,5),Bets!$AM$2:$AM$105,0)),"")</f>
        <v/>
      </c>
      <c r="E17" s="32">
        <f>IFERROR(INDEX(Bets!$AD$2:$AD$105,MATCH(LARGE(Bets!$AM$2:$AM$105,5),Bets!$AM$2:$AM$105,0)),"")</f>
        <v/>
      </c>
      <c r="F17" s="33">
        <f>IFERROR(INDEX(Bets!$AE$2:$AE$105,MATCH(LARGE(Bets!$AM$2:$AM$105,5),Bets!$AM$2:$AM$105,0)),"")</f>
        <v/>
      </c>
      <c r="G17" s="34">
        <f>IFERROR(INDEX(Bets!$AF$2:$AF$105,MATCH(LARGE(Bets!$AM$2:$AM$105,5),Bets!$AM$2:$AM$105,0)),"")</f>
        <v/>
      </c>
      <c r="H17" s="34">
        <f>IFERROR(INDEX(Bets!$AG$2:$AG$105,MATCH(LARGE(Bets!$AM$2:$AM$105,5),Bets!$AM$2:$AM$105,0)),"")</f>
        <v/>
      </c>
      <c r="I17" s="35">
        <f>IFERROR(INDEX(Bets!$AJ$2:$AJ$105,MATCH(LARGE(Bets!$AM$2:$AM$105,5),Bets!$AM$2:$AM$105,0)),"")</f>
        <v/>
      </c>
      <c r="J17" s="54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 ht="15" customHeight="1" s="153">
      <c r="A18" s="28">
        <f>IFERROR(INDEX(Bets!$A$2:$A$105,MATCH(LARGE(Bets!$AM$2:$AM$105,6),Bets!$AM$2:$AM$105,0)),"")</f>
        <v/>
      </c>
      <c r="B18" s="29">
        <f>IFERROR(INDEX(Bets!$B$2:$B$105,MATCH(LARGE(Bets!$AM$2:$AM$105,6),Bets!$AM$2:$AM$105,0)),"")</f>
        <v/>
      </c>
      <c r="C18" s="59">
        <f>IFERROR(INDEX(Bets!$C$2:$C$105,MATCH(LARGE(Bets!$AM$2:$AM$105,6),Bets!$AM$2:$AM$105,0)),"")</f>
        <v/>
      </c>
      <c r="D18" s="31">
        <f>IFERROR(INDEX(Bets!$D$2:$D$105,MATCH(LARGE(Bets!$AM$2:$AM$105,6),Bets!$AM$2:$AM$105,0))&amp;"  v  "&amp;INDEX(Bets!$E$2:$E$105,MATCH(LARGE(Bets!$AM$2:$AM$105,6),Bets!$AM$2:$AM$105,0)),"")</f>
        <v/>
      </c>
      <c r="E18" s="32">
        <f>IFERROR(INDEX(Bets!$AD$2:$AD$105,MATCH(LARGE(Bets!$AM$2:$AM$105,6),Bets!$AM$2:$AM$105,0)),"")</f>
        <v/>
      </c>
      <c r="F18" s="33">
        <f>IFERROR(INDEX(Bets!$AE$2:$AE$105,MATCH(LARGE(Bets!$AM$2:$AM$105,6),Bets!$AM$2:$AM$105,0)),"")</f>
        <v/>
      </c>
      <c r="G18" s="34">
        <f>IFERROR(INDEX(Bets!$AF$2:$AF$105,MATCH(LARGE(Bets!$AM$2:$AM$105,6),Bets!$AM$2:$AM$105,0)),"")</f>
        <v/>
      </c>
      <c r="H18" s="34">
        <f>IFERROR(INDEX(Bets!$AG$2:$AG$105,MATCH(LARGE(Bets!$AM$2:$AM$105,6),Bets!$AM$2:$AM$105,0)),"")</f>
        <v/>
      </c>
      <c r="I18" s="35">
        <f>IFERROR(INDEX(Bets!$AJ$2:$AJ$105,MATCH(LARGE(Bets!$AM$2:$AM$105,6),Bets!$AM$2:$AM$105,0)),"")</f>
        <v/>
      </c>
      <c r="J18" s="54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 ht="15" customHeight="1" s="153">
      <c r="A19" s="28">
        <f>IFERROR(INDEX(Bets!$A$2:$A$105,MATCH(LARGE(Bets!$AM$2:$AM$105,7),Bets!$AM$2:$AM$105,0)),"")</f>
        <v/>
      </c>
      <c r="B19" s="29">
        <f>IFERROR(INDEX(Bets!$B$2:$B$105,MATCH(LARGE(Bets!$AM$2:$AM$105,7),Bets!$AM$2:$AM$105,0)),"")</f>
        <v/>
      </c>
      <c r="C19" s="59">
        <f>IFERROR(INDEX(Bets!$C$2:$C$105,MATCH(LARGE(Bets!$AM$2:$AM$105,7),Bets!$AM$2:$AM$105,0)),"")</f>
        <v/>
      </c>
      <c r="D19" s="31">
        <f>IFERROR(INDEX(Bets!$D$2:$D$105,MATCH(LARGE(Bets!$AM$2:$AM$105,7),Bets!$AM$2:$AM$105,0))&amp;"  v  "&amp;INDEX(Bets!$E$2:$E$105,MATCH(LARGE(Bets!$AM$2:$AM$105,7),Bets!$AM$2:$AM$105,0)),"")</f>
        <v/>
      </c>
      <c r="E19" s="32">
        <f>IFERROR(INDEX(Bets!$AD$2:$AD$105,MATCH(LARGE(Bets!$AM$2:$AM$105,7),Bets!$AM$2:$AM$105,0)),"")</f>
        <v/>
      </c>
      <c r="F19" s="33">
        <f>IFERROR(INDEX(Bets!$AE$2:$AE$105,MATCH(LARGE(Bets!$AM$2:$AM$105,7),Bets!$AM$2:$AM$105,0)),"")</f>
        <v/>
      </c>
      <c r="G19" s="34">
        <f>IFERROR(INDEX(Bets!$AF$2:$AF$105,MATCH(LARGE(Bets!$AM$2:$AM$105,7),Bets!$AM$2:$AM$105,0)),"")</f>
        <v/>
      </c>
      <c r="H19" s="34">
        <f>IFERROR(INDEX(Bets!$AG$2:$AG$105,MATCH(LARGE(Bets!$AM$2:$AM$105,7),Bets!$AM$2:$AM$105,0)),"")</f>
        <v/>
      </c>
      <c r="I19" s="35">
        <f>IFERROR(INDEX(Bets!$AJ$2:$AJ$105,MATCH(LARGE(Bets!$AM$2:$AM$105,7),Bets!$AM$2:$AM$105,0)),"")</f>
        <v/>
      </c>
      <c r="J19" s="54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15" customHeight="1" s="153">
      <c r="A20" s="28">
        <f>IFERROR(INDEX(Bets!$A$2:$A$105,MATCH(LARGE(Bets!$AM$2:$AM$105,8),Bets!$AM$2:$AM$105,0)),"")</f>
        <v/>
      </c>
      <c r="B20" s="29">
        <f>IFERROR(INDEX(Bets!$B$2:$B$105,MATCH(LARGE(Bets!$AM$2:$AM$105,8),Bets!$AM$2:$AM$105,0)),"")</f>
        <v/>
      </c>
      <c r="C20" s="59">
        <f>IFERROR(INDEX(Bets!$C$2:$C$105,MATCH(LARGE(Bets!$AM$2:$AM$105,8),Bets!$AM$2:$AM$105,0)),"")</f>
        <v/>
      </c>
      <c r="D20" s="31">
        <f>IFERROR(INDEX(Bets!$D$2:$D$105,MATCH(LARGE(Bets!$AM$2:$AM$105,8),Bets!$AM$2:$AM$105,0))&amp;"  v  "&amp;INDEX(Bets!$E$2:$E$105,MATCH(LARGE(Bets!$AM$2:$AM$105,8),Bets!$AM$2:$AM$105,0)),"")</f>
        <v/>
      </c>
      <c r="E20" s="32">
        <f>IFERROR(INDEX(Bets!$AD$2:$AD$105,MATCH(LARGE(Bets!$AM$2:$AM$105,8),Bets!$AM$2:$AM$105,0)),"")</f>
        <v/>
      </c>
      <c r="F20" s="33">
        <f>IFERROR(INDEX(Bets!$AE$2:$AE$105,MATCH(LARGE(Bets!$AM$2:$AM$105,8),Bets!$AM$2:$AM$105,0)),"")</f>
        <v/>
      </c>
      <c r="G20" s="34">
        <f>IFERROR(INDEX(Bets!$AF$2:$AF$105,MATCH(LARGE(Bets!$AM$2:$AM$105,8),Bets!$AM$2:$AM$105,0)),"")</f>
        <v/>
      </c>
      <c r="H20" s="34">
        <f>IFERROR(INDEX(Bets!$AG$2:$AG$105,MATCH(LARGE(Bets!$AM$2:$AM$105,8),Bets!$AM$2:$AM$105,0)),"")</f>
        <v/>
      </c>
      <c r="I20" s="35">
        <f>IFERROR(INDEX(Bets!$AJ$2:$AJ$105,MATCH(LARGE(Bets!$AM$2:$AM$105,8),Bets!$AM$2:$AM$105,0)),"")</f>
        <v/>
      </c>
      <c r="J20" s="54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.75" customHeight="1" s="153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4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" customHeight="1" s="153">
      <c r="A22" s="26" t="inlineStr">
        <is>
          <t>MATCHDAY LEDGER — stakes &amp; P&amp;L by day</t>
        </is>
      </c>
      <c r="F22" s="54" t="n"/>
      <c r="G22" s="26" t="inlineStr">
        <is>
          <t>HOUSE RULES</t>
        </is>
      </c>
      <c r="H22" s="54" t="n"/>
      <c r="I22" s="54" t="n"/>
      <c r="J22" s="54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" customHeight="1" s="153">
      <c r="A23" s="27" t="inlineStr">
        <is>
          <t>Date</t>
        </is>
      </c>
      <c r="B23" s="27" t="inlineStr">
        <is>
          <t>Games</t>
        </is>
      </c>
      <c r="C23" s="27" t="inlineStr">
        <is>
          <t>Staked £</t>
        </is>
      </c>
      <c r="D23" s="27" t="inlineStr">
        <is>
          <t>P&amp;L £</t>
        </is>
      </c>
      <c r="E23" s="27" t="n"/>
      <c r="F23" s="54" t="n"/>
      <c r="G23" s="36" t="inlineStr">
        <is>
          <t>· Only stake when FINAL ACTION shows 🟢 PLACE.</t>
        </is>
      </c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" customHeight="1" s="153">
      <c r="A24" s="37" t="n">
        <v>46184</v>
      </c>
      <c r="B24" s="59">
        <f>COUNTIF(Bets!$B$2:$B$105,$A24)</f>
        <v/>
      </c>
      <c r="C24" s="38">
        <f>SUMIFS(Bets!$AP$2:$AP$105,Bets!$B$2:$B$105,$A24,Bets!$AN$2:$AN$105,"Y")</f>
        <v/>
      </c>
      <c r="D24" s="38">
        <f>SUMIFS(Bets!$AR$2:$AR$105,Bets!$B$2:$B$105,$A24)</f>
        <v/>
      </c>
      <c r="E24" s="31">
        <f>IF(D24&gt;0,REPT("█",MIN(25,ROUND(D24/4,0))),REPT("░",MIN(25,ROUND(-D24/4,0))))</f>
        <v/>
      </c>
      <c r="F24" s="54" t="n"/>
      <c r="G24" s="36" t="inlineStr">
        <is>
          <t>· "—" or PASS on most matches = the filter working, not a fault.</t>
        </is>
      </c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" customHeight="1" s="153">
      <c r="A25" s="37" t="n">
        <v>46185</v>
      </c>
      <c r="B25" s="59">
        <f>COUNTIF(Bets!$B$2:$B$105,$A25)</f>
        <v/>
      </c>
      <c r="C25" s="38">
        <f>SUMIFS(Bets!$AP$2:$AP$105,Bets!$B$2:$B$105,$A25,Bets!$AN$2:$AN$105,"Y")</f>
        <v/>
      </c>
      <c r="D25" s="38">
        <f>SUMIFS(Bets!$AR$2:$AR$105,Bets!$B$2:$B$105,$A25)</f>
        <v/>
      </c>
      <c r="E25" s="31">
        <f>IF(D25&gt;0,REPT("█",MIN(25,ROUND(D25/4,0))),REPT("░",MIN(25,ROUND(-D25/4,0))))</f>
        <v/>
      </c>
      <c r="F25" s="54" t="n"/>
      <c r="G25" s="36" t="inlineStr">
        <is>
          <t>· Fun bets are allowed — small (≤ £5), and STATUS labels them honestly.</t>
        </is>
      </c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" customHeight="1" s="153">
      <c r="A26" s="37" t="n">
        <v>46186</v>
      </c>
      <c r="B26" s="59">
        <f>COUNTIF(Bets!$B$2:$B$105,$A26)</f>
        <v/>
      </c>
      <c r="C26" s="38">
        <f>SUMIFS(Bets!$AP$2:$AP$105,Bets!$B$2:$B$105,$A26,Bets!$AN$2:$AN$105,"Y")</f>
        <v/>
      </c>
      <c r="D26" s="38">
        <f>SUMIFS(Bets!$AR$2:$AR$105,Bets!$B$2:$B$105,$A26)</f>
        <v/>
      </c>
      <c r="E26" s="31">
        <f>IF(D26&gt;0,REPT("█",MIN(25,ROUND(D26/4,0))),REPT("░",MIN(25,ROUND(-D26/4,0))))</f>
        <v/>
      </c>
      <c r="F26" s="54" t="n"/>
      <c r="G26" s="36" t="inlineStr">
        <is>
          <t>· Never exceed the stake shown. Never chase a loss.</t>
        </is>
      </c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" customHeight="1" s="153">
      <c r="A27" s="37" t="n">
        <v>46187</v>
      </c>
      <c r="B27" s="59">
        <f>COUNTIF(Bets!$B$2:$B$105,$A27)</f>
        <v/>
      </c>
      <c r="C27" s="38">
        <f>SUMIFS(Bets!$AP$2:$AP$105,Bets!$B$2:$B$105,$A27,Bets!$AN$2:$AN$105,"Y")</f>
        <v/>
      </c>
      <c r="D27" s="38">
        <f>SUMIFS(Bets!$AR$2:$AR$105,Bets!$B$2:$B$105,$A27)</f>
        <v/>
      </c>
      <c r="E27" s="31">
        <f>IF(D27&gt;0,REPT("█",MIN(25,ROUND(D27/4,0))),REPT("░",MIN(25,ROUND(-D27/4,0))))</f>
        <v/>
      </c>
      <c r="F27" s="54" t="n"/>
      <c r="G27" s="36" t="inlineStr">
        <is>
          <t>· Friends: stake = "£ per £100" × (their bankroll ÷ 100).</t>
        </is>
      </c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" customHeight="1" s="153">
      <c r="A28" s="37" t="n">
        <v>46188</v>
      </c>
      <c r="B28" s="59">
        <f>COUNTIF(Bets!$B$2:$B$105,$A28)</f>
        <v/>
      </c>
      <c r="C28" s="38">
        <f>SUMIFS(Bets!$AP$2:$AP$105,Bets!$B$2:$B$105,$A28,Bets!$AN$2:$AN$105,"Y")</f>
        <v/>
      </c>
      <c r="D28" s="38">
        <f>SUMIFS(Bets!$AR$2:$AR$105,Bets!$B$2:$B$105,$A28)</f>
        <v/>
      </c>
      <c r="E28" s="31">
        <f>IF(D28&gt;0,REPT("█",MIN(25,ROUND(D28/4,0))),REPT("░",MIN(25,ROUND(-D28/4,0))))</f>
        <v/>
      </c>
      <c r="F28" s="54" t="n"/>
      <c r="G28" s="36" t="inlineStr">
        <is>
          <t>· 18+ · not financial advice · BeGambleAware.org</t>
        </is>
      </c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" customHeight="1" s="153">
      <c r="A29" s="37" t="n">
        <v>46189</v>
      </c>
      <c r="B29" s="59">
        <f>COUNTIF(Bets!$B$2:$B$105,$A29)</f>
        <v/>
      </c>
      <c r="C29" s="38">
        <f>SUMIFS(Bets!$AP$2:$AP$105,Bets!$B$2:$B$105,$A29,Bets!$AN$2:$AN$105,"Y")</f>
        <v/>
      </c>
      <c r="D29" s="38">
        <f>SUMIFS(Bets!$AR$2:$AR$105,Bets!$B$2:$B$105,$A29)</f>
        <v/>
      </c>
      <c r="E29" s="31">
        <f>IF(D29&gt;0,REPT("█",MIN(25,ROUND(D29/4,0))),REPT("░",MIN(25,ROUND(-D29/4,0))))</f>
        <v/>
      </c>
      <c r="F29" s="54" t="n"/>
      <c r="G29" s="54" t="n"/>
      <c r="H29" s="54" t="n"/>
      <c r="I29" s="54" t="n"/>
      <c r="J29" s="54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" customHeight="1" s="153">
      <c r="A30" s="37" t="n">
        <v>46190</v>
      </c>
      <c r="B30" s="59">
        <f>COUNTIF(Bets!$B$2:$B$105,$A30)</f>
        <v/>
      </c>
      <c r="C30" s="38">
        <f>SUMIFS(Bets!$AP$2:$AP$105,Bets!$B$2:$B$105,$A30,Bets!$AN$2:$AN$105,"Y")</f>
        <v/>
      </c>
      <c r="D30" s="38">
        <f>SUMIFS(Bets!$AR$2:$AR$105,Bets!$B$2:$B$105,$A30)</f>
        <v/>
      </c>
      <c r="E30" s="31">
        <f>IF(D30&gt;0,REPT("█",MIN(25,ROUND(D30/4,0))),REPT("░",MIN(25,ROUND(-D30/4,0))))</f>
        <v/>
      </c>
      <c r="F30" s="54" t="n"/>
      <c r="G30" s="54" t="n"/>
      <c r="H30" s="54" t="n"/>
      <c r="I30" s="54" t="n"/>
      <c r="J30" s="54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" customHeight="1" s="153">
      <c r="A31" s="37" t="n">
        <v>46191</v>
      </c>
      <c r="B31" s="59">
        <f>COUNTIF(Bets!$B$2:$B$105,$A31)</f>
        <v/>
      </c>
      <c r="C31" s="38">
        <f>SUMIFS(Bets!$AP$2:$AP$105,Bets!$B$2:$B$105,$A31,Bets!$AN$2:$AN$105,"Y")</f>
        <v/>
      </c>
      <c r="D31" s="38">
        <f>SUMIFS(Bets!$AR$2:$AR$105,Bets!$B$2:$B$105,$A31)</f>
        <v/>
      </c>
      <c r="E31" s="31">
        <f>IF(D31&gt;0,REPT("█",MIN(25,ROUND(D31/4,0))),REPT("░",MIN(25,ROUND(-D31/4,0))))</f>
        <v/>
      </c>
      <c r="F31" s="54" t="n"/>
      <c r="G31" s="54" t="n"/>
      <c r="H31" s="54" t="n"/>
      <c r="I31" s="54" t="n"/>
      <c r="J31" s="54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" customHeight="1" s="153">
      <c r="A32" s="37" t="n">
        <v>46192</v>
      </c>
      <c r="B32" s="59">
        <f>COUNTIF(Bets!$B$2:$B$105,$A32)</f>
        <v/>
      </c>
      <c r="C32" s="38">
        <f>SUMIFS(Bets!$AP$2:$AP$105,Bets!$B$2:$B$105,$A32,Bets!$AN$2:$AN$105,"Y")</f>
        <v/>
      </c>
      <c r="D32" s="38">
        <f>SUMIFS(Bets!$AR$2:$AR$105,Bets!$B$2:$B$105,$A32)</f>
        <v/>
      </c>
      <c r="E32" s="31">
        <f>IF(D32&gt;0,REPT("█",MIN(25,ROUND(D32/4,0))),REPT("░",MIN(25,ROUND(-D32/4,0))))</f>
        <v/>
      </c>
      <c r="F32" s="54" t="n"/>
      <c r="G32" s="54" t="n"/>
      <c r="H32" s="54" t="n"/>
      <c r="I32" s="54" t="n"/>
      <c r="J32" s="54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" customHeight="1" s="153">
      <c r="A33" s="37" t="n">
        <v>46193</v>
      </c>
      <c r="B33" s="59">
        <f>COUNTIF(Bets!$B$2:$B$105,$A33)</f>
        <v/>
      </c>
      <c r="C33" s="38">
        <f>SUMIFS(Bets!$AP$2:$AP$105,Bets!$B$2:$B$105,$A33,Bets!$AN$2:$AN$105,"Y")</f>
        <v/>
      </c>
      <c r="D33" s="38">
        <f>SUMIFS(Bets!$AR$2:$AR$105,Bets!$B$2:$B$105,$A33)</f>
        <v/>
      </c>
      <c r="E33" s="31">
        <f>IF(D33&gt;0,REPT("█",MIN(25,ROUND(D33/4,0))),REPT("░",MIN(25,ROUND(-D33/4,0))))</f>
        <v/>
      </c>
      <c r="F33" s="54" t="n"/>
      <c r="G33" s="54" t="n"/>
      <c r="H33" s="54" t="n"/>
      <c r="I33" s="54" t="n"/>
      <c r="J33" s="54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" customHeight="1" s="153">
      <c r="A34" s="37" t="n">
        <v>46194</v>
      </c>
      <c r="B34" s="59">
        <f>COUNTIF(Bets!$B$2:$B$105,$A34)</f>
        <v/>
      </c>
      <c r="C34" s="38">
        <f>SUMIFS(Bets!$AP$2:$AP$105,Bets!$B$2:$B$105,$A34,Bets!$AN$2:$AN$105,"Y")</f>
        <v/>
      </c>
      <c r="D34" s="38">
        <f>SUMIFS(Bets!$AR$2:$AR$105,Bets!$B$2:$B$105,$A34)</f>
        <v/>
      </c>
      <c r="E34" s="31">
        <f>IF(D34&gt;0,REPT("█",MIN(25,ROUND(D34/4,0))),REPT("░",MIN(25,ROUND(-D34/4,0))))</f>
        <v/>
      </c>
      <c r="F34" s="54" t="n"/>
      <c r="G34" s="54" t="n"/>
      <c r="H34" s="54" t="n"/>
      <c r="I34" s="54" t="n"/>
      <c r="J34" s="54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" customHeight="1" s="153">
      <c r="A35" s="37" t="n">
        <v>46195</v>
      </c>
      <c r="B35" s="59">
        <f>COUNTIF(Bets!$B$2:$B$105,$A35)</f>
        <v/>
      </c>
      <c r="C35" s="38">
        <f>SUMIFS(Bets!$AP$2:$AP$105,Bets!$B$2:$B$105,$A35,Bets!$AN$2:$AN$105,"Y")</f>
        <v/>
      </c>
      <c r="D35" s="38">
        <f>SUMIFS(Bets!$AR$2:$AR$105,Bets!$B$2:$B$105,$A35)</f>
        <v/>
      </c>
      <c r="E35" s="31">
        <f>IF(D35&gt;0,REPT("█",MIN(25,ROUND(D35/4,0))),REPT("░",MIN(25,ROUND(-D35/4,0))))</f>
        <v/>
      </c>
      <c r="F35" s="54" t="n"/>
      <c r="G35" s="54" t="n"/>
      <c r="H35" s="54" t="n"/>
      <c r="I35" s="54" t="n"/>
      <c r="J35" s="54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" customHeight="1" s="153">
      <c r="A36" s="37" t="n">
        <v>46196</v>
      </c>
      <c r="B36" s="59">
        <f>COUNTIF(Bets!$B$2:$B$105,$A36)</f>
        <v/>
      </c>
      <c r="C36" s="38">
        <f>SUMIFS(Bets!$AP$2:$AP$105,Bets!$B$2:$B$105,$A36,Bets!$AN$2:$AN$105,"Y")</f>
        <v/>
      </c>
      <c r="D36" s="38">
        <f>SUMIFS(Bets!$AR$2:$AR$105,Bets!$B$2:$B$105,$A36)</f>
        <v/>
      </c>
      <c r="E36" s="31">
        <f>IF(D36&gt;0,REPT("█",MIN(25,ROUND(D36/4,0))),REPT("░",MIN(25,ROUND(-D36/4,0))))</f>
        <v/>
      </c>
      <c r="F36" s="54" t="n"/>
      <c r="G36" s="54" t="n"/>
      <c r="H36" s="54" t="n"/>
      <c r="I36" s="54" t="n"/>
      <c r="J36" s="54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" customHeight="1" s="153">
      <c r="A37" s="37" t="n">
        <v>46197</v>
      </c>
      <c r="B37" s="59">
        <f>COUNTIF(Bets!$B$2:$B$105,$A37)</f>
        <v/>
      </c>
      <c r="C37" s="38">
        <f>SUMIFS(Bets!$AP$2:$AP$105,Bets!$B$2:$B$105,$A37,Bets!$AN$2:$AN$105,"Y")</f>
        <v/>
      </c>
      <c r="D37" s="38">
        <f>SUMIFS(Bets!$AR$2:$AR$105,Bets!$B$2:$B$105,$A37)</f>
        <v/>
      </c>
      <c r="E37" s="31">
        <f>IF(D37&gt;0,REPT("█",MIN(25,ROUND(D37/4,0))),REPT("░",MIN(25,ROUND(-D37/4,0))))</f>
        <v/>
      </c>
      <c r="F37" s="54" t="n"/>
      <c r="G37" s="54" t="n"/>
      <c r="H37" s="54" t="n"/>
      <c r="I37" s="54" t="n"/>
      <c r="J37" s="54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" customHeight="1" s="153">
      <c r="A38" s="37" t="n">
        <v>46198</v>
      </c>
      <c r="B38" s="59">
        <f>COUNTIF(Bets!$B$2:$B$105,$A38)</f>
        <v/>
      </c>
      <c r="C38" s="38">
        <f>SUMIFS(Bets!$AP$2:$AP$105,Bets!$B$2:$B$105,$A38,Bets!$AN$2:$AN$105,"Y")</f>
        <v/>
      </c>
      <c r="D38" s="38">
        <f>SUMIFS(Bets!$AR$2:$AR$105,Bets!$B$2:$B$105,$A38)</f>
        <v/>
      </c>
      <c r="E38" s="31">
        <f>IF(D38&gt;0,REPT("█",MIN(25,ROUND(D38/4,0))),REPT("░",MIN(25,ROUND(-D38/4,0))))</f>
        <v/>
      </c>
      <c r="F38" s="54" t="n"/>
      <c r="G38" s="54" t="n"/>
      <c r="H38" s="54" t="n"/>
      <c r="I38" s="54" t="n"/>
      <c r="J38" s="54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" customHeight="1" s="153">
      <c r="A39" s="37" t="n">
        <v>46199</v>
      </c>
      <c r="B39" s="59">
        <f>COUNTIF(Bets!$B$2:$B$105,$A39)</f>
        <v/>
      </c>
      <c r="C39" s="38">
        <f>SUMIFS(Bets!$AP$2:$AP$105,Bets!$B$2:$B$105,$A39,Bets!$AN$2:$AN$105,"Y")</f>
        <v/>
      </c>
      <c r="D39" s="38">
        <f>SUMIFS(Bets!$AR$2:$AR$105,Bets!$B$2:$B$105,$A39)</f>
        <v/>
      </c>
      <c r="E39" s="31">
        <f>IF(D39&gt;0,REPT("█",MIN(25,ROUND(D39/4,0))),REPT("░",MIN(25,ROUND(-D39/4,0))))</f>
        <v/>
      </c>
      <c r="F39" s="54" t="n"/>
      <c r="G39" s="54" t="n"/>
      <c r="H39" s="54" t="n"/>
      <c r="I39" s="54" t="n"/>
      <c r="J39" s="54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" customHeight="1" s="153">
      <c r="A40" s="37" t="n">
        <v>46200</v>
      </c>
      <c r="B40" s="59">
        <f>COUNTIF(Bets!$B$2:$B$105,$A40)</f>
        <v/>
      </c>
      <c r="C40" s="38">
        <f>SUMIFS(Bets!$AP$2:$AP$105,Bets!$B$2:$B$105,$A40,Bets!$AN$2:$AN$105,"Y")</f>
        <v/>
      </c>
      <c r="D40" s="38">
        <f>SUMIFS(Bets!$AR$2:$AR$105,Bets!$B$2:$B$105,$A40)</f>
        <v/>
      </c>
      <c r="E40" s="31">
        <f>IF(D40&gt;0,REPT("█",MIN(25,ROUND(D40/4,0))),REPT("░",MIN(25,ROUND(-D40/4,0))))</f>
        <v/>
      </c>
      <c r="F40" s="54" t="n"/>
      <c r="G40" s="54" t="n"/>
      <c r="H40" s="54" t="n"/>
      <c r="I40" s="54" t="n"/>
      <c r="J40" s="54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.75" customHeight="1" s="153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4" t="n"/>
      <c r="J41" s="54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.75" customHeight="1" s="153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4" t="n"/>
      <c r="J42" s="54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.75" customHeight="1" s="153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4" t="n"/>
      <c r="J43" s="54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.75" customHeight="1" s="153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.75" customHeight="1" s="153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4" t="n"/>
      <c r="J46" s="54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.75" customHeight="1" s="153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4" t="n"/>
      <c r="J47" s="54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.75" customHeight="1" s="153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.75" customHeight="1" s="153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4" t="n"/>
      <c r="J49" s="54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.75" customHeight="1" s="153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4" t="n"/>
      <c r="J50" s="54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.75" customHeight="1" s="153">
      <c r="A51" s="54" t="n"/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.75" customHeight="1" s="153">
      <c r="A52" s="54" t="n"/>
      <c r="B52" s="54" t="n"/>
      <c r="C52" s="54" t="n"/>
      <c r="D52" s="54" t="n"/>
      <c r="E52" s="54" t="n"/>
      <c r="F52" s="54" t="n"/>
      <c r="G52" s="54" t="n"/>
      <c r="H52" s="54" t="n"/>
      <c r="I52" s="54" t="n"/>
      <c r="J52" s="54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.75" customHeight="1" s="153">
      <c r="A53" s="54" t="n"/>
      <c r="B53" s="54" t="n"/>
      <c r="C53" s="54" t="n"/>
      <c r="D53" s="54" t="n"/>
      <c r="E53" s="54" t="n"/>
      <c r="F53" s="54" t="n"/>
      <c r="G53" s="54" t="n"/>
      <c r="H53" s="54" t="n"/>
      <c r="I53" s="54" t="n"/>
      <c r="J53" s="54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.75" customHeight="1" s="153">
      <c r="A54" s="54" t="n"/>
      <c r="B54" s="54" t="n"/>
      <c r="C54" s="54" t="n"/>
      <c r="D54" s="54" t="n"/>
      <c r="E54" s="54" t="n"/>
      <c r="F54" s="54" t="n"/>
      <c r="G54" s="54" t="n"/>
      <c r="H54" s="54" t="n"/>
      <c r="I54" s="54" t="n"/>
      <c r="J54" s="54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.75" customHeight="1" s="153">
      <c r="A55" s="54" t="n"/>
      <c r="B55" s="54" t="n"/>
      <c r="C55" s="54" t="n"/>
      <c r="D55" s="54" t="n"/>
      <c r="E55" s="54" t="n"/>
      <c r="F55" s="54" t="n"/>
      <c r="G55" s="54" t="n"/>
      <c r="H55" s="54" t="n"/>
      <c r="I55" s="54" t="n"/>
      <c r="J55" s="54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.75" customHeight="1" s="153">
      <c r="A56" s="54" t="n"/>
      <c r="B56" s="54" t="n"/>
      <c r="C56" s="54" t="n"/>
      <c r="D56" s="54" t="n"/>
      <c r="E56" s="54" t="n"/>
      <c r="F56" s="54" t="n"/>
      <c r="G56" s="54" t="n"/>
      <c r="H56" s="54" t="n"/>
      <c r="I56" s="54" t="n"/>
      <c r="J56" s="54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.75" customHeight="1" s="153">
      <c r="A57" s="54" t="n"/>
      <c r="B57" s="54" t="n"/>
      <c r="C57" s="54" t="n"/>
      <c r="D57" s="54" t="n"/>
      <c r="E57" s="54" t="n"/>
      <c r="F57" s="54" t="n"/>
      <c r="G57" s="54" t="n"/>
      <c r="H57" s="54" t="n"/>
      <c r="I57" s="54" t="n"/>
      <c r="J57" s="54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.75" customHeight="1" s="153">
      <c r="A58" s="54" t="n"/>
      <c r="B58" s="54" t="n"/>
      <c r="C58" s="54" t="n"/>
      <c r="D58" s="54" t="n"/>
      <c r="E58" s="54" t="n"/>
      <c r="F58" s="54" t="n"/>
      <c r="G58" s="54" t="n"/>
      <c r="H58" s="54" t="n"/>
      <c r="I58" s="54" t="n"/>
      <c r="J58" s="54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.75" customHeight="1" s="153">
      <c r="A59" s="54" t="n"/>
      <c r="B59" s="54" t="n"/>
      <c r="C59" s="54" t="n"/>
      <c r="D59" s="54" t="n"/>
      <c r="E59" s="54" t="n"/>
      <c r="F59" s="54" t="n"/>
      <c r="G59" s="54" t="n"/>
      <c r="H59" s="54" t="n"/>
      <c r="I59" s="54" t="n"/>
      <c r="J59" s="54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.75" customHeight="1" s="153">
      <c r="A60" s="54" t="n"/>
      <c r="B60" s="54" t="n"/>
      <c r="C60" s="54" t="n"/>
      <c r="D60" s="54" t="n"/>
      <c r="E60" s="54" t="n"/>
      <c r="F60" s="54" t="n"/>
      <c r="G60" s="54" t="n"/>
      <c r="H60" s="54" t="n"/>
      <c r="I60" s="54" t="n"/>
      <c r="J60" s="54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.75" customHeight="1" s="153">
      <c r="A61" s="54" t="n"/>
      <c r="B61" s="54" t="n"/>
      <c r="C61" s="54" t="n"/>
      <c r="D61" s="54" t="n"/>
      <c r="E61" s="54" t="n"/>
      <c r="F61" s="54" t="n"/>
      <c r="G61" s="54" t="n"/>
      <c r="H61" s="54" t="n"/>
      <c r="I61" s="54" t="n"/>
      <c r="J61" s="54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.75" customHeight="1" s="153">
      <c r="A62" s="54" t="n"/>
      <c r="B62" s="54" t="n"/>
      <c r="C62" s="54" t="n"/>
      <c r="D62" s="54" t="n"/>
      <c r="E62" s="54" t="n"/>
      <c r="F62" s="54" t="n"/>
      <c r="G62" s="54" t="n"/>
      <c r="H62" s="54" t="n"/>
      <c r="I62" s="54" t="n"/>
      <c r="J62" s="54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.75" customHeight="1" s="153">
      <c r="A63" s="54" t="n"/>
      <c r="B63" s="54" t="n"/>
      <c r="C63" s="54" t="n"/>
      <c r="D63" s="54" t="n"/>
      <c r="E63" s="54" t="n"/>
      <c r="F63" s="54" t="n"/>
      <c r="G63" s="54" t="n"/>
      <c r="H63" s="54" t="n"/>
      <c r="I63" s="54" t="n"/>
      <c r="J63" s="54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.75" customHeight="1" s="153">
      <c r="A64" s="54" t="n"/>
      <c r="B64" s="54" t="n"/>
      <c r="C64" s="54" t="n"/>
      <c r="D64" s="54" t="n"/>
      <c r="E64" s="54" t="n"/>
      <c r="F64" s="54" t="n"/>
      <c r="G64" s="54" t="n"/>
      <c r="H64" s="54" t="n"/>
      <c r="I64" s="54" t="n"/>
      <c r="J64" s="54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.75" customHeight="1" s="153">
      <c r="A65" s="54" t="n"/>
      <c r="B65" s="54" t="n"/>
      <c r="C65" s="54" t="n"/>
      <c r="D65" s="54" t="n"/>
      <c r="E65" s="54" t="n"/>
      <c r="F65" s="54" t="n"/>
      <c r="G65" s="54" t="n"/>
      <c r="H65" s="54" t="n"/>
      <c r="I65" s="54" t="n"/>
      <c r="J65" s="54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54" t="n"/>
      <c r="B66" s="54" t="n"/>
      <c r="C66" s="54" t="n"/>
      <c r="D66" s="54" t="n"/>
      <c r="E66" s="54" t="n"/>
      <c r="F66" s="54" t="n"/>
      <c r="G66" s="54" t="n"/>
      <c r="H66" s="54" t="n"/>
      <c r="I66" s="54" t="n"/>
      <c r="J66" s="54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n"/>
      <c r="B67" s="54" t="n"/>
      <c r="C67" s="54" t="n"/>
      <c r="D67" s="54" t="n"/>
      <c r="E67" s="54" t="n"/>
      <c r="F67" s="54" t="n"/>
      <c r="G67" s="54" t="n"/>
      <c r="H67" s="54" t="n"/>
      <c r="I67" s="54" t="n"/>
      <c r="J67" s="54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n"/>
      <c r="B68" s="54" t="n"/>
      <c r="C68" s="54" t="n"/>
      <c r="D68" s="54" t="n"/>
      <c r="E68" s="54" t="n"/>
      <c r="F68" s="54" t="n"/>
      <c r="G68" s="54" t="n"/>
      <c r="H68" s="54" t="n"/>
      <c r="I68" s="54" t="n"/>
      <c r="J68" s="54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n"/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n"/>
      <c r="B70" s="54" t="n"/>
      <c r="C70" s="54" t="n"/>
      <c r="D70" s="54" t="n"/>
      <c r="E70" s="54" t="n"/>
      <c r="F70" s="54" t="n"/>
      <c r="G70" s="54" t="n"/>
      <c r="H70" s="54" t="n"/>
      <c r="I70" s="54" t="n"/>
      <c r="J70" s="54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4" t="n"/>
      <c r="J72" s="54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4" t="n"/>
      <c r="J73" s="54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4" t="n"/>
      <c r="J74" s="54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4" t="n"/>
      <c r="J75" s="54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4" t="n"/>
      <c r="J76" s="54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4" t="n"/>
      <c r="J77" s="54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4" t="n"/>
      <c r="J78" s="54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4" t="n"/>
      <c r="J79" s="54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4" t="n"/>
      <c r="J80" s="54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4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4" t="n"/>
      <c r="J82" s="54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4" t="n"/>
      <c r="J83" s="54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4" t="n"/>
      <c r="J84" s="54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4" t="n"/>
      <c r="J86" s="54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4" t="n"/>
      <c r="J87" s="54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4" t="n"/>
      <c r="J88" s="54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4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4" t="n"/>
      <c r="J90" s="54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4" t="n"/>
      <c r="J91" s="54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4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4" t="n"/>
      <c r="J94" s="54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4" t="n"/>
      <c r="J95" s="54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4" t="n"/>
      <c r="J96" s="54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4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4" t="n"/>
      <c r="J98" s="54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4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4" t="n"/>
      <c r="J100" s="54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4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4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4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4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4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4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4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4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4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4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4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4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4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4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4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4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4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4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4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4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4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4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4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4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4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4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4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4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4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4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4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4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4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4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4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4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4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4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4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4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4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4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4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4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4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4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4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4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4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4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4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4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4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4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4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4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4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4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4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4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4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4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4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4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4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4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4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4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4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4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4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4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4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4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4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4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4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4" t="n"/>
      <c r="J201" s="54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4" t="n"/>
      <c r="J202" s="54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4" t="n"/>
      <c r="J203" s="54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4" t="n"/>
      <c r="J204" s="54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4" t="n"/>
      <c r="J206" s="54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4" t="n"/>
      <c r="J207" s="54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4" t="n"/>
      <c r="J208" s="54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2" t="n"/>
      <c r="L231" s="52" t="n"/>
      <c r="M231" s="52" t="n"/>
      <c r="N231" s="52" t="n"/>
      <c r="O231" s="52" t="n"/>
      <c r="P231" s="52" t="n"/>
      <c r="Q231" s="52" t="n"/>
      <c r="R231" s="52" t="n"/>
      <c r="S231" s="52" t="n"/>
      <c r="T231" s="52" t="n"/>
      <c r="U231" s="52" t="n"/>
      <c r="V231" s="52" t="n"/>
      <c r="W231" s="52" t="n"/>
      <c r="X231" s="52" t="n"/>
      <c r="Y231" s="52" t="n"/>
      <c r="Z231" s="52" t="n"/>
    </row>
    <row r="232" ht="15.75" customHeight="1" s="153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2" t="n"/>
      <c r="L232" s="52" t="n"/>
      <c r="M232" s="52" t="n"/>
      <c r="N232" s="52" t="n"/>
      <c r="O232" s="52" t="n"/>
      <c r="P232" s="52" t="n"/>
      <c r="Q232" s="52" t="n"/>
      <c r="R232" s="52" t="n"/>
      <c r="S232" s="52" t="n"/>
      <c r="T232" s="52" t="n"/>
      <c r="U232" s="52" t="n"/>
      <c r="V232" s="52" t="n"/>
      <c r="W232" s="52" t="n"/>
      <c r="X232" s="52" t="n"/>
      <c r="Y232" s="52" t="n"/>
      <c r="Z232" s="52" t="n"/>
    </row>
    <row r="233" ht="15.75" customHeight="1" s="153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2" t="n"/>
      <c r="L233" s="52" t="n"/>
      <c r="M233" s="52" t="n"/>
      <c r="N233" s="52" t="n"/>
      <c r="O233" s="52" t="n"/>
      <c r="P233" s="52" t="n"/>
      <c r="Q233" s="52" t="n"/>
      <c r="R233" s="52" t="n"/>
      <c r="S233" s="52" t="n"/>
      <c r="T233" s="52" t="n"/>
      <c r="U233" s="52" t="n"/>
      <c r="V233" s="52" t="n"/>
      <c r="W233" s="52" t="n"/>
      <c r="X233" s="52" t="n"/>
      <c r="Y233" s="52" t="n"/>
      <c r="Z233" s="52" t="n"/>
    </row>
    <row r="234" ht="15.75" customHeight="1" s="153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2" t="n"/>
      <c r="L234" s="52" t="n"/>
      <c r="M234" s="52" t="n"/>
      <c r="N234" s="52" t="n"/>
      <c r="O234" s="52" t="n"/>
      <c r="P234" s="52" t="n"/>
      <c r="Q234" s="52" t="n"/>
      <c r="R234" s="52" t="n"/>
      <c r="S234" s="52" t="n"/>
      <c r="T234" s="52" t="n"/>
      <c r="U234" s="52" t="n"/>
      <c r="V234" s="52" t="n"/>
      <c r="W234" s="52" t="n"/>
      <c r="X234" s="52" t="n"/>
      <c r="Y234" s="52" t="n"/>
      <c r="Z234" s="52" t="n"/>
    </row>
    <row r="235" ht="15.75" customHeight="1" s="153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2" t="n"/>
      <c r="L235" s="52" t="n"/>
      <c r="M235" s="52" t="n"/>
      <c r="N235" s="52" t="n"/>
      <c r="O235" s="52" t="n"/>
      <c r="P235" s="52" t="n"/>
      <c r="Q235" s="52" t="n"/>
      <c r="R235" s="52" t="n"/>
      <c r="S235" s="52" t="n"/>
      <c r="T235" s="52" t="n"/>
      <c r="U235" s="52" t="n"/>
      <c r="V235" s="52" t="n"/>
      <c r="W235" s="52" t="n"/>
      <c r="X235" s="52" t="n"/>
      <c r="Y235" s="52" t="n"/>
      <c r="Z235" s="52" t="n"/>
    </row>
    <row r="236" ht="15.75" customHeight="1" s="153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2" t="n"/>
      <c r="L236" s="52" t="n"/>
      <c r="M236" s="52" t="n"/>
      <c r="N236" s="52" t="n"/>
      <c r="O236" s="52" t="n"/>
      <c r="P236" s="52" t="n"/>
      <c r="Q236" s="52" t="n"/>
      <c r="R236" s="52" t="n"/>
      <c r="S236" s="52" t="n"/>
      <c r="T236" s="52" t="n"/>
      <c r="U236" s="52" t="n"/>
      <c r="V236" s="52" t="n"/>
      <c r="W236" s="52" t="n"/>
      <c r="X236" s="52" t="n"/>
      <c r="Y236" s="52" t="n"/>
      <c r="Z236" s="52" t="n"/>
    </row>
    <row r="237" ht="15.75" customHeight="1" s="153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2" t="n"/>
      <c r="L237" s="52" t="n"/>
      <c r="M237" s="52" t="n"/>
      <c r="N237" s="52" t="n"/>
      <c r="O237" s="52" t="n"/>
      <c r="P237" s="52" t="n"/>
      <c r="Q237" s="52" t="n"/>
      <c r="R237" s="52" t="n"/>
      <c r="S237" s="52" t="n"/>
      <c r="T237" s="52" t="n"/>
      <c r="U237" s="52" t="n"/>
      <c r="V237" s="52" t="n"/>
      <c r="W237" s="52" t="n"/>
      <c r="X237" s="52" t="n"/>
      <c r="Y237" s="52" t="n"/>
      <c r="Z237" s="52" t="n"/>
    </row>
    <row r="238" ht="15.75" customHeight="1" s="153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2" t="n"/>
      <c r="L238" s="52" t="n"/>
      <c r="M238" s="52" t="n"/>
      <c r="N238" s="52" t="n"/>
      <c r="O238" s="52" t="n"/>
      <c r="P238" s="52" t="n"/>
      <c r="Q238" s="52" t="n"/>
      <c r="R238" s="52" t="n"/>
      <c r="S238" s="52" t="n"/>
      <c r="T238" s="52" t="n"/>
      <c r="U238" s="52" t="n"/>
      <c r="V238" s="52" t="n"/>
      <c r="W238" s="52" t="n"/>
      <c r="X238" s="52" t="n"/>
      <c r="Y238" s="52" t="n"/>
      <c r="Z238" s="52" t="n"/>
    </row>
    <row r="239" ht="15.75" customHeight="1" s="153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2" t="n"/>
      <c r="L239" s="52" t="n"/>
      <c r="M239" s="52" t="n"/>
      <c r="N239" s="52" t="n"/>
      <c r="O239" s="52" t="n"/>
      <c r="P239" s="52" t="n"/>
      <c r="Q239" s="52" t="n"/>
      <c r="R239" s="52" t="n"/>
      <c r="S239" s="52" t="n"/>
      <c r="T239" s="52" t="n"/>
      <c r="U239" s="52" t="n"/>
      <c r="V239" s="52" t="n"/>
      <c r="W239" s="52" t="n"/>
      <c r="X239" s="52" t="n"/>
      <c r="Y239" s="52" t="n"/>
      <c r="Z239" s="52" t="n"/>
    </row>
    <row r="240" ht="15.75" customHeight="1" s="153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2" t="n"/>
      <c r="L240" s="52" t="n"/>
      <c r="M240" s="52" t="n"/>
      <c r="N240" s="52" t="n"/>
      <c r="O240" s="52" t="n"/>
      <c r="P240" s="52" t="n"/>
      <c r="Q240" s="52" t="n"/>
      <c r="R240" s="52" t="n"/>
      <c r="S240" s="52" t="n"/>
      <c r="T240" s="52" t="n"/>
      <c r="U240" s="52" t="n"/>
      <c r="V240" s="52" t="n"/>
      <c r="W240" s="52" t="n"/>
      <c r="X240" s="52" t="n"/>
      <c r="Y240" s="52" t="n"/>
      <c r="Z240" s="52" t="n"/>
    </row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11">
    <mergeCell ref="A1:J1"/>
    <mergeCell ref="G23:J23"/>
    <mergeCell ref="G26:J26"/>
    <mergeCell ref="G28:J28"/>
    <mergeCell ref="G4:J5"/>
    <mergeCell ref="G24:J24"/>
    <mergeCell ref="A2:J2"/>
    <mergeCell ref="G25:J25"/>
    <mergeCell ref="G27:J27"/>
    <mergeCell ref="A22:E22"/>
    <mergeCell ref="A11:J11"/>
  </mergeCells>
  <conditionalFormatting sqref="D24:D4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53" min="1" max="1"/>
    <col width="58" customWidth="1" style="153" min="2" max="2"/>
    <col width="22" customWidth="1" style="153" min="3" max="3"/>
    <col width="12" customWidth="1" style="153" min="4" max="4"/>
    <col width="8.710000000000001" customWidth="1" style="153" min="5" max="6"/>
  </cols>
  <sheetData>
    <row r="1" ht="15" customHeight="1" s="153">
      <c r="A1" s="39" t="inlineStr">
        <is>
          <t>LIVE STATE — auto-polled from /live_state.json</t>
        </is>
      </c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4" t="n"/>
      <c r="B2" s="54" t="n"/>
      <c r="C2" s="54" t="n"/>
      <c r="D2" s="54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 ht="15" customHeight="1" s="153">
      <c r="A3" s="54" t="inlineStr">
        <is>
          <t>Source URL</t>
        </is>
      </c>
      <c r="B3" s="41" t="inlineStr">
        <is>
          <t>https://wc26-matchday-intelligence.vercel.app/live_state.json</t>
        </is>
      </c>
      <c r="C3" s="54" t="n"/>
      <c r="D3" s="54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15" customHeight="1" s="153">
      <c r="A4" s="54" t="inlineStr">
        <is>
          <t>Predictions URL</t>
        </is>
      </c>
      <c r="B4" s="41" t="inlineStr">
        <is>
          <t>https://wc26-matchday-intelligence.vercel.app/predictions_live.json</t>
        </is>
      </c>
      <c r="C4" s="54" t="n"/>
      <c r="D4" s="54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4" t="inlineStr">
        <is>
          <t>Intel URL</t>
        </is>
      </c>
      <c r="B5" s="54" t="inlineStr">
        <is>
          <t>https://wc26-matchday-intelligence.vercel.app/matchday_intelligence.json</t>
        </is>
      </c>
      <c r="C5" s="54" t="n"/>
      <c r="D5" s="54" t="n"/>
      <c r="E5" s="52" t="n"/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 ht="15" customHeight="1" s="153">
      <c r="A6" s="8" t="inlineStr">
        <is>
          <t>Field</t>
        </is>
      </c>
      <c r="B6" s="8" t="inlineStr">
        <is>
          <t>Value</t>
        </is>
      </c>
      <c r="C6" s="8" t="inlineStr">
        <is>
          <t>Mirrors to Method</t>
        </is>
      </c>
      <c r="D6" s="54" t="n"/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42" t="inlineStr">
        <is>
          <t>Last poll (UTC)</t>
        </is>
      </c>
      <c r="B7" s="43" t="n">
        <v>46206.42980946759</v>
      </c>
      <c r="C7" s="44" t="inlineStr">
        <is>
          <t>B58</t>
        </is>
      </c>
      <c r="D7" s="54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5" customHeight="1" s="153">
      <c r="A8" s="42" t="inlineStr">
        <is>
          <t>Mode</t>
        </is>
      </c>
      <c r="B8" s="47" t="inlineStr">
        <is>
          <t>live</t>
        </is>
      </c>
      <c r="C8" s="44" t="inlineStr">
        <is>
          <t>B59</t>
        </is>
      </c>
      <c r="D8" s="54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42" t="inlineStr">
        <is>
          <t>Completed matches</t>
        </is>
      </c>
      <c r="B9" s="47" t="n">
        <v>85</v>
      </c>
      <c r="C9" s="44" t="inlineStr">
        <is>
          <t>B60</t>
        </is>
      </c>
      <c r="D9" s="54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 ht="15" customHeight="1" s="153">
      <c r="A10" s="42" t="inlineStr">
        <is>
          <t>Provider mode</t>
        </is>
      </c>
      <c r="B10" s="47" t="inlineStr">
        <is>
          <t>active</t>
        </is>
      </c>
      <c r="C10" s="44" t="inlineStr">
        <is>
          <t>B61</t>
        </is>
      </c>
      <c r="D10" s="54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 ht="15" customHeight="1" s="153">
      <c r="A11" s="42" t="inlineStr">
        <is>
          <t>Warnings (joined)</t>
        </is>
      </c>
      <c r="B11" s="47" t="inlineStr">
        <is>
          <t>Circuit breaker tripped after 3 consecutive failures. Manual intervention required: reset by deleting /home/runner/work/wc26-matchday-intelligence/wc26-matchday-intelligence/data/live/circuit_breaker_state.json.</t>
        </is>
      </c>
      <c r="C11" s="44" t="inlineStr">
        <is>
          <t>B62</t>
        </is>
      </c>
      <c r="D11" s="54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42" t="inlineStr">
        <is>
          <t>Source</t>
        </is>
      </c>
      <c r="B12" s="47" t="inlineStr">
        <is>
          <t>api_football</t>
        </is>
      </c>
      <c r="C12" s="44" t="n"/>
      <c r="D12" s="54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42" t="inlineStr">
        <is>
          <t>Last model refresh (UTC)</t>
        </is>
      </c>
      <c r="B13" s="47" t="n"/>
      <c r="C13" s="44" t="inlineStr">
        <is>
          <t>B57</t>
        </is>
      </c>
      <c r="D13" s="54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42" t="inlineStr">
        <is>
          <t>Simulation rerun this tick</t>
        </is>
      </c>
      <c r="B14" s="47" t="b">
        <v>0</v>
      </c>
      <c r="C14" s="44" t="n"/>
      <c r="D14" s="54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42" t="inlineStr">
        <is>
          <t>live_state last_updated_utc</t>
        </is>
      </c>
      <c r="B15" s="47" t="inlineStr">
        <is>
          <t>2026-07-03T17:11:05.316451+00:00</t>
        </is>
      </c>
      <c r="C15" s="44" t="n"/>
      <c r="D15" s="54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4" t="n"/>
      <c r="B16" s="54" t="n"/>
      <c r="C16" s="54" t="n"/>
      <c r="D16" s="54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 ht="27.75" customHeight="1" s="153">
      <c r="A17" s="8" t="inlineStr">
        <is>
          <t>STATUS</t>
        </is>
      </c>
      <c r="B17" s="48">
        <f>IF(B7="","⚠ Apps Script not run yet — open Extensions ▸ Apps Script ▸ run installEngine()","✓ live polling active · last poll "&amp;TEXT(B7,"yyyy-mm-dd hh:mm"))</f>
        <v/>
      </c>
      <c r="C17" s="54" t="n"/>
      <c r="D17" s="54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8" t="inlineStr">
        <is>
          <t>— MATCHDAY INTELLIGENCE (auto) —</t>
        </is>
      </c>
      <c r="B18" s="54" t="n"/>
      <c r="C18" s="54" t="n"/>
      <c r="D18" s="54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 ht="15" customHeight="1" s="153">
      <c r="A19" s="49" t="inlineStr">
        <is>
          <t>Intel generated at (UTC)</t>
        </is>
      </c>
      <c r="B19" s="52" t="inlineStr">
        <is>
          <t>2026-07-03T16:21:14.382847+00:00</t>
        </is>
      </c>
      <c r="C19" s="77" t="inlineStr">
        <is>
          <t>mirrors to Method!B67</t>
        </is>
      </c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15" customHeight="1" s="153">
      <c r="A20" s="77" t="inlineStr">
        <is>
          <t>Intel total components</t>
        </is>
      </c>
      <c r="B20" s="52" t="n">
        <v>214</v>
      </c>
      <c r="C20" s="77" t="inlineStr">
        <is>
          <t>B68</t>
        </is>
      </c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" customHeight="1" s="153">
      <c r="A21" s="77" t="inlineStr">
        <is>
          <t>Intel teams affected</t>
        </is>
      </c>
      <c r="B21" s="52" t="n">
        <v>48</v>
      </c>
      <c r="C21" s="77" t="inlineStr">
        <is>
          <t>B69</t>
        </is>
      </c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" customHeight="1" s="153">
      <c r="A22" s="77" t="inlineStr">
        <is>
          <t>Intel matches affected</t>
        </is>
      </c>
      <c r="B22" s="52" t="n">
        <v>21</v>
      </c>
      <c r="C22" s="77" t="inlineStr">
        <is>
          <t>B70</t>
        </is>
      </c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.75" customHeight="1" s="153">
      <c r="A23" s="54" t="inlineStr">
        <is>
          <t>Intel aggregate caps hit</t>
        </is>
      </c>
      <c r="B23" s="54" t="n">
        <v>2</v>
      </c>
      <c r="C23" s="54" t="inlineStr">
        <is>
          <t>B71</t>
        </is>
      </c>
      <c r="D23" s="54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.75" customHeight="1" s="153">
      <c r="A24" s="54" t="inlineStr">
        <is>
          <t>Intel warnings</t>
        </is>
      </c>
      <c r="B24" s="54" t="n"/>
      <c r="C24" s="54" t="n"/>
      <c r="D24" s="54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.75" customHeight="1" s="153">
      <c r="A25" s="54" t="inlineStr">
        <is>
          <t>Matches in play right now</t>
        </is>
      </c>
      <c r="B25" s="54" t="n">
        <v>0</v>
      </c>
      <c r="C25" s="54" t="inlineStr">
        <is>
          <t>see In-Play sheet</t>
        </is>
      </c>
      <c r="D25" s="54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.75" customHeight="1" s="153">
      <c r="A26" s="54" t="inlineStr">
        <is>
          <t>Stale-feed warning</t>
        </is>
      </c>
      <c r="B26" s="54" t="inlineStr">
        <is>
          <t>⚠ circuit-breaker tripped upstream — model paused</t>
        </is>
      </c>
      <c r="C26" s="54" t="inlineStr">
        <is>
          <t>&gt;15 min trips PAUSE</t>
        </is>
      </c>
      <c r="D26" s="54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.75" customHeight="1" s="153">
      <c r="A27" s="54" t="n"/>
      <c r="B27" s="54" t="inlineStr">
        <is>
          <t>⚠ calibration OOB (clamp to last bin): home=1/72 draw=6/72 away=2/72 · 32 knockout row(s) skipped</t>
        </is>
      </c>
      <c r="C27" s="54" t="n"/>
      <c r="D27" s="54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.75" customHeight="1" s="153">
      <c r="A28" s="55" t="inlineStr">
        <is>
          <t>Endpoints — clear B3/B4/B5 to revert to v2.3 defaults.</t>
        </is>
      </c>
      <c r="B28" s="54" t="n"/>
      <c r="C28" s="54" t="n"/>
      <c r="D28" s="54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.75" customHeight="1" s="153">
      <c r="A29" s="54" t="n"/>
      <c r="B29" s="54" t="n"/>
      <c r="C29" s="54" t="n"/>
      <c r="D29" s="54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.75" customHeight="1" s="153">
      <c r="A30" s="54" t="inlineStr">
        <is>
          <t>This sheet is read-only output from the Apps Script poller. If the values stay blank, open Extensions ▸ Apps Script and run installEngine() once. The script then refreshes model probabilities into Bets!I:K (skipping any row already flagged as Placed=Y) and writes a snapshot of /live_state.json here every 5 minutes.</t>
        </is>
      </c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.75" customHeight="1" s="153"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.75" customHeight="1" s="153">
      <c r="A32" s="54" t="n"/>
      <c r="B32" s="54" t="n"/>
      <c r="C32" s="54" t="n"/>
      <c r="D32" s="54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.75" customHeight="1" s="153">
      <c r="A33" s="54" t="n"/>
      <c r="B33" s="54" t="n"/>
      <c r="C33" s="54" t="n"/>
      <c r="D33" s="54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.75" customHeight="1" s="153">
      <c r="A34" s="54" t="n"/>
      <c r="B34" s="54" t="n"/>
      <c r="C34" s="54" t="n"/>
      <c r="D34" s="54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.75" customHeight="1" s="153">
      <c r="A35" s="54" t="n"/>
      <c r="B35" s="54" t="n"/>
      <c r="C35" s="54" t="n"/>
      <c r="D35" s="54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.75" customHeight="1" s="153">
      <c r="A36" s="54" t="n"/>
      <c r="B36" s="54" t="n"/>
      <c r="C36" s="54" t="n"/>
      <c r="D36" s="54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.75" customHeight="1" s="153">
      <c r="A37" s="54" t="n"/>
      <c r="B37" s="54" t="n"/>
      <c r="C37" s="54" t="n"/>
      <c r="D37" s="54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.75" customHeight="1" s="153">
      <c r="A38" s="54" t="n"/>
      <c r="B38" s="54" t="n"/>
      <c r="C38" s="54" t="n"/>
      <c r="D38" s="54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.75" customHeight="1" s="153">
      <c r="A39" s="54" t="n"/>
      <c r="B39" s="54" t="n"/>
      <c r="C39" s="54" t="n"/>
      <c r="D39" s="54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.75" customHeight="1" s="153">
      <c r="A40" s="54" t="n"/>
      <c r="B40" s="54" t="n"/>
      <c r="C40" s="54" t="n"/>
      <c r="D40" s="54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.75" customHeight="1" s="153">
      <c r="A41" s="54" t="n"/>
      <c r="B41" s="54" t="n"/>
      <c r="C41" s="54" t="n"/>
      <c r="D41" s="54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.75" customHeight="1" s="153">
      <c r="A42" s="54" t="n"/>
      <c r="B42" s="54" t="n"/>
      <c r="C42" s="54" t="n"/>
      <c r="D42" s="54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.75" customHeight="1" s="153">
      <c r="A43" s="54" t="n"/>
      <c r="B43" s="54" t="n"/>
      <c r="C43" s="54" t="n"/>
      <c r="D43" s="54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4" t="n"/>
      <c r="C44" s="54" t="n"/>
      <c r="D44" s="54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.75" customHeight="1" s="153">
      <c r="A45" s="54" t="n"/>
      <c r="B45" s="54" t="n"/>
      <c r="C45" s="54" t="n"/>
      <c r="D45" s="54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.75" customHeight="1" s="153">
      <c r="A46" s="54" t="n"/>
      <c r="B46" s="54" t="n"/>
      <c r="C46" s="54" t="n"/>
      <c r="D46" s="54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.75" customHeight="1" s="153">
      <c r="A47" s="54" t="n"/>
      <c r="B47" s="54" t="n"/>
      <c r="C47" s="54" t="n"/>
      <c r="D47" s="54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.75" customHeight="1" s="153">
      <c r="A48" s="54" t="n"/>
      <c r="B48" s="54" t="n"/>
      <c r="C48" s="54" t="n"/>
      <c r="D48" s="54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.75" customHeight="1" s="153">
      <c r="A49" s="54" t="n"/>
      <c r="B49" s="54" t="n"/>
      <c r="C49" s="54" t="n"/>
      <c r="D49" s="54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.75" customHeight="1" s="153">
      <c r="A50" s="54" t="n"/>
      <c r="B50" s="54" t="n"/>
      <c r="C50" s="54" t="n"/>
      <c r="D50" s="54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.75" customHeight="1" s="153">
      <c r="A51" s="54" t="n"/>
      <c r="B51" s="54" t="n"/>
      <c r="C51" s="54" t="n"/>
      <c r="D51" s="54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.75" customHeight="1" s="153">
      <c r="A52" s="54" t="n"/>
      <c r="B52" s="54" t="n"/>
      <c r="C52" s="54" t="n"/>
      <c r="D52" s="54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.75" customHeight="1" s="153">
      <c r="A53" s="54" t="n"/>
      <c r="B53" s="54" t="n"/>
      <c r="C53" s="54" t="n"/>
      <c r="D53" s="54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.75" customHeight="1" s="153">
      <c r="A54" s="54" t="n"/>
      <c r="B54" s="54" t="n"/>
      <c r="C54" s="54" t="n"/>
      <c r="D54" s="54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.75" customHeight="1" s="153">
      <c r="A55" s="54" t="n"/>
      <c r="B55" s="54" t="n"/>
      <c r="C55" s="54" t="n"/>
      <c r="D55" s="54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.75" customHeight="1" s="153">
      <c r="A56" s="54" t="n"/>
      <c r="B56" s="54" t="n"/>
      <c r="C56" s="54" t="n"/>
      <c r="D56" s="54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.75" customHeight="1" s="153">
      <c r="A57" s="54" t="n"/>
      <c r="B57" s="54" t="n"/>
      <c r="C57" s="54" t="n"/>
      <c r="D57" s="54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.75" customHeight="1" s="153">
      <c r="A58" s="54" t="n"/>
      <c r="B58" s="54" t="n"/>
      <c r="C58" s="54" t="n"/>
      <c r="D58" s="54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.75" customHeight="1" s="153">
      <c r="A59" s="54" t="n"/>
      <c r="B59" s="54" t="n"/>
      <c r="C59" s="54" t="n"/>
      <c r="D59" s="54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.75" customHeight="1" s="153">
      <c r="A60" s="54" t="n"/>
      <c r="B60" s="54" t="n"/>
      <c r="C60" s="54" t="n"/>
      <c r="D60" s="54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.75" customHeight="1" s="153">
      <c r="A61" s="54" t="n"/>
      <c r="B61" s="54" t="n"/>
      <c r="C61" s="54" t="n"/>
      <c r="D61" s="54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.75" customHeight="1" s="153">
      <c r="A62" s="54" t="n"/>
      <c r="B62" s="54" t="n"/>
      <c r="C62" s="54" t="n"/>
      <c r="D62" s="54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.75" customHeight="1" s="153">
      <c r="A63" s="54" t="n"/>
      <c r="B63" s="54" t="n"/>
      <c r="C63" s="54" t="n"/>
      <c r="D63" s="54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.75" customHeight="1" s="153">
      <c r="A64" s="54" t="n"/>
      <c r="B64" s="54" t="n"/>
      <c r="C64" s="54" t="n"/>
      <c r="D64" s="54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.75" customHeight="1" s="153">
      <c r="A65" s="54" t="n"/>
      <c r="B65" s="54" t="n"/>
      <c r="C65" s="54" t="n"/>
      <c r="D65" s="54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54" t="n"/>
      <c r="B66" s="54" t="n"/>
      <c r="C66" s="54" t="n"/>
      <c r="D66" s="54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n"/>
      <c r="B67" s="54" t="n"/>
      <c r="C67" s="54" t="n"/>
      <c r="D67" s="54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n"/>
      <c r="B68" s="54" t="n"/>
      <c r="C68" s="54" t="n"/>
      <c r="D68" s="54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n"/>
      <c r="B69" s="54" t="n"/>
      <c r="C69" s="54" t="n"/>
      <c r="D69" s="54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n"/>
      <c r="B70" s="54" t="n"/>
      <c r="C70" s="54" t="n"/>
      <c r="D70" s="54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n"/>
      <c r="B71" s="54" t="n"/>
      <c r="C71" s="54" t="n"/>
      <c r="D71" s="54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n"/>
      <c r="B72" s="54" t="n"/>
      <c r="C72" s="54" t="n"/>
      <c r="D72" s="54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n"/>
      <c r="B73" s="54" t="n"/>
      <c r="C73" s="54" t="n"/>
      <c r="D73" s="54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n"/>
      <c r="B74" s="54" t="n"/>
      <c r="C74" s="54" t="n"/>
      <c r="D74" s="54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n"/>
      <c r="B75" s="54" t="n"/>
      <c r="C75" s="54" t="n"/>
      <c r="D75" s="54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n"/>
      <c r="B76" s="54" t="n"/>
      <c r="C76" s="54" t="n"/>
      <c r="D76" s="54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n"/>
      <c r="B77" s="54" t="n"/>
      <c r="C77" s="54" t="n"/>
      <c r="D77" s="54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n"/>
      <c r="B78" s="54" t="n"/>
      <c r="C78" s="54" t="n"/>
      <c r="D78" s="54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n"/>
      <c r="B79" s="54" t="n"/>
      <c r="C79" s="54" t="n"/>
      <c r="D79" s="54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4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4" t="n"/>
      <c r="C81" s="54" t="n"/>
      <c r="D81" s="54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n"/>
      <c r="C82" s="54" t="n"/>
      <c r="D82" s="54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n"/>
      <c r="C83" s="54" t="n"/>
      <c r="D83" s="54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n"/>
      <c r="C84" s="54" t="n"/>
      <c r="D84" s="54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n"/>
      <c r="C85" s="54" t="n"/>
      <c r="D85" s="54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n"/>
      <c r="C86" s="54" t="n"/>
      <c r="D86" s="54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4" t="n"/>
      <c r="C87" s="54" t="n"/>
      <c r="D87" s="54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4" t="n"/>
      <c r="C88" s="54" t="n"/>
      <c r="D88" s="54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4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4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4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4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4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4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4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4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4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4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4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4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4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4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4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4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4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4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4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2" t="n"/>
      <c r="F207" s="52" t="n"/>
      <c r="G207" s="52" t="n"/>
      <c r="H207" s="52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2" t="n"/>
      <c r="F208" s="52" t="n"/>
      <c r="G208" s="52" t="n"/>
      <c r="H208" s="52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2" t="n"/>
      <c r="F209" s="52" t="n"/>
      <c r="G209" s="52" t="n"/>
      <c r="H209" s="52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2" t="n"/>
      <c r="F210" s="52" t="n"/>
      <c r="G210" s="52" t="n"/>
      <c r="H210" s="52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2" t="n"/>
      <c r="F211" s="52" t="n"/>
      <c r="G211" s="52" t="n"/>
      <c r="H211" s="52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2" t="n"/>
      <c r="F212" s="52" t="n"/>
      <c r="G212" s="52" t="n"/>
      <c r="H212" s="52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2" t="n"/>
      <c r="F213" s="52" t="n"/>
      <c r="G213" s="52" t="n"/>
      <c r="H213" s="52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2" t="n"/>
      <c r="F214" s="52" t="n"/>
      <c r="G214" s="52" t="n"/>
      <c r="H214" s="52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2" t="n"/>
      <c r="F215" s="52" t="n"/>
      <c r="G215" s="52" t="n"/>
      <c r="H215" s="52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2" t="n"/>
      <c r="F216" s="52" t="n"/>
      <c r="G216" s="52" t="n"/>
      <c r="H216" s="52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2" t="n"/>
      <c r="F218" s="52" t="n"/>
      <c r="G218" s="52" t="n"/>
      <c r="H218" s="52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2" t="n"/>
      <c r="F219" s="52" t="n"/>
      <c r="G219" s="52" t="n"/>
      <c r="H219" s="52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2" t="n"/>
      <c r="F220" s="52" t="n"/>
      <c r="G220" s="52" t="n"/>
      <c r="H220" s="52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4" t="n"/>
      <c r="E221" s="52" t="n"/>
      <c r="F221" s="52" t="n"/>
      <c r="G221" s="52" t="n"/>
      <c r="H221" s="52" t="n"/>
      <c r="I221" s="52" t="n"/>
      <c r="J221" s="52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4" t="n"/>
      <c r="E222" s="52" t="n"/>
      <c r="F222" s="52" t="n"/>
      <c r="G222" s="52" t="n"/>
      <c r="H222" s="52" t="n"/>
      <c r="I222" s="52" t="n"/>
      <c r="J222" s="52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4" t="n"/>
      <c r="E223" s="52" t="n"/>
      <c r="F223" s="52" t="n"/>
      <c r="G223" s="52" t="n"/>
      <c r="H223" s="52" t="n"/>
      <c r="I223" s="52" t="n"/>
      <c r="J223" s="52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4" t="n"/>
      <c r="E224" s="52" t="n"/>
      <c r="F224" s="52" t="n"/>
      <c r="G224" s="52" t="n"/>
      <c r="H224" s="52" t="n"/>
      <c r="I224" s="52" t="n"/>
      <c r="J224" s="52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4" t="n"/>
      <c r="E225" s="52" t="n"/>
      <c r="F225" s="52" t="n"/>
      <c r="G225" s="52" t="n"/>
      <c r="H225" s="52" t="n"/>
      <c r="I225" s="52" t="n"/>
      <c r="J225" s="52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4" t="n"/>
      <c r="E226" s="52" t="n"/>
      <c r="F226" s="52" t="n"/>
      <c r="G226" s="52" t="n"/>
      <c r="H226" s="52" t="n"/>
      <c r="I226" s="52" t="n"/>
      <c r="J226" s="52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4" t="n"/>
      <c r="E227" s="52" t="n"/>
      <c r="F227" s="52" t="n"/>
      <c r="G227" s="52" t="n"/>
      <c r="H227" s="52" t="n"/>
      <c r="I227" s="52" t="n"/>
      <c r="J227" s="52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4" t="n"/>
      <c r="E228" s="52" t="n"/>
      <c r="F228" s="52" t="n"/>
      <c r="G228" s="52" t="n"/>
      <c r="H228" s="52" t="n"/>
      <c r="I228" s="52" t="n"/>
      <c r="J228" s="52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4" t="n"/>
      <c r="E229" s="52" t="n"/>
      <c r="F229" s="52" t="n"/>
      <c r="G229" s="52" t="n"/>
      <c r="H229" s="52" t="n"/>
      <c r="I229" s="52" t="n"/>
      <c r="J229" s="52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4" t="n"/>
      <c r="E230" s="52" t="n"/>
      <c r="F230" s="52" t="n"/>
      <c r="G230" s="52" t="n"/>
      <c r="H230" s="52" t="n"/>
      <c r="I230" s="52" t="n"/>
      <c r="J230" s="52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/>
    <row r="232" ht="15.75" customHeight="1" s="153"/>
    <row r="233" ht="15.75" customHeight="1" s="153"/>
    <row r="234" ht="15.75" customHeight="1" s="153"/>
    <row r="235" ht="15.75" customHeight="1" s="153"/>
    <row r="236" ht="15.75" customHeight="1" s="153"/>
    <row r="237" ht="15.75" customHeight="1" s="153"/>
    <row r="238" ht="15.75" customHeight="1" s="153"/>
    <row r="239" ht="15.75" customHeight="1" s="153"/>
    <row r="240" ht="15.75" customHeight="1" s="153"/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2">
    <mergeCell ref="A1:D1"/>
    <mergeCell ref="A30:D3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I273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baseColWidth="8" defaultColWidth="14.43" defaultRowHeight="15" customHeight="1"/>
  <cols>
    <col width="5" customWidth="1" style="153" min="1" max="1"/>
    <col width="9" customWidth="1" style="153" min="2" max="2"/>
    <col width="5" customWidth="1" style="153" min="3" max="3"/>
    <col width="22" customWidth="1" style="153" min="4" max="5"/>
    <col width="15" customWidth="1" style="153" min="6" max="6"/>
    <col width="9" customWidth="1" style="153" min="7" max="11"/>
    <col width="8" customWidth="1" style="153" min="12" max="14"/>
    <col hidden="1" outlineLevel="1" width="8" customWidth="1" style="153" min="15" max="29"/>
    <col width="24" customWidth="1" style="153" min="30" max="30"/>
    <col width="7" customWidth="1" style="153" min="31" max="31"/>
    <col width="8" customWidth="1" style="153" min="32" max="33"/>
    <col width="13" customWidth="1" style="153" min="34" max="34"/>
    <col width="12" customWidth="1" style="153" min="35" max="36"/>
    <col hidden="1" outlineLevel="1" width="8" customWidth="1" style="153" min="37" max="39"/>
    <col width="8" customWidth="1" style="153" min="40" max="40"/>
    <col width="10" customWidth="1" style="153" min="41" max="41"/>
    <col width="8" customWidth="1" style="153" min="42" max="43"/>
    <col width="9" customWidth="1" style="153" min="44" max="45"/>
    <col width="36" customWidth="1" style="153" min="46" max="46"/>
    <col width="30" customWidth="1" style="153" min="47" max="47"/>
    <col width="8" customWidth="1" style="153" min="48" max="48"/>
    <col width="9" customWidth="1" style="153" min="49" max="53"/>
  </cols>
  <sheetData>
    <row r="1" ht="15" customHeight="1" s="153">
      <c r="A1" s="27" t="inlineStr">
        <is>
          <t>#</t>
        </is>
      </c>
      <c r="B1" s="27" t="inlineStr">
        <is>
          <t>Date</t>
        </is>
      </c>
      <c r="C1" s="27" t="inlineStr">
        <is>
          <t>Grp</t>
        </is>
      </c>
      <c r="D1" s="27" t="inlineStr">
        <is>
          <t>Home</t>
        </is>
      </c>
      <c r="E1" s="27" t="inlineStr">
        <is>
          <t>Away</t>
        </is>
      </c>
      <c r="F1" s="27" t="inlineStr">
        <is>
          <t>Venue</t>
        </is>
      </c>
      <c r="G1" s="27" t="inlineStr">
        <is>
          <t>KO local</t>
        </is>
      </c>
      <c r="H1" s="27" t="inlineStr">
        <is>
          <t>KO UK</t>
        </is>
      </c>
      <c r="I1" s="27" t="inlineStr">
        <is>
          <t>Model pH</t>
        </is>
      </c>
      <c r="J1" s="27" t="inlineStr">
        <is>
          <t>Model pD</t>
        </is>
      </c>
      <c r="K1" s="27" t="inlineStr">
        <is>
          <t>Model pA</t>
        </is>
      </c>
      <c r="L1" s="27" t="inlineStr">
        <is>
          <t>Odds H</t>
        </is>
      </c>
      <c r="M1" s="27" t="inlineStr">
        <is>
          <t>Odds D</t>
        </is>
      </c>
      <c r="N1" s="27" t="inlineStr">
        <is>
          <t>Odds A</t>
        </is>
      </c>
      <c r="O1" s="27" t="inlineStr">
        <is>
          <t>imp H</t>
        </is>
      </c>
      <c r="P1" s="27" t="inlineStr">
        <is>
          <t>imp D</t>
        </is>
      </c>
      <c r="Q1" s="27" t="inlineStr">
        <is>
          <t>imp A</t>
        </is>
      </c>
      <c r="R1" s="27" t="inlineStr">
        <is>
          <t>Overround</t>
        </is>
      </c>
      <c r="S1" s="27" t="inlineStr">
        <is>
          <t>mkt H</t>
        </is>
      </c>
      <c r="T1" s="27" t="inlineStr">
        <is>
          <t>mkt D</t>
        </is>
      </c>
      <c r="U1" s="27" t="inlineStr">
        <is>
          <t>mkt A</t>
        </is>
      </c>
      <c r="V1" s="27" t="inlineStr">
        <is>
          <t>blend H</t>
        </is>
      </c>
      <c r="W1" s="27" t="inlineStr">
        <is>
          <t>blend D</t>
        </is>
      </c>
      <c r="X1" s="27" t="inlineStr">
        <is>
          <t>blend A</t>
        </is>
      </c>
      <c r="Y1" s="27" t="inlineStr">
        <is>
          <t>EV H</t>
        </is>
      </c>
      <c r="Z1" s="27" t="inlineStr">
        <is>
          <t>EV D</t>
        </is>
      </c>
      <c r="AA1" s="27" t="inlineStr">
        <is>
          <t>EV A</t>
        </is>
      </c>
      <c r="AB1" s="27" t="inlineStr">
        <is>
          <t>pick#</t>
        </is>
      </c>
      <c r="AC1" s="27" t="inlineStr">
        <is>
          <t>code</t>
        </is>
      </c>
      <c r="AD1" s="27" t="inlineStr">
        <is>
          <t>PICK</t>
        </is>
      </c>
      <c r="AE1" s="27" t="inlineStr">
        <is>
          <t>Odds</t>
        </is>
      </c>
      <c r="AF1" s="27" t="inlineStr">
        <is>
          <t>EV %</t>
        </is>
      </c>
      <c r="AG1" s="27" t="inlineStr">
        <is>
          <t>Edge pp</t>
        </is>
      </c>
      <c r="AH1" s="27" t="inlineStr">
        <is>
          <t>DECISION</t>
        </is>
      </c>
      <c r="AI1" s="27" t="inlineStr">
        <is>
          <t>£ / £100 bank</t>
        </is>
      </c>
      <c r="AJ1" s="27" t="inlineStr">
        <is>
          <t>ENGINE STAKE £</t>
        </is>
      </c>
      <c r="AK1" s="27" t="inlineStr">
        <is>
          <t>p(blend)</t>
        </is>
      </c>
      <c r="AL1" s="27" t="inlineStr">
        <is>
          <t>Kelly f</t>
        </is>
      </c>
      <c r="AM1" s="27" t="inlineStr">
        <is>
          <t>rankkey</t>
        </is>
      </c>
      <c r="AN1" s="27" t="inlineStr">
        <is>
          <t>Placed?</t>
        </is>
      </c>
      <c r="AO1" s="27" t="inlineStr">
        <is>
          <t>Odds taken</t>
        </is>
      </c>
      <c r="AP1" s="27" t="inlineStr">
        <is>
          <t>Stake £</t>
        </is>
      </c>
      <c r="AQ1" s="27" t="inlineStr">
        <is>
          <t>Result</t>
        </is>
      </c>
      <c r="AR1" s="27" t="inlineStr">
        <is>
          <t>P&amp;L £</t>
        </is>
      </c>
      <c r="AS1" s="27" t="inlineStr">
        <is>
          <t>Cum P&amp;L</t>
        </is>
      </c>
      <c r="AT1" s="27" t="inlineStr">
        <is>
          <t>WHY (plain English)</t>
        </is>
      </c>
      <c r="AU1" s="27" t="inlineStr">
        <is>
          <t>STATUS</t>
        </is>
      </c>
      <c r="AV1" s="27" t="inlineStr">
        <is>
          <t>Backed</t>
        </is>
      </c>
      <c r="AW1" s="56" t="inlineStr">
        <is>
          <t>dec@bet</t>
        </is>
      </c>
      <c r="AX1" s="56" t="inlineStr">
        <is>
          <t>eng£@bet</t>
        </is>
      </c>
      <c r="AY1" s="56" t="inlineStr">
        <is>
          <t>pick@bet</t>
        </is>
      </c>
      <c r="AZ1" s="56" t="inlineStr">
        <is>
          <t>class</t>
        </is>
      </c>
      <c r="BA1" s="56" t="inlineStr">
        <is>
          <t>eng£ eff</t>
        </is>
      </c>
      <c r="BB1" s="57" t="inlineStr">
        <is>
          <t>intel Δ</t>
        </is>
      </c>
      <c r="BC1" s="57" t="inlineStr">
        <is>
          <t>pH (cal)</t>
        </is>
      </c>
      <c r="BD1" s="57" t="inlineStr">
        <is>
          <t>pD (cal)</t>
        </is>
      </c>
      <c r="BE1" s="57" t="inlineStr">
        <is>
          <t>pA (cal)</t>
        </is>
      </c>
      <c r="BF1" s="57" t="inlineStr">
        <is>
          <t>intel breakdown</t>
        </is>
      </c>
      <c r="BG1" s="57" t="inlineStr">
        <is>
          <t>altitude m</t>
        </is>
      </c>
      <c r="BH1" s="57" t="inlineStr">
        <is>
          <t>climate</t>
        </is>
      </c>
      <c r="BI1" s="57" t="inlineStr">
        <is>
          <t>home travel km</t>
        </is>
      </c>
    </row>
    <row r="2" ht="15" customHeight="1" s="153">
      <c r="A2" s="59" t="n">
        <v>1</v>
      </c>
      <c r="B2" s="58" t="n">
        <v>46184</v>
      </c>
      <c r="C2" s="59" t="inlineStr">
        <is>
          <t>A</t>
        </is>
      </c>
      <c r="D2" s="66" t="inlineStr">
        <is>
          <t>Mexico</t>
        </is>
      </c>
      <c r="E2" s="66" t="inlineStr">
        <is>
          <t>South Africa</t>
        </is>
      </c>
      <c r="F2" s="66" t="inlineStr">
        <is>
          <t>Mexico City</t>
        </is>
      </c>
      <c r="G2" s="61" t="n">
        <v>0.5416666666666666</v>
      </c>
      <c r="H2" s="61" t="n">
        <v>0.8333333333333334</v>
      </c>
      <c r="I2" s="64" t="n">
        <v>0.7008</v>
      </c>
      <c r="J2" s="64" t="n">
        <v>0.2117</v>
      </c>
      <c r="K2" s="64" t="n">
        <v>0.0876</v>
      </c>
      <c r="L2" s="63">
        <f>IF(Matchday!E4="","",Matchday!E4)</f>
        <v/>
      </c>
      <c r="M2" s="63">
        <f>IF(Matchday!F4="","",Matchday!F4)</f>
        <v/>
      </c>
      <c r="N2" s="63">
        <f>IF(Matchday!G4="","",Matchday!G4)</f>
        <v/>
      </c>
      <c r="O2" s="64">
        <f>IF(L2="","",1/L2)</f>
        <v/>
      </c>
      <c r="P2" s="64">
        <f>IF(M2="","",1/M2)</f>
        <v/>
      </c>
      <c r="Q2" s="64">
        <f>IF(N2="","",1/N2)</f>
        <v/>
      </c>
      <c r="R2" s="64">
        <f>IF(COUNT(L2:N2)&lt;3,"",O2+P2+Q2)</f>
        <v/>
      </c>
      <c r="S2" s="64">
        <f t="array" ref="S2">IF($R2="","",IF(Method!$B$56="proportional",O2/$R2,IF(Method!$B$56="power",IFERROR(INDEX(power_devig($L2,$M2,$N2),1,1),O2/$R2),IFERROR(INDEX(shin($L2,$M2,$N2),1,1),O2/$R2))))</f>
        <v/>
      </c>
      <c r="T2" s="64">
        <f t="array" ref="T2">IF($R2="","",IF(Method!$B$56="proportional",P2/$R2,IF(Method!$B$56="power",IFERROR(INDEX(power_devig($L2,$M2,$N2),2,1),P2/$R2),IFERROR(INDEX(shin($L2,$M2,$N2),2,1),P2/$R2))))</f>
        <v/>
      </c>
      <c r="U2" s="64">
        <f t="array" ref="U2">IF($R2="","",IF(Method!$B$56="proportional",Q2/$R2,IF(Method!$B$56="power",IFERROR(INDEX(power_devig($L2,$M2,$N2),3,1),Q2/$R2),IFERROR(INDEX(shin($L2,$M2,$N2),3,1),Q2/$R2))))</f>
        <v/>
      </c>
      <c r="V2" s="64">
        <f>IF(S2="","",Method!$B$4*IF(BC2="",I2,BC2)+(1-Method!$B$4)*S2/($S2+$T2+$U2))</f>
        <v/>
      </c>
      <c r="W2" s="64">
        <f>IF(T2="","",Method!$B$4*IF(BD2="",J2,BD2)+(1-Method!$B$4)*T2/($S2+$T2+$U2))</f>
        <v/>
      </c>
      <c r="X2" s="64">
        <f>IF(U2="","",Method!$B$4*IF(BE2="",K2,BE2)+(1-Method!$B$4)*U2/($S2+$T2+$U2))</f>
        <v/>
      </c>
      <c r="Y2" s="65">
        <f>IF(V2="","",V2*L2-1)</f>
        <v/>
      </c>
      <c r="Z2" s="65">
        <f>IF(W2="","",W2*M2-1)</f>
        <v/>
      </c>
      <c r="AA2" s="65">
        <f>IF(X2="","",X2*N2-1)</f>
        <v/>
      </c>
      <c r="AB2" s="66">
        <f>IF(Y2="","",MATCH(MAX(Y2:AA2),Y2:AA2,0))</f>
        <v/>
      </c>
      <c r="AC2" s="66">
        <f>IF(AB2="","",CHOOSE(AB2,"H","D","A"))</f>
        <v/>
      </c>
      <c r="AD2" s="67">
        <f>IF(AB2="","",CHOOSE(AB2,"1  "&amp;D2,"X  Draw","2  "&amp;E2))</f>
        <v/>
      </c>
      <c r="AE2" s="33">
        <f>IF(AB2="","",INDEX(L2:N2,1,AB2))</f>
        <v/>
      </c>
      <c r="AF2" s="65">
        <f>IF(AB2="","",INDEX(Y2:AA2,1,AB2))</f>
        <v/>
      </c>
      <c r="AG2" s="65">
        <f>IF(AB2="","",INDEX(V2:X2,1,AB2)-INDEX(S2:U2,1,AB2))</f>
        <v/>
      </c>
      <c r="AH2" s="68">
        <f>IF(AB2="","· enter odds",IF(OR(AF2&gt;Method!$B$87,IFERROR(INDEX(BC2:BE2,1,AB2)/INDEX(S2:U2,1,AB2),0)&gt;Method!$B$88),"PASS",IF(AND(AF2&gt;=Method!$B$7,AG2&gt;=Method!$B$8),"BET","PASS")))</f>
        <v/>
      </c>
      <c r="AI2" s="69">
        <f>IF(AH2&lt;&gt;"BET",0,ROUND(MIN(Method!$B$6,Method!$B$5*AL2)*100,1))</f>
        <v/>
      </c>
      <c r="AJ2" s="70">
        <f>IF(OR(AH2&lt;&gt;"BET",Method!$B$55=TRUE()),0,IF(AI2*Method!$B$10/100&lt;Method!$B$9,0,ROUND(AI2*Method!$B$10/100,0)))</f>
        <v/>
      </c>
      <c r="AK2" s="64">
        <f>IF(AB2="","",INDEX(V2:X2,1,AB2))</f>
        <v/>
      </c>
      <c r="AL2" s="64">
        <f>IF(AH2&lt;&gt;"BET","",MAX(0,(AK2*AE2-1)/(AE2-1)))</f>
        <v/>
      </c>
      <c r="AM2" s="66">
        <f>IF(AH2="BET",AF2+A2/1000000,"")</f>
        <v/>
      </c>
      <c r="AN2" s="71">
        <f>IF(Matchday!N4="","",Matchday!N4)</f>
        <v/>
      </c>
      <c r="AO2" s="63">
        <f>IF(Matchday!P4="","",Matchday!P4)</f>
        <v/>
      </c>
      <c r="AP2" s="72">
        <f>IF(Matchday!Q4="","",Matchday!Q4)</f>
        <v/>
      </c>
      <c r="AQ2" s="71">
        <f>IF(Matchday!R4="","",Matchday!R4)</f>
        <v/>
      </c>
      <c r="AR2" s="73">
        <f>IF(OR(AN2&lt;&gt;"Y",AQ2="",AV2=""),"",IF(AQ2="Void",0,IF(AQ2=AV2,ROUND(AP2*(AO2-1),2),-AP2)))</f>
        <v/>
      </c>
      <c r="AS2" s="73">
        <f>IF(AR2="","",SUM($AR$2:AR2))</f>
        <v/>
      </c>
      <c r="AT2" s="31">
        <f>IF(AB2="","Type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pauses.")),IF(AH2="BET",IF(AJ2=0,"Edge found but stake rounds under £"&amp;Method!$B$9&amp;" — skip",IF(AND(AE2&gt;=6,AG2&gt;=0.15),"🟡 WAIT — long-shot review: odds "&amp;TEXT(AE2,"0.00")&amp;" + edge "&amp;TEXT(AG2,"0.0%")&amp;" — verify sharp-book + team news + stake comfort before Placed=Y","Value found: EV "&amp;TEXT(AF2,"0.0%")&amp;", edge "&amp;TEXT(AG2,"0.0%"))),IF(OR(AF2&gt;Method!$B$87,IFERROR(INDEX(BC2:BE2,1,AB2)/INDEX(S2:U2,1,AB2),0)&gt;Method!$B$88),"🛑 Tail trap — auto-PASS · EV "&amp;TEXT(AF2,"0.0%")&amp;" (cap "&amp;TEXT(Method!$B$87,"0%")&amp;") · model/market "&amp;TEXT(IFERROR(INDEX(BC2:BE2,1,AB2)/INDEX(S2:U2,1,AB2),0),"0.0")&amp;"× (cap "&amp;TEXT(Method!$B$88,"0.0")&amp;"×)",IF(AF2&lt;Method!$B$7,"Price too short — EV "&amp;TEXT(AF2,"0.0%")&amp;" (need "&amp;TEXT(Method!$B$7,"0.0%")&amp;"+)","Model ≈ market — edge "&amp;TEXT(AG2,"0.0%")&amp;" (need "&amp;TEXT(Method!$B$8,"0.0%")&amp;"+)")))))</f>
        <v/>
      </c>
      <c r="AU2" s="31">
        <f>IF(AN2&lt;&gt;"Y","",IF(AH2="· enter odds","⚠ type the 3 odds (1/X/2) to grade this bet",IF(OR(AV2="",AO2="",AP2=""),"⚠ log backed pick, odds &amp; stake",IF(AZ2&lt;&gt;"BET","⚠ FUN BET — engine said pass · staked £"&amp;AP2&amp;" vs engine £"&amp;BA2,IF(AV2&lt;&gt;IF(AY2="",AC2,AY2),"⚠ backed "&amp;AV2&amp;" but engine pick was "&amp;IF(AY2="",AC2,AY2),IF(AP2&gt;BA2,"⚠ stake over engine £"&amp;BA2,IF(ABS(AO2-IFERROR(INDEX(L2:N2,1,MATCH(AV2,{"H","D","A"},0)),AE2))&gt;0.02,"⚠ odds moved — re-check value","✓ engine bet")))))))</f>
        <v/>
      </c>
      <c r="AV2" s="59">
        <f>IF(Matchday!O4="","",Matchday!O4)</f>
        <v/>
      </c>
      <c r="AW2" s="79" t="inlineStr">
        <is>
          <t>PASS</t>
        </is>
      </c>
      <c r="AX2" s="79" t="n">
        <v>0</v>
      </c>
      <c r="AY2" s="79" t="inlineStr">
        <is>
          <t>H</t>
        </is>
      </c>
      <c r="AZ2" s="79">
        <f>IF(AW2="",AH2,AW2)</f>
        <v/>
      </c>
      <c r="BA2" s="75">
        <f>IF(AX2&lt;&gt;"",AX2,IF(AH2&lt;&gt;"BET",0,IF(AI2*Method!$B$10/100&lt;Method!$B$9,0,ROUND(AI2*Method!$B$10/100,0))))</f>
        <v/>
      </c>
      <c r="BB2" s="77" t="n">
        <v>-24.24</v>
      </c>
      <c r="BC2" s="77" t="n">
        <v>0.6707230359618921</v>
      </c>
      <c r="BD2" s="77" t="n">
        <v>0.239635752124965</v>
      </c>
      <c r="BE2" s="77" t="n">
        <v>0.08964121191314289</v>
      </c>
      <c r="BF2" s="14" t="inlineStr">
        <is>
          <t>Mexico team-wide: +5 · South Africa team-wide: -29</t>
        </is>
      </c>
      <c r="BG2" s="77" t="n">
        <v>2240</v>
      </c>
      <c r="BH2" s="77" t="inlineStr">
        <is>
          <t>high_altitude_mild</t>
        </is>
      </c>
      <c r="BI2" s="77" t="n">
        <v>0</v>
      </c>
    </row>
    <row r="3" ht="15" customHeight="1" s="153">
      <c r="A3" s="59" t="n">
        <v>2</v>
      </c>
      <c r="B3" s="58" t="n">
        <v>46184</v>
      </c>
      <c r="C3" s="59" t="inlineStr">
        <is>
          <t>A</t>
        </is>
      </c>
      <c r="D3" s="66" t="inlineStr">
        <is>
          <t>South Korea</t>
        </is>
      </c>
      <c r="E3" s="66" t="inlineStr">
        <is>
          <t>Czechia</t>
        </is>
      </c>
      <c r="F3" s="66" t="inlineStr">
        <is>
          <t>Zapopan</t>
        </is>
      </c>
      <c r="G3" s="61" t="n">
        <v>0.8333333333333334</v>
      </c>
      <c r="H3" s="59" t="inlineStr">
        <is>
          <t>03:00 +1d</t>
        </is>
      </c>
      <c r="I3" s="64" t="n">
        <v>0.4437091841588641</v>
      </c>
      <c r="J3" s="64" t="n">
        <v>0.2906709315654992</v>
      </c>
      <c r="K3" s="64" t="n">
        <v>0.2656198842756369</v>
      </c>
      <c r="L3" s="63">
        <f>IF(Matchday!E5="","",Matchday!E5)</f>
        <v/>
      </c>
      <c r="M3" s="63">
        <f>IF(Matchday!F5="","",Matchday!F5)</f>
        <v/>
      </c>
      <c r="N3" s="63">
        <f>IF(Matchday!G5="","",Matchday!G5)</f>
        <v/>
      </c>
      <c r="O3" s="64">
        <f>IF(L3="","",1/L3)</f>
        <v/>
      </c>
      <c r="P3" s="64">
        <f>IF(M3="","",1/M3)</f>
        <v/>
      </c>
      <c r="Q3" s="64">
        <f>IF(N3="","",1/N3)</f>
        <v/>
      </c>
      <c r="R3" s="64">
        <f>IF(COUNT(L3:N3)&lt;3,"",O3+P3+Q3)</f>
        <v/>
      </c>
      <c r="S3" s="64">
        <f t="array" ref="S3">IF($R3="","",IF(Method!$B$56="proportional",O3/$R3,IF(Method!$B$56="power",IFERROR(INDEX(power_devig($L3,$M3,$N3),1,1),O3/$R3),IFERROR(INDEX(shin($L3,$M3,$N3),1,1),O3/$R3))))</f>
        <v/>
      </c>
      <c r="T3" s="64">
        <f t="array" ref="T3">IF($R3="","",IF(Method!$B$56="proportional",P3/$R3,IF(Method!$B$56="power",IFERROR(INDEX(power_devig($L3,$M3,$N3),2,1),P3/$R3),IFERROR(INDEX(shin($L3,$M3,$N3),2,1),P3/$R3))))</f>
        <v/>
      </c>
      <c r="U3" s="64">
        <f t="array" ref="U3">IF($R3="","",IF(Method!$B$56="proportional",Q3/$R3,IF(Method!$B$56="power",IFERROR(INDEX(power_devig($L3,$M3,$N3),3,1),Q3/$R3),IFERROR(INDEX(shin($L3,$M3,$N3),3,1),Q3/$R3))))</f>
        <v/>
      </c>
      <c r="V3" s="64">
        <f>IF(S3="","",Method!$B$4*IF(BC3="",I3,BC3)+(1-Method!$B$4)*S3/($S3+$T3+$U3))</f>
        <v/>
      </c>
      <c r="W3" s="64">
        <f>IF(T3="","",Method!$B$4*IF(BD3="",J3,BD3)+(1-Method!$B$4)*T3/($S3+$T3+$U3))</f>
        <v/>
      </c>
      <c r="X3" s="64">
        <f>IF(U3="","",Method!$B$4*IF(BE3="",K3,BE3)+(1-Method!$B$4)*U3/($S3+$T3+$U3))</f>
        <v/>
      </c>
      <c r="Y3" s="65">
        <f>IF(V3="","",V3*L3-1)</f>
        <v/>
      </c>
      <c r="Z3" s="65">
        <f>IF(W3="","",W3*M3-1)</f>
        <v/>
      </c>
      <c r="AA3" s="65">
        <f>IF(X3="","",X3*N3-1)</f>
        <v/>
      </c>
      <c r="AB3" s="66">
        <f>IF(Y3="","",MATCH(MAX(Y3:AA3),Y3:AA3,0))</f>
        <v/>
      </c>
      <c r="AC3" s="66">
        <f>IF(AB3="","",CHOOSE(AB3,"H","D","A"))</f>
        <v/>
      </c>
      <c r="AD3" s="67">
        <f>IF(AB3="","",CHOOSE(AB3,"1  "&amp;D3,"X  Draw","2  "&amp;E3))</f>
        <v/>
      </c>
      <c r="AE3" s="33">
        <f>IF(AB3="","",INDEX(L3:N3,1,AB3))</f>
        <v/>
      </c>
      <c r="AF3" s="65">
        <f>IF(AB3="","",INDEX(Y3:AA3,1,AB3))</f>
        <v/>
      </c>
      <c r="AG3" s="65">
        <f>IF(AB3="","",INDEX(V3:X3,1,AB3)-INDEX(S3:U3,1,AB3))</f>
        <v/>
      </c>
      <c r="AH3" s="68">
        <f>IF(AB3="","· enter odds",IF(OR(AF3&gt;Method!$B$87,IFERROR(INDEX(BC3:BE3,1,AB3)/INDEX(S3:U3,1,AB3),0)&gt;Method!$B$88),"PASS",IF(AND(AF3&gt;=Method!$B$7,AG3&gt;=Method!$B$8),"BET","PASS")))</f>
        <v/>
      </c>
      <c r="AI3" s="69">
        <f>IF(AH3&lt;&gt;"BET",0,ROUND(MIN(Method!$B$6,Method!$B$5*AL3)*100,1))</f>
        <v/>
      </c>
      <c r="AJ3" s="70">
        <f>IF(OR(AH3&lt;&gt;"BET",Method!$B$55=TRUE()),0,IF(AI3*Method!$B$10/100&lt;Method!$B$9,0,ROUND(AI3*Method!$B$10/100,0)))</f>
        <v/>
      </c>
      <c r="AK3" s="64">
        <f>IF(AB3="","",INDEX(V3:X3,1,AB3))</f>
        <v/>
      </c>
      <c r="AL3" s="64">
        <f>IF(AH3&lt;&gt;"BET","",MAX(0,(AK3*AE3-1)/(AE3-1)))</f>
        <v/>
      </c>
      <c r="AM3" s="65">
        <f>IF(AH3="BET",AF3+A3/1000000,"")</f>
        <v/>
      </c>
      <c r="AN3" s="71">
        <f>IF(Matchday!N5="","",Matchday!N5)</f>
        <v/>
      </c>
      <c r="AO3" s="63">
        <f>IF(Matchday!P5="","",Matchday!P5)</f>
        <v/>
      </c>
      <c r="AP3" s="72">
        <f>IF(Matchday!Q5="","",Matchday!Q5)</f>
        <v/>
      </c>
      <c r="AQ3" s="71">
        <f>IF(Matchday!R5="","",Matchday!R5)</f>
        <v/>
      </c>
      <c r="AR3" s="73">
        <f>IF(OR(AN3&lt;&gt;"Y",AQ3="",AV3=""),"",IF(AQ3="Void",0,IF(AQ3=AV3,ROUND(AP3*(AO3-1),2),-AP3)))</f>
        <v/>
      </c>
      <c r="AS3" s="73">
        <f>IF(AR3="","",SUM($AR$2:AR3))</f>
        <v/>
      </c>
      <c r="AT3" s="31">
        <f>IF(AB3="","Type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pauses.")),IF(AH3="BET",IF(AJ3=0,"Edge found but stake rounds under £"&amp;Method!$B$9&amp;" — skip",IF(AND(AE3&gt;=6,AG3&gt;=0.15),"🟡 WAIT — long-shot review: odds "&amp;TEXT(AE3,"0.00")&amp;" + edge "&amp;TEXT(AG3,"0.0%")&amp;" — verify sharp-book + team news + stake comfort before Placed=Y","Value found: EV "&amp;TEXT(AF3,"0.0%")&amp;", edge "&amp;TEXT(AG3,"0.0%"))),IF(OR(AF3&gt;Method!$B$87,IFERROR(INDEX(BC3:BE3,1,AB3)/INDEX(S3:U3,1,AB3),0)&gt;Method!$B$88),"🛑 Tail trap — auto-PASS · EV "&amp;TEXT(AF3,"0.0%")&amp;" (cap "&amp;TEXT(Method!$B$87,"0%")&amp;") · model/market "&amp;TEXT(IFERROR(INDEX(BC3:BE3,1,AB3)/INDEX(S3:U3,1,AB3),0),"0.0")&amp;"× (cap "&amp;TEXT(Method!$B$88,"0.0")&amp;"×)",IF(AF3&lt;Method!$B$7,"Price too short — EV "&amp;TEXT(AF3,"0.0%")&amp;" (need "&amp;TEXT(Method!$B$7,"0.0%")&amp;"+)","Model ≈ market — edge "&amp;TEXT(AG3,"0.0%")&amp;" (need "&amp;TEXT(Method!$B$8,"0.0%")&amp;"+)")))))</f>
        <v/>
      </c>
      <c r="AU3" s="31">
        <f>IF(AN3&lt;&gt;"Y","",IF(AH3="· enter odds","⚠ type the 3 odds (1/X/2) to grade this bet",IF(OR(AV3="",AO3="",AP3=""),"⚠ log backed pick, odds &amp; stake",IF(AZ3&lt;&gt;"BET","⚠ FUN BET — engine said pass · staked £"&amp;AP3&amp;" vs engine £"&amp;BA3,IF(AV3&lt;&gt;IF(AY3="",AC3,AY3),"⚠ backed "&amp;AV3&amp;" but engine pick was "&amp;IF(AY3="",AC3,AY3),IF(AP3&gt;BA3,"⚠ stake over engine £"&amp;BA3,IF(ABS(AO3-IFERROR(INDEX(L3:N3,1,MATCH(AV3,{"H","D","A"},0)),AE3))&gt;0.02,"⚠ odds moved — re-check value","✓ engine bet")))))))</f>
        <v/>
      </c>
      <c r="AV3" s="59">
        <f>IF(Matchday!O5="","",Matchday!O5)</f>
        <v/>
      </c>
      <c r="AW3" s="79" t="inlineStr">
        <is>
          <t>BET</t>
        </is>
      </c>
      <c r="AX3" s="79" t="n">
        <v>3</v>
      </c>
      <c r="AY3" s="79" t="inlineStr">
        <is>
          <t>H</t>
        </is>
      </c>
      <c r="AZ3" s="79">
        <f>IF(AW3="",AH3,AW3)</f>
        <v/>
      </c>
      <c r="BA3" s="75">
        <f>IF(AX3&lt;&gt;"",AX3,IF(AH3&lt;&gt;"BET",0,IF(AI3*Method!$B$10/100&lt;Method!$B$9,0,ROUND(AI3*Method!$B$10/100,0))))</f>
        <v/>
      </c>
      <c r="BB3" s="77" t="n">
        <v>-20.33</v>
      </c>
      <c r="BC3" s="77" t="n">
        <v>0.4479390344156907</v>
      </c>
      <c r="BD3" s="77" t="n">
        <v>0.2665594971099038</v>
      </c>
      <c r="BE3" s="77" t="n">
        <v>0.2855014684744055</v>
      </c>
      <c r="BF3" s="77" t="inlineStr">
        <is>
          <t>Czechia team-wide: -16 · Czechia weather: -4 · South Korea team-wide: +1 · South Korea weather: -1</t>
        </is>
      </c>
      <c r="BG3" s="77" t="n">
        <v>1560</v>
      </c>
      <c r="BH3" s="77" t="inlineStr">
        <is>
          <t>warm_humid</t>
        </is>
      </c>
      <c r="BI3" s="77" t="n">
        <v>0</v>
      </c>
    </row>
    <row r="4" ht="15" customHeight="1" s="153">
      <c r="A4" s="59" t="n">
        <v>3</v>
      </c>
      <c r="B4" s="58" t="n">
        <v>46185</v>
      </c>
      <c r="C4" s="59" t="inlineStr">
        <is>
          <t>B</t>
        </is>
      </c>
      <c r="D4" s="66" t="inlineStr">
        <is>
          <t>Canada</t>
        </is>
      </c>
      <c r="E4" s="66" t="inlineStr">
        <is>
          <t>Bosnia and Herzegovina</t>
        </is>
      </c>
      <c r="F4" s="66" t="inlineStr">
        <is>
          <t>Toronto</t>
        </is>
      </c>
      <c r="G4" s="61" t="n">
        <v>0.625</v>
      </c>
      <c r="H4" s="61" t="n">
        <v>0.8333333333333334</v>
      </c>
      <c r="I4" s="64" t="n">
        <v>0.6975066163160056</v>
      </c>
      <c r="J4" s="64" t="n">
        <v>0.2132834046552971</v>
      </c>
      <c r="K4" s="64" t="n">
        <v>0.08920997902869723</v>
      </c>
      <c r="L4" s="63">
        <f>IF(Matchday!E6="","",Matchday!E6)</f>
        <v/>
      </c>
      <c r="M4" s="63">
        <f>IF(Matchday!F6="","",Matchday!F6)</f>
        <v/>
      </c>
      <c r="N4" s="63">
        <f>IF(Matchday!G6="","",Matchday!G6)</f>
        <v/>
      </c>
      <c r="O4" s="64">
        <f>IF(L4="","",1/L4)</f>
        <v/>
      </c>
      <c r="P4" s="64">
        <f>IF(M4="","",1/M4)</f>
        <v/>
      </c>
      <c r="Q4" s="64">
        <f>IF(N4="","",1/N4)</f>
        <v/>
      </c>
      <c r="R4" s="64">
        <f>IF(COUNT(L4:N4)&lt;3,"",O4+P4+Q4)</f>
        <v/>
      </c>
      <c r="S4" s="64">
        <f t="array" ref="S4">IF($R4="","",IF(Method!$B$56="proportional",O4/$R4,IF(Method!$B$56="power",IFERROR(INDEX(power_devig($L4,$M4,$N4),1,1),O4/$R4),IFERROR(INDEX(shin($L4,$M4,$N4),1,1),O4/$R4))))</f>
        <v/>
      </c>
      <c r="T4" s="64">
        <f t="array" ref="T4">IF($R4="","",IF(Method!$B$56="proportional",P4/$R4,IF(Method!$B$56="power",IFERROR(INDEX(power_devig($L4,$M4,$N4),2,1),P4/$R4),IFERROR(INDEX(shin($L4,$M4,$N4),2,1),P4/$R4))))</f>
        <v/>
      </c>
      <c r="U4" s="64">
        <f t="array" ref="U4">IF($R4="","",IF(Method!$B$56="proportional",Q4/$R4,IF(Method!$B$56="power",IFERROR(INDEX(power_devig($L4,$M4,$N4),3,1),Q4/$R4),IFERROR(INDEX(shin($L4,$M4,$N4),3,1),Q4/$R4))))</f>
        <v/>
      </c>
      <c r="V4" s="64">
        <f>IF(S4="","",Method!$B$4*IF(BC4="",I4,BC4)+(1-Method!$B$4)*S4/($S4+$T4+$U4))</f>
        <v/>
      </c>
      <c r="W4" s="64">
        <f>IF(T4="","",Method!$B$4*IF(BD4="",J4,BD4)+(1-Method!$B$4)*T4/($S4+$T4+$U4))</f>
        <v/>
      </c>
      <c r="X4" s="64">
        <f>IF(U4="","",Method!$B$4*IF(BE4="",K4,BE4)+(1-Method!$B$4)*U4/($S4+$T4+$U4))</f>
        <v/>
      </c>
      <c r="Y4" s="65">
        <f>IF(V4="","",V4*L4-1)</f>
        <v/>
      </c>
      <c r="Z4" s="65">
        <f>IF(W4="","",W4*M4-1)</f>
        <v/>
      </c>
      <c r="AA4" s="65">
        <f>IF(X4="","",X4*N4-1)</f>
        <v/>
      </c>
      <c r="AB4" s="66">
        <f>IF(Y4="","",MATCH(MAX(Y4:AA4),Y4:AA4,0))</f>
        <v/>
      </c>
      <c r="AC4" s="66">
        <f>IF(AB4="","",CHOOSE(AB4,"H","D","A"))</f>
        <v/>
      </c>
      <c r="AD4" s="67">
        <f>IF(AB4="","",CHOOSE(AB4,"1  "&amp;D4,"X  Draw","2  "&amp;E4))</f>
        <v/>
      </c>
      <c r="AE4" s="33">
        <f>IF(AB4="","",INDEX(L4:N4,1,AB4))</f>
        <v/>
      </c>
      <c r="AF4" s="65">
        <f>IF(AB4="","",INDEX(Y4:AA4,1,AB4))</f>
        <v/>
      </c>
      <c r="AG4" s="65">
        <f>IF(AB4="","",INDEX(V4:X4,1,AB4)-INDEX(S4:U4,1,AB4))</f>
        <v/>
      </c>
      <c r="AH4" s="68">
        <f>IF(AB4="","· enter odds",IF(OR(AF4&gt;Method!$B$87,IFERROR(INDEX(BC4:BE4,1,AB4)/INDEX(S4:U4,1,AB4),0)&gt;Method!$B$88),"PASS",IF(AND(AF4&gt;=Method!$B$7,AG4&gt;=Method!$B$8),"BET","PASS")))</f>
        <v/>
      </c>
      <c r="AI4" s="69">
        <f>IF(AH4&lt;&gt;"BET",0,ROUND(MIN(Method!$B$6,Method!$B$5*AL4)*100,1))</f>
        <v/>
      </c>
      <c r="AJ4" s="70">
        <f>IF(OR(AH4&lt;&gt;"BET",Method!$B$55=TRUE()),0,IF(AI4*Method!$B$10/100&lt;Method!$B$9,0,ROUND(AI4*Method!$B$10/100,0)))</f>
        <v/>
      </c>
      <c r="AK4" s="64">
        <f>IF(AB4="","",INDEX(V4:X4,1,AB4))</f>
        <v/>
      </c>
      <c r="AL4" s="64">
        <f>IF(AH4&lt;&gt;"BET","",MAX(0,(AK4*AE4-1)/(AE4-1)))</f>
        <v/>
      </c>
      <c r="AM4" s="65">
        <f>IF(AH4="BET",AF4+A4/1000000,"")</f>
        <v/>
      </c>
      <c r="AN4" s="71">
        <f>IF(Matchday!N6="","",Matchday!N6)</f>
        <v/>
      </c>
      <c r="AO4" s="63">
        <f>IF(Matchday!P6="","",Matchday!P6)</f>
        <v/>
      </c>
      <c r="AP4" s="72">
        <f>IF(Matchday!Q6="","",Matchday!Q6)</f>
        <v/>
      </c>
      <c r="AQ4" s="71">
        <f>IF(Matchday!R6="","",Matchday!R6)</f>
        <v/>
      </c>
      <c r="AR4" s="73">
        <f>IF(OR(AN4&lt;&gt;"Y",AQ4="",AV4=""),"",IF(AQ4="Void",0,IF(AQ4=AV4,ROUND(AP4*(AO4-1),2),-AP4)))</f>
        <v/>
      </c>
      <c r="AS4" s="73">
        <f>IF(AR4="","",SUM($AR$2:AR4))</f>
        <v/>
      </c>
      <c r="AT4" s="31">
        <f>IF(AB4="","Type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pauses.")),IF(AH4="BET",IF(AJ4=0,"Edge found but stake rounds under £"&amp;Method!$B$9&amp;" — skip",IF(AND(AE4&gt;=6,AG4&gt;=0.15),"🟡 WAIT — long-shot review: odds "&amp;TEXT(AE4,"0.00")&amp;" + edge "&amp;TEXT(AG4,"0.0%")&amp;" — verify sharp-book + team news + stake comfort before Placed=Y","Value found: EV "&amp;TEXT(AF4,"0.0%")&amp;", edge "&amp;TEXT(AG4,"0.0%"))),IF(OR(AF4&gt;Method!$B$87,IFERROR(INDEX(BC4:BE4,1,AB4)/INDEX(S4:U4,1,AB4),0)&gt;Method!$B$88),"🛑 Tail trap — auto-PASS · EV "&amp;TEXT(AF4,"0.0%")&amp;" (cap "&amp;TEXT(Method!$B$87,"0%")&amp;") · model/market "&amp;TEXT(IFERROR(INDEX(BC4:BE4,1,AB4)/INDEX(S4:U4,1,AB4),0),"0.0")&amp;"× (cap "&amp;TEXT(Method!$B$88,"0.0")&amp;"×)",IF(AF4&lt;Method!$B$7,"Price too short — EV "&amp;TEXT(AF4,"0.0%")&amp;" (need "&amp;TEXT(Method!$B$7,"0.0%")&amp;"+)","Model ≈ market — edge "&amp;TEXT(AG4,"0.0%")&amp;" (need "&amp;TEXT(Method!$B$8,"0.0%")&amp;"+)")))))</f>
        <v/>
      </c>
      <c r="AU4" s="31">
        <f>IF(AN4&lt;&gt;"Y","",IF(AH4="· enter odds","⚠ type the 3 odds (1/X/2) to grade this bet",IF(OR(AV4="",AO4="",AP4=""),"⚠ log backed pick, odds &amp; stake",IF(AZ4&lt;&gt;"BET","⚠ FUN BET — engine said pass · staked £"&amp;AP4&amp;" vs engine £"&amp;BA4,IF(AV4&lt;&gt;IF(AY4="",AC4,AY4),"⚠ backed "&amp;AV4&amp;" but engine pick was "&amp;IF(AY4="",AC4,AY4),IF(AP4&gt;BA4,"⚠ stake over engine £"&amp;BA4,IF(ABS(AO4-IFERROR(INDEX(L4:N4,1,MATCH(AV4,{"H","D","A"},0)),AE4))&gt;0.02,"⚠ odds moved — re-check value","✓ engine bet")))))))</f>
        <v/>
      </c>
      <c r="AV4" s="59">
        <f>IF(Matchday!O6="","",Matchday!O6)</f>
        <v/>
      </c>
      <c r="AW4" s="79" t="inlineStr">
        <is>
          <t>BET</t>
        </is>
      </c>
      <c r="AX4" s="79" t="n">
        <v>12</v>
      </c>
      <c r="AY4" s="79" t="inlineStr">
        <is>
          <t>H</t>
        </is>
      </c>
      <c r="AZ4" s="79">
        <f>IF(AW4="",AH4,AW4)</f>
        <v/>
      </c>
      <c r="BA4" s="75">
        <f>IF(AX4&lt;&gt;"",AX4,IF(AH4&lt;&gt;"BET",0,IF(AI4*Method!$B$10/100&lt;Method!$B$9,0,ROUND(AI4*Method!$B$10/100,0))))</f>
        <v/>
      </c>
      <c r="BB4" s="77" t="n">
        <v>-25.05</v>
      </c>
      <c r="BC4" s="77" t="n">
        <v>0.6673398112302111</v>
      </c>
      <c r="BD4" s="77" t="n">
        <v>0.2413413680134769</v>
      </c>
      <c r="BE4" s="77" t="n">
        <v>0.09131882075631186</v>
      </c>
      <c r="BF4" s="14" t="inlineStr">
        <is>
          <t>Bosnia and Herzegovina team-wide: -15 · Canada team-wide: -10</t>
        </is>
      </c>
      <c r="BG4" s="77" t="n">
        <v>76</v>
      </c>
      <c r="BH4" s="77" t="inlineStr">
        <is>
          <t>mild</t>
        </is>
      </c>
      <c r="BI4" s="77" t="n">
        <v>0</v>
      </c>
    </row>
    <row r="5" ht="15" customHeight="1" s="153">
      <c r="A5" s="59" t="n">
        <v>4</v>
      </c>
      <c r="B5" s="58" t="n">
        <v>46185</v>
      </c>
      <c r="C5" s="59" t="inlineStr">
        <is>
          <t>D</t>
        </is>
      </c>
      <c r="D5" s="66" t="inlineStr">
        <is>
          <t>United States</t>
        </is>
      </c>
      <c r="E5" s="66" t="inlineStr">
        <is>
          <t>Paraguay</t>
        </is>
      </c>
      <c r="F5" s="66" t="inlineStr">
        <is>
          <t>Inglewood</t>
        </is>
      </c>
      <c r="G5" s="61" t="n">
        <v>0.75</v>
      </c>
      <c r="H5" s="59" t="inlineStr">
        <is>
          <t>02:00 +1d</t>
        </is>
      </c>
      <c r="I5" s="64" t="n">
        <v>0.4854873211413243</v>
      </c>
      <c r="J5" s="64" t="n">
        <v>0.2800986984185976</v>
      </c>
      <c r="K5" s="64" t="n">
        <v>0.2344139804400782</v>
      </c>
      <c r="L5" s="63">
        <f>IF(Matchday!E7="","",Matchday!E7)</f>
        <v/>
      </c>
      <c r="M5" s="63">
        <f>IF(Matchday!F7="","",Matchday!F7)</f>
        <v/>
      </c>
      <c r="N5" s="63">
        <f>IF(Matchday!G7="","",Matchday!G7)</f>
        <v/>
      </c>
      <c r="O5" s="64">
        <f>IF(L5="","",1/L5)</f>
        <v/>
      </c>
      <c r="P5" s="64">
        <f>IF(M5="","",1/M5)</f>
        <v/>
      </c>
      <c r="Q5" s="64">
        <f>IF(N5="","",1/N5)</f>
        <v/>
      </c>
      <c r="R5" s="64">
        <f>IF(COUNT(L5:N5)&lt;3,"",O5+P5+Q5)</f>
        <v/>
      </c>
      <c r="S5" s="64">
        <f t="array" ref="S5">IF($R5="","",IF(Method!$B$56="proportional",O5/$R5,IF(Method!$B$56="power",IFERROR(INDEX(power_devig($L5,$M5,$N5),1,1),O5/$R5),IFERROR(INDEX(shin($L5,$M5,$N5),1,1),O5/$R5))))</f>
        <v/>
      </c>
      <c r="T5" s="64">
        <f t="array" ref="T5">IF($R5="","",IF(Method!$B$56="proportional",P5/$R5,IF(Method!$B$56="power",IFERROR(INDEX(power_devig($L5,$M5,$N5),2,1),P5/$R5),IFERROR(INDEX(shin($L5,$M5,$N5),2,1),P5/$R5))))</f>
        <v/>
      </c>
      <c r="U5" s="64">
        <f t="array" ref="U5">IF($R5="","",IF(Method!$B$56="proportional",Q5/$R5,IF(Method!$B$56="power",IFERROR(INDEX(power_devig($L5,$M5,$N5),3,1),Q5/$R5),IFERROR(INDEX(shin($L5,$M5,$N5),3,1),Q5/$R5))))</f>
        <v/>
      </c>
      <c r="V5" s="64">
        <f>IF(S5="","",Method!$B$4*IF(BC5="",I5,BC5)+(1-Method!$B$4)*S5/($S5+$T5+$U5))</f>
        <v/>
      </c>
      <c r="W5" s="64">
        <f>IF(T5="","",Method!$B$4*IF(BD5="",J5,BD5)+(1-Method!$B$4)*T5/($S5+$T5+$U5))</f>
        <v/>
      </c>
      <c r="X5" s="64">
        <f>IF(U5="","",Method!$B$4*IF(BE5="",K5,BE5)+(1-Method!$B$4)*U5/($S5+$T5+$U5))</f>
        <v/>
      </c>
      <c r="Y5" s="65">
        <f>IF(V5="","",V5*L5-1)</f>
        <v/>
      </c>
      <c r="Z5" s="65">
        <f>IF(W5="","",W5*M5-1)</f>
        <v/>
      </c>
      <c r="AA5" s="65">
        <f>IF(X5="","",X5*N5-1)</f>
        <v/>
      </c>
      <c r="AB5" s="66">
        <f>IF(Y5="","",MATCH(MAX(Y5:AA5),Y5:AA5,0))</f>
        <v/>
      </c>
      <c r="AC5" s="66">
        <f>IF(AB5="","",CHOOSE(AB5,"H","D","A"))</f>
        <v/>
      </c>
      <c r="AD5" s="67">
        <f>IF(AB5="","",CHOOSE(AB5,"1  "&amp;D5,"X  Draw","2  "&amp;E5))</f>
        <v/>
      </c>
      <c r="AE5" s="33">
        <f>IF(AB5="","",INDEX(L5:N5,1,AB5))</f>
        <v/>
      </c>
      <c r="AF5" s="65">
        <f>IF(AB5="","",INDEX(Y5:AA5,1,AB5))</f>
        <v/>
      </c>
      <c r="AG5" s="65">
        <f>IF(AB5="","",INDEX(V5:X5,1,AB5)-INDEX(S5:U5,1,AB5))</f>
        <v/>
      </c>
      <c r="AH5" s="68">
        <f>IF(AB5="","· enter odds",IF(OR(AF5&gt;Method!$B$87,IFERROR(INDEX(BC5:BE5,1,AB5)/INDEX(S5:U5,1,AB5),0)&gt;Method!$B$88),"PASS",IF(AND(AF5&gt;=Method!$B$7,AG5&gt;=Method!$B$8),"BET","PASS")))</f>
        <v/>
      </c>
      <c r="AI5" s="69">
        <f>IF(AH5&lt;&gt;"BET",0,ROUND(MIN(Method!$B$6,Method!$B$5*AL5)*100,1))</f>
        <v/>
      </c>
      <c r="AJ5" s="70">
        <f>IF(OR(AH5&lt;&gt;"BET",Method!$B$55=TRUE()),0,IF(AI5*Method!$B$10/100&lt;Method!$B$9,0,ROUND(AI5*Method!$B$10/100,0)))</f>
        <v/>
      </c>
      <c r="AK5" s="64">
        <f>IF(AB5="","",INDEX(V5:X5,1,AB5))</f>
        <v/>
      </c>
      <c r="AL5" s="64">
        <f>IF(AH5&lt;&gt;"BET","",MAX(0,(AK5*AE5-1)/(AE5-1)))</f>
        <v/>
      </c>
      <c r="AM5" s="66">
        <f>IF(AH5="BET",AF5+A5/1000000,"")</f>
        <v/>
      </c>
      <c r="AN5" s="71">
        <f>IF(Matchday!N7="","",Matchday!N7)</f>
        <v/>
      </c>
      <c r="AO5" s="63">
        <f>IF(Matchday!P7="","",Matchday!P7)</f>
        <v/>
      </c>
      <c r="AP5" s="72">
        <f>IF(Matchday!Q7="","",Matchday!Q7)</f>
        <v/>
      </c>
      <c r="AQ5" s="71">
        <f>IF(Matchday!R7="","",Matchday!R7)</f>
        <v/>
      </c>
      <c r="AR5" s="73">
        <f>IF(OR(AN5&lt;&gt;"Y",AQ5="",AV5=""),"",IF(AQ5="Void",0,IF(AQ5=AV5,ROUND(AP5*(AO5-1),2),-AP5)))</f>
        <v/>
      </c>
      <c r="AS5" s="73">
        <f>IF(AR5="","",SUM($AR$2:AR5))</f>
        <v/>
      </c>
      <c r="AT5" s="31">
        <f>IF(AB5="","Type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pauses.")),IF(AH5="BET",IF(AJ5=0,"Edge found but stake rounds under £"&amp;Method!$B$9&amp;" — skip",IF(AND(AE5&gt;=6,AG5&gt;=0.15),"🟡 WAIT — long-shot review: odds "&amp;TEXT(AE5,"0.00")&amp;" + edge "&amp;TEXT(AG5,"0.0%")&amp;" — verify sharp-book + team news + stake comfort before Placed=Y","Value found: EV "&amp;TEXT(AF5,"0.0%")&amp;", edge "&amp;TEXT(AG5,"0.0%"))),IF(OR(AF5&gt;Method!$B$87,IFERROR(INDEX(BC5:BE5,1,AB5)/INDEX(S5:U5,1,AB5),0)&gt;Method!$B$88),"🛑 Tail trap — auto-PASS · EV "&amp;TEXT(AF5,"0.0%")&amp;" (cap "&amp;TEXT(Method!$B$87,"0%")&amp;") · model/market "&amp;TEXT(IFERROR(INDEX(BC5:BE5,1,AB5)/INDEX(S5:U5,1,AB5),0),"0.0")&amp;"× (cap "&amp;TEXT(Method!$B$88,"0.0")&amp;"×)",IF(AF5&lt;Method!$B$7,"Price too short — EV "&amp;TEXT(AF5,"0.0%")&amp;" (need "&amp;TEXT(Method!$B$7,"0.0%")&amp;"+)","Model ≈ market — edge "&amp;TEXT(AG5,"0.0%")&amp;" (need "&amp;TEXT(Method!$B$8,"0.0%")&amp;"+)")))))</f>
        <v/>
      </c>
      <c r="AU5" s="31">
        <f>IF(AN5&lt;&gt;"Y","",IF(AH5="· enter odds","⚠ type the 3 odds (1/X/2) to grade this bet",IF(OR(AV5="",AO5="",AP5=""),"⚠ log backed pick, odds &amp; stake",IF(AZ5&lt;&gt;"BET","⚠ FUN BET — engine said pass · staked £"&amp;AP5&amp;" vs engine £"&amp;BA5,IF(AV5&lt;&gt;IF(AY5="",AC5,AY5),"⚠ backed "&amp;AV5&amp;" but engine pick was "&amp;IF(AY5="",AC5,AY5),IF(AP5&gt;BA5,"⚠ stake over engine £"&amp;BA5,IF(ABS(AO5-IFERROR(INDEX(L5:N5,1,MATCH(AV5,{"H","D","A"},0)),AE5))&gt;0.02,"⚠ odds moved — re-check value","✓ engine bet")))))))</f>
        <v/>
      </c>
      <c r="AV5" s="59">
        <f>IF(Matchday!O7="","",Matchday!O7)</f>
        <v/>
      </c>
      <c r="AW5" s="79" t="inlineStr">
        <is>
          <t>PASS</t>
        </is>
      </c>
      <c r="AX5" s="79" t="n">
        <v>0</v>
      </c>
      <c r="AY5" s="79" t="inlineStr">
        <is>
          <t>H</t>
        </is>
      </c>
      <c r="AZ5" s="79">
        <f>IF(AW5="",AH5,AW5)</f>
        <v/>
      </c>
      <c r="BA5" s="75">
        <f>IF(AX5&lt;&gt;"",AX5,IF(AH5&lt;&gt;"BET",0,IF(AI5*Method!$B$10/100&lt;Method!$B$9,0,ROUND(AI5*Method!$B$10/100,0))))</f>
        <v/>
      </c>
      <c r="BB5" s="77" t="n">
        <v>-52.73999999999999</v>
      </c>
      <c r="BC5" s="77" t="n">
        <v>0.4829219894090166</v>
      </c>
      <c r="BD5" s="77" t="n">
        <v>0.2708049294551051</v>
      </c>
      <c r="BE5" s="77" t="n">
        <v>0.2462730811358782</v>
      </c>
      <c r="BF5" s="14" t="inlineStr">
        <is>
          <t>Paraguay team-wide: -35 · United States team-wide: -18</t>
        </is>
      </c>
      <c r="BG5" s="77" t="n">
        <v>30</v>
      </c>
      <c r="BH5" s="77" t="inlineStr">
        <is>
          <t>warm_dry_indoor</t>
        </is>
      </c>
      <c r="BI5" s="77" t="n">
        <v>0</v>
      </c>
    </row>
    <row r="6" ht="15" customHeight="1" s="153">
      <c r="A6" s="59" t="n">
        <v>5</v>
      </c>
      <c r="B6" s="58" t="n">
        <v>46186</v>
      </c>
      <c r="C6" s="59" t="inlineStr">
        <is>
          <t>B</t>
        </is>
      </c>
      <c r="D6" s="66" t="inlineStr">
        <is>
          <t>Qatar</t>
        </is>
      </c>
      <c r="E6" s="66" t="inlineStr">
        <is>
          <t>Switzerland</t>
        </is>
      </c>
      <c r="F6" s="66" t="inlineStr">
        <is>
          <t>Santa Clara</t>
        </is>
      </c>
      <c r="G6" s="61" t="n">
        <v>0.5</v>
      </c>
      <c r="H6" s="61" t="n">
        <v>0.8333333333333334</v>
      </c>
      <c r="I6" s="64" t="n">
        <v>0.07585286982916385</v>
      </c>
      <c r="J6" s="64" t="n">
        <v>0.197894430187124</v>
      </c>
      <c r="K6" s="64" t="n">
        <v>0.7262526999837122</v>
      </c>
      <c r="L6" s="63">
        <f>IF(Matchday!E8="","",Matchday!E8)</f>
        <v/>
      </c>
      <c r="M6" s="63">
        <f>IF(Matchday!F8="","",Matchday!F8)</f>
        <v/>
      </c>
      <c r="N6" s="63">
        <f>IF(Matchday!G8="","",Matchday!G8)</f>
        <v/>
      </c>
      <c r="O6" s="64">
        <f>IF(L6="","",1/L6)</f>
        <v/>
      </c>
      <c r="P6" s="64">
        <f>IF(M6="","",1/M6)</f>
        <v/>
      </c>
      <c r="Q6" s="64">
        <f>IF(N6="","",1/N6)</f>
        <v/>
      </c>
      <c r="R6" s="64">
        <f>IF(COUNT(L6:N6)&lt;3,"",O6+P6+Q6)</f>
        <v/>
      </c>
      <c r="S6" s="64">
        <f t="array" ref="S6">IF($R6="","",IF(Method!$B$56="proportional",O6/$R6,IF(Method!$B$56="power",IFERROR(INDEX(power_devig($L6,$M6,$N6),1,1),O6/$R6),IFERROR(INDEX(shin($L6,$M6,$N6),1,1),O6/$R6))))</f>
        <v/>
      </c>
      <c r="T6" s="64">
        <f t="array" ref="T6">IF($R6="","",IF(Method!$B$56="proportional",P6/$R6,IF(Method!$B$56="power",IFERROR(INDEX(power_devig($L6,$M6,$N6),2,1),P6/$R6),IFERROR(INDEX(shin($L6,$M6,$N6),2,1),P6/$R6))))</f>
        <v/>
      </c>
      <c r="U6" s="64">
        <f t="array" ref="U6">IF($R6="","",IF(Method!$B$56="proportional",Q6/$R6,IF(Method!$B$56="power",IFERROR(INDEX(power_devig($L6,$M6,$N6),3,1),Q6/$R6),IFERROR(INDEX(shin($L6,$M6,$N6),3,1),Q6/$R6))))</f>
        <v/>
      </c>
      <c r="V6" s="64">
        <f>IF(S6="","",Method!$B$4*IF(BC6="",I6,BC6)+(1-Method!$B$4)*S6/($S6+$T6+$U6))</f>
        <v/>
      </c>
      <c r="W6" s="64">
        <f>IF(T6="","",Method!$B$4*IF(BD6="",J6,BD6)+(1-Method!$B$4)*T6/($S6+$T6+$U6))</f>
        <v/>
      </c>
      <c r="X6" s="64">
        <f>IF(U6="","",Method!$B$4*IF(BE6="",K6,BE6)+(1-Method!$B$4)*U6/($S6+$T6+$U6))</f>
        <v/>
      </c>
      <c r="Y6" s="65">
        <f>IF(V6="","",V6*L6-1)</f>
        <v/>
      </c>
      <c r="Z6" s="65">
        <f>IF(W6="","",W6*M6-1)</f>
        <v/>
      </c>
      <c r="AA6" s="65">
        <f>IF(X6="","",X6*N6-1)</f>
        <v/>
      </c>
      <c r="AB6" s="66">
        <f>IF(Y6="","",MATCH(MAX(Y6:AA6),Y6:AA6,0))</f>
        <v/>
      </c>
      <c r="AC6" s="66">
        <f>IF(AB6="","",CHOOSE(AB6,"H","D","A"))</f>
        <v/>
      </c>
      <c r="AD6" s="67">
        <f>IF(AB6="","",CHOOSE(AB6,"1  "&amp;D6,"X  Draw","2  "&amp;E6))</f>
        <v/>
      </c>
      <c r="AE6" s="33">
        <f>IF(AB6="","",INDEX(L6:N6,1,AB6))</f>
        <v/>
      </c>
      <c r="AF6" s="65">
        <f>IF(AB6="","",INDEX(Y6:AA6,1,AB6))</f>
        <v/>
      </c>
      <c r="AG6" s="65">
        <f>IF(AB6="","",INDEX(V6:X6,1,AB6)-INDEX(S6:U6,1,AB6))</f>
        <v/>
      </c>
      <c r="AH6" s="68">
        <f>IF(AB6="","· enter odds",IF(OR(AF6&gt;Method!$B$87,IFERROR(INDEX(BC6:BE6,1,AB6)/INDEX(S6:U6,1,AB6),0)&gt;Method!$B$88),"PASS",IF(AND(AF6&gt;=Method!$B$7,AG6&gt;=Method!$B$8),"BET","PASS")))</f>
        <v/>
      </c>
      <c r="AI6" s="69">
        <f>IF(AH6&lt;&gt;"BET",0,ROUND(MIN(Method!$B$6,Method!$B$5*AL6)*100,1))</f>
        <v/>
      </c>
      <c r="AJ6" s="70">
        <f>IF(OR(AH6&lt;&gt;"BET",Method!$B$55=TRUE()),0,IF(AI6*Method!$B$10/100&lt;Method!$B$9,0,ROUND(AI6*Method!$B$10/100,0)))</f>
        <v/>
      </c>
      <c r="AK6" s="64">
        <f>IF(AB6="","",INDEX(V6:X6,1,AB6))</f>
        <v/>
      </c>
      <c r="AL6" s="64">
        <f>IF(AH6&lt;&gt;"BET","",MAX(0,(AK6*AE6-1)/(AE6-1)))</f>
        <v/>
      </c>
      <c r="AM6" s="65">
        <f>IF(AH6="BET",AF6+A6/1000000,"")</f>
        <v/>
      </c>
      <c r="AN6" s="71">
        <f>IF(Matchday!N8="","",Matchday!N8)</f>
        <v/>
      </c>
      <c r="AO6" s="63">
        <f>IF(Matchday!P8="","",Matchday!P8)</f>
        <v/>
      </c>
      <c r="AP6" s="72">
        <f>IF(Matchday!Q8="","",Matchday!Q8)</f>
        <v/>
      </c>
      <c r="AQ6" s="71">
        <f>IF(Matchday!R8="","",Matchday!R8)</f>
        <v/>
      </c>
      <c r="AR6" s="73">
        <f>IF(OR(AN6&lt;&gt;"Y",AQ6="",AV6=""),"",IF(AQ6="Void",0,IF(AQ6=AV6,ROUND(AP6*(AO6-1),2),-AP6)))</f>
        <v/>
      </c>
      <c r="AS6" s="73">
        <f>IF(AR6="","",SUM($AR$2:AR6))</f>
        <v/>
      </c>
      <c r="AT6" s="31">
        <f>IF(AB6="","Type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pauses.")),IF(AH6="BET",IF(AJ6=0,"Edge found but stake rounds under £"&amp;Method!$B$9&amp;" — skip",IF(AND(AE6&gt;=6,AG6&gt;=0.15),"🟡 WAIT — long-shot review: odds "&amp;TEXT(AE6,"0.00")&amp;" + edge "&amp;TEXT(AG6,"0.0%")&amp;" — verify sharp-book + team news + stake comfort before Placed=Y","Value found: EV "&amp;TEXT(AF6,"0.0%")&amp;", edge "&amp;TEXT(AG6,"0.0%"))),IF(OR(AF6&gt;Method!$B$87,IFERROR(INDEX(BC6:BE6,1,AB6)/INDEX(S6:U6,1,AB6),0)&gt;Method!$B$88),"🛑 Tail trap — auto-PASS · EV "&amp;TEXT(AF6,"0.0%")&amp;" (cap "&amp;TEXT(Method!$B$87,"0%")&amp;") · model/market "&amp;TEXT(IFERROR(INDEX(BC6:BE6,1,AB6)/INDEX(S6:U6,1,AB6),0),"0.0")&amp;"× (cap "&amp;TEXT(Method!$B$88,"0.0")&amp;"×)",IF(AF6&lt;Method!$B$7,"Price too short — EV "&amp;TEXT(AF6,"0.0%")&amp;" (need "&amp;TEXT(Method!$B$7,"0.0%")&amp;"+)","Model ≈ market — edge "&amp;TEXT(AG6,"0.0%")&amp;" (need "&amp;TEXT(Method!$B$8,"0.0%")&amp;"+)")))))</f>
        <v/>
      </c>
      <c r="AU6" s="31">
        <f>IF(AN6&lt;&gt;"Y","",IF(AH6="· enter odds","⚠ type the 3 odds (1/X/2) to grade this bet",IF(OR(AV6="",AO6="",AP6=""),"⚠ log backed pick, odds &amp; stake",IF(AZ6&lt;&gt;"BET","⚠ FUN BET — engine said pass · staked £"&amp;AP6&amp;" vs engine £"&amp;BA6,IF(AV6&lt;&gt;IF(AY6="",AC6,AY6),"⚠ backed "&amp;AV6&amp;" but engine pick was "&amp;IF(AY6="",AC6,AY6),IF(AP6&gt;BA6,"⚠ stake over engine £"&amp;BA6,IF(ABS(AO6-IFERROR(INDEX(L6:N6,1,MATCH(AV6,{"H","D","A"},0)),AE6))&gt;0.02,"⚠ odds moved — re-check value","✓ engine bet")))))))</f>
        <v/>
      </c>
      <c r="AV6" s="59">
        <f>IF(Matchday!O8="","",Matchday!O8)</f>
        <v/>
      </c>
      <c r="AW6" s="79" t="inlineStr">
        <is>
          <t>PASS</t>
        </is>
      </c>
      <c r="AX6" s="79" t="n">
        <v>0</v>
      </c>
      <c r="AY6" s="79" t="inlineStr">
        <is>
          <t>D</t>
        </is>
      </c>
      <c r="AZ6" s="79">
        <f>IF(AW6="",AH6,AW6)</f>
        <v/>
      </c>
      <c r="BA6" s="75">
        <f>IF(AX6&lt;&gt;"",AX6,IF(AH6&lt;&gt;"BET",0,IF(AI6*Method!$B$10/100&lt;Method!$B$9,0,ROUND(AI6*Method!$B$10/100,0))))</f>
        <v/>
      </c>
      <c r="BB6" s="77" t="n">
        <v>-52.4</v>
      </c>
      <c r="BC6" s="77" t="n">
        <v>0.07569849533048185</v>
      </c>
      <c r="BD6" s="77" t="n">
        <v>0.2186893510330619</v>
      </c>
      <c r="BE6" s="77" t="n">
        <v>0.7056121536364564</v>
      </c>
      <c r="BF6" s="14" t="inlineStr">
        <is>
          <t>Qatar team-wide: -35 · Switzerland team-wide: -17</t>
        </is>
      </c>
      <c r="BG6" s="77" t="n">
        <v>8</v>
      </c>
      <c r="BH6" s="77" t="inlineStr">
        <is>
          <t>mild_dry</t>
        </is>
      </c>
      <c r="BI6" s="77" t="n">
        <v>0</v>
      </c>
    </row>
    <row r="7" ht="15" customHeight="1" s="153">
      <c r="A7" s="59" t="n">
        <v>6</v>
      </c>
      <c r="B7" s="58" t="n">
        <v>46186</v>
      </c>
      <c r="C7" s="59" t="inlineStr">
        <is>
          <t>C</t>
        </is>
      </c>
      <c r="D7" s="66" t="inlineStr">
        <is>
          <t>Brazil</t>
        </is>
      </c>
      <c r="E7" s="66" t="inlineStr">
        <is>
          <t>Morocco</t>
        </is>
      </c>
      <c r="F7" s="66" t="inlineStr">
        <is>
          <t>East Rutherford</t>
        </is>
      </c>
      <c r="G7" s="61" t="n">
        <v>0.75</v>
      </c>
      <c r="H7" s="61" t="n">
        <v>0.9583333333333334</v>
      </c>
      <c r="I7" s="64" t="n">
        <v>0.45124667574075</v>
      </c>
      <c r="J7" s="64" t="n">
        <v>0.291363592878976</v>
      </c>
      <c r="K7" s="64" t="n">
        <v>0.2573897313802741</v>
      </c>
      <c r="L7" s="63">
        <f>IF(Matchday!E9="","",Matchday!E9)</f>
        <v/>
      </c>
      <c r="M7" s="63">
        <f>IF(Matchday!F9="","",Matchday!F9)</f>
        <v/>
      </c>
      <c r="N7" s="63">
        <f>IF(Matchday!G9="","",Matchday!G9)</f>
        <v/>
      </c>
      <c r="O7" s="64">
        <f>IF(L7="","",1/L7)</f>
        <v/>
      </c>
      <c r="P7" s="64">
        <f>IF(M7="","",1/M7)</f>
        <v/>
      </c>
      <c r="Q7" s="64">
        <f>IF(N7="","",1/N7)</f>
        <v/>
      </c>
      <c r="R7" s="64">
        <f>IF(COUNT(L7:N7)&lt;3,"",O7+P7+Q7)</f>
        <v/>
      </c>
      <c r="S7" s="64">
        <f t="array" ref="S7">IF($R7="","",IF(Method!$B$56="proportional",O7/$R7,IF(Method!$B$56="power",IFERROR(INDEX(power_devig($L7,$M7,$N7),1,1),O7/$R7),IFERROR(INDEX(shin($L7,$M7,$N7),1,1),O7/$R7))))</f>
        <v/>
      </c>
      <c r="T7" s="64">
        <f t="array" ref="T7">IF($R7="","",IF(Method!$B$56="proportional",P7/$R7,IF(Method!$B$56="power",IFERROR(INDEX(power_devig($L7,$M7,$N7),2,1),P7/$R7),IFERROR(INDEX(shin($L7,$M7,$N7),2,1),P7/$R7))))</f>
        <v/>
      </c>
      <c r="U7" s="64">
        <f t="array" ref="U7">IF($R7="","",IF(Method!$B$56="proportional",Q7/$R7,IF(Method!$B$56="power",IFERROR(INDEX(power_devig($L7,$M7,$N7),3,1),Q7/$R7),IFERROR(INDEX(shin($L7,$M7,$N7),3,1),Q7/$R7))))</f>
        <v/>
      </c>
      <c r="V7" s="64">
        <f>IF(S7="","",Method!$B$4*IF(BC7="",I7,BC7)+(1-Method!$B$4)*S7/($S7+$T7+$U7))</f>
        <v/>
      </c>
      <c r="W7" s="64">
        <f>IF(T7="","",Method!$B$4*IF(BD7="",J7,BD7)+(1-Method!$B$4)*T7/($S7+$T7+$U7))</f>
        <v/>
      </c>
      <c r="X7" s="64">
        <f>IF(U7="","",Method!$B$4*IF(BE7="",K7,BE7)+(1-Method!$B$4)*U7/($S7+$T7+$U7))</f>
        <v/>
      </c>
      <c r="Y7" s="65">
        <f>IF(V7="","",V7*L7-1)</f>
        <v/>
      </c>
      <c r="Z7" s="65">
        <f>IF(W7="","",W7*M7-1)</f>
        <v/>
      </c>
      <c r="AA7" s="65">
        <f>IF(X7="","",X7*N7-1)</f>
        <v/>
      </c>
      <c r="AB7" s="66">
        <f>IF(Y7="","",MATCH(MAX(Y7:AA7),Y7:AA7,0))</f>
        <v/>
      </c>
      <c r="AC7" s="66">
        <f>IF(AB7="","",CHOOSE(AB7,"H","D","A"))</f>
        <v/>
      </c>
      <c r="AD7" s="67">
        <f>IF(AB7="","",CHOOSE(AB7,"1  "&amp;D7,"X  Draw","2  "&amp;E7))</f>
        <v/>
      </c>
      <c r="AE7" s="33">
        <f>IF(AB7="","",INDEX(L7:N7,1,AB7))</f>
        <v/>
      </c>
      <c r="AF7" s="65">
        <f>IF(AB7="","",INDEX(Y7:AA7,1,AB7))</f>
        <v/>
      </c>
      <c r="AG7" s="65">
        <f>IF(AB7="","",INDEX(V7:X7,1,AB7)-INDEX(S7:U7,1,AB7))</f>
        <v/>
      </c>
      <c r="AH7" s="68">
        <f>IF(AB7="","· enter odds",IF(OR(AF7&gt;Method!$B$87,IFERROR(INDEX(BC7:BE7,1,AB7)/INDEX(S7:U7,1,AB7),0)&gt;Method!$B$88),"PASS",IF(AND(AF7&gt;=Method!$B$7,AG7&gt;=Method!$B$8),"BET","PASS")))</f>
        <v/>
      </c>
      <c r="AI7" s="69">
        <f>IF(AH7&lt;&gt;"BET",0,ROUND(MIN(Method!$B$6,Method!$B$5*AL7)*100,1))</f>
        <v/>
      </c>
      <c r="AJ7" s="70">
        <f>IF(OR(AH7&lt;&gt;"BET",Method!$B$55=TRUE()),0,IF(AI7*Method!$B$10/100&lt;Method!$B$9,0,ROUND(AI7*Method!$B$10/100,0)))</f>
        <v/>
      </c>
      <c r="AK7" s="64">
        <f>IF(AB7="","",INDEX(V7:X7,1,AB7))</f>
        <v/>
      </c>
      <c r="AL7" s="64">
        <f>IF(AH7&lt;&gt;"BET","",MAX(0,(AK7*AE7-1)/(AE7-1)))</f>
        <v/>
      </c>
      <c r="AM7" s="65">
        <f>IF(AH7="BET",AF7+A7/1000000,"")</f>
        <v/>
      </c>
      <c r="AN7" s="71">
        <f>IF(Matchday!N9="","",Matchday!N9)</f>
        <v/>
      </c>
      <c r="AO7" s="63">
        <f>IF(Matchday!P9="","",Matchday!P9)</f>
        <v/>
      </c>
      <c r="AP7" s="72">
        <f>IF(Matchday!Q9="","",Matchday!Q9)</f>
        <v/>
      </c>
      <c r="AQ7" s="71">
        <f>IF(Matchday!R9="","",Matchday!R9)</f>
        <v/>
      </c>
      <c r="AR7" s="73">
        <f>IF(OR(AN7&lt;&gt;"Y",AQ7="",AV7=""),"",IF(AQ7="Void",0,IF(AQ7=AV7,ROUND(AP7*(AO7-1),2),-AP7)))</f>
        <v/>
      </c>
      <c r="AS7" s="73">
        <f>IF(AR7="","",SUM($AR$2:AR7))</f>
        <v/>
      </c>
      <c r="AT7" s="31">
        <f>IF(AB7="","Type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pauses.")),IF(AH7="BET",IF(AJ7=0,"Edge found but stake rounds under £"&amp;Method!$B$9&amp;" — skip",IF(AND(AE7&gt;=6,AG7&gt;=0.15),"🟡 WAIT — long-shot review: odds "&amp;TEXT(AE7,"0.00")&amp;" + edge "&amp;TEXT(AG7,"0.0%")&amp;" — verify sharp-book + team news + stake comfort before Placed=Y","Value found: EV "&amp;TEXT(AF7,"0.0%")&amp;", edge "&amp;TEXT(AG7,"0.0%"))),IF(OR(AF7&gt;Method!$B$87,IFERROR(INDEX(BC7:BE7,1,AB7)/INDEX(S7:U7,1,AB7),0)&gt;Method!$B$88),"🛑 Tail trap — auto-PASS · EV "&amp;TEXT(AF7,"0.0%")&amp;" (cap "&amp;TEXT(Method!$B$87,"0%")&amp;") · model/market "&amp;TEXT(IFERROR(INDEX(BC7:BE7,1,AB7)/INDEX(S7:U7,1,AB7),0),"0.0")&amp;"× (cap "&amp;TEXT(Method!$B$88,"0.0")&amp;"×)",IF(AF7&lt;Method!$B$7,"Price too short — EV "&amp;TEXT(AF7,"0.0%")&amp;" (need "&amp;TEXT(Method!$B$7,"0.0%")&amp;"+)","Model ≈ market — edge "&amp;TEXT(AG7,"0.0%")&amp;" (need "&amp;TEXT(Method!$B$8,"0.0%")&amp;"+)")))))</f>
        <v/>
      </c>
      <c r="AU7" s="31">
        <f>IF(AN7&lt;&gt;"Y","",IF(AH7="· enter odds","⚠ type the 3 odds (1/X/2) to grade this bet",IF(OR(AV7="",AO7="",AP7=""),"⚠ log backed pick, odds &amp; stake",IF(AZ7&lt;&gt;"BET","⚠ FUN BET — engine said pass · staked £"&amp;AP7&amp;" vs engine £"&amp;BA7,IF(AV7&lt;&gt;IF(AY7="",AC7,AY7),"⚠ backed "&amp;AV7&amp;" but engine pick was "&amp;IF(AY7="",AC7,AY7),IF(AP7&gt;BA7,"⚠ stake over engine £"&amp;BA7,IF(ABS(AO7-IFERROR(INDEX(L7:N7,1,MATCH(AV7,{"H","D","A"},0)),AE7))&gt;0.02,"⚠ odds moved — re-check value","✓ engine bet")))))))</f>
        <v/>
      </c>
      <c r="AV7" s="59">
        <f>IF(Matchday!O9="","",Matchday!O9)</f>
        <v/>
      </c>
      <c r="AW7" s="79" t="inlineStr">
        <is>
          <t>BET</t>
        </is>
      </c>
      <c r="AX7" s="79" t="n">
        <v>5</v>
      </c>
      <c r="AY7" s="79" t="inlineStr">
        <is>
          <t>A</t>
        </is>
      </c>
      <c r="AZ7" s="79">
        <f>IF(AW7="",AH7,AW7)</f>
        <v/>
      </c>
      <c r="BA7" s="75">
        <f>IF(AX7&lt;&gt;"",AX7,IF(AH7&lt;&gt;"BET",0,IF(AI7*Method!$B$10/100&lt;Method!$B$9,0,ROUND(AI7*Method!$B$10/100,0))))</f>
        <v/>
      </c>
      <c r="BB7" s="77" t="n">
        <v>-9.699999999999999</v>
      </c>
      <c r="BC7" s="77" t="n">
        <v>0.4570413147270225</v>
      </c>
      <c r="BD7" s="77" t="n">
        <v>0.2669256806877941</v>
      </c>
      <c r="BE7" s="77" t="n">
        <v>0.2760330045851834</v>
      </c>
      <c r="BF7" s="14" t="inlineStr">
        <is>
          <t>Brazil team-wide: -16 · Morocco team-wide: +6</t>
        </is>
      </c>
      <c r="BG7" s="77" t="n">
        <v>7</v>
      </c>
      <c r="BH7" s="77" t="inlineStr">
        <is>
          <t>warm_humid</t>
        </is>
      </c>
      <c r="BI7" s="77" t="n">
        <v>0</v>
      </c>
    </row>
    <row r="8" ht="15" customHeight="1" s="153">
      <c r="A8" s="59" t="n">
        <v>7</v>
      </c>
      <c r="B8" s="58" t="n">
        <v>46186</v>
      </c>
      <c r="C8" s="59" t="inlineStr">
        <is>
          <t>C</t>
        </is>
      </c>
      <c r="D8" s="66" t="inlineStr">
        <is>
          <t>Haiti</t>
        </is>
      </c>
      <c r="E8" s="66" t="inlineStr">
        <is>
          <t>Scotland</t>
        </is>
      </c>
      <c r="F8" s="66" t="inlineStr">
        <is>
          <t>Foxborough</t>
        </is>
      </c>
      <c r="G8" s="61" t="n">
        <v>0.875</v>
      </c>
      <c r="H8" s="59" t="inlineStr">
        <is>
          <t>02:00 +1d</t>
        </is>
      </c>
      <c r="I8" s="64" t="n">
        <v>0.2111215650266093</v>
      </c>
      <c r="J8" s="64" t="n">
        <v>0.2688989237842374</v>
      </c>
      <c r="K8" s="64" t="n">
        <v>0.5199795111891531</v>
      </c>
      <c r="L8" s="63">
        <f>IF(Matchday!E10="","",Matchday!E10)</f>
        <v/>
      </c>
      <c r="M8" s="63">
        <f>IF(Matchday!F10="","",Matchday!F10)</f>
        <v/>
      </c>
      <c r="N8" s="63">
        <f>IF(Matchday!G10="","",Matchday!G10)</f>
        <v/>
      </c>
      <c r="O8" s="64">
        <f>IF(L8="","",1/L8)</f>
        <v/>
      </c>
      <c r="P8" s="64">
        <f>IF(M8="","",1/M8)</f>
        <v/>
      </c>
      <c r="Q8" s="64">
        <f>IF(N8="","",1/N8)</f>
        <v/>
      </c>
      <c r="R8" s="64">
        <f>IF(COUNT(L8:N8)&lt;3,"",O8+P8+Q8)</f>
        <v/>
      </c>
      <c r="S8" s="64">
        <f t="array" ref="S8">IF($R8="","",IF(Method!$B$56="proportional",O8/$R8,IF(Method!$B$56="power",IFERROR(INDEX(power_devig($L8,$M8,$N8),1,1),O8/$R8),IFERROR(INDEX(shin($L8,$M8,$N8),1,1),O8/$R8))))</f>
        <v/>
      </c>
      <c r="T8" s="64">
        <f t="array" ref="T8">IF($R8="","",IF(Method!$B$56="proportional",P8/$R8,IF(Method!$B$56="power",IFERROR(INDEX(power_devig($L8,$M8,$N8),2,1),P8/$R8),IFERROR(INDEX(shin($L8,$M8,$N8),2,1),P8/$R8))))</f>
        <v/>
      </c>
      <c r="U8" s="64">
        <f t="array" ref="U8">IF($R8="","",IF(Method!$B$56="proportional",Q8/$R8,IF(Method!$B$56="power",IFERROR(INDEX(power_devig($L8,$M8,$N8),3,1),Q8/$R8),IFERROR(INDEX(shin($L8,$M8,$N8),3,1),Q8/$R8))))</f>
        <v/>
      </c>
      <c r="V8" s="64">
        <f>IF(S8="","",Method!$B$4*IF(BC8="",I8,BC8)+(1-Method!$B$4)*S8/($S8+$T8+$U8))</f>
        <v/>
      </c>
      <c r="W8" s="64">
        <f>IF(T8="","",Method!$B$4*IF(BD8="",J8,BD8)+(1-Method!$B$4)*T8/($S8+$T8+$U8))</f>
        <v/>
      </c>
      <c r="X8" s="64">
        <f>IF(U8="","",Method!$B$4*IF(BE8="",K8,BE8)+(1-Method!$B$4)*U8/($S8+$T8+$U8))</f>
        <v/>
      </c>
      <c r="Y8" s="65">
        <f>IF(V8="","",V8*L8-1)</f>
        <v/>
      </c>
      <c r="Z8" s="65">
        <f>IF(W8="","",W8*M8-1)</f>
        <v/>
      </c>
      <c r="AA8" s="65">
        <f>IF(X8="","",X8*N8-1)</f>
        <v/>
      </c>
      <c r="AB8" s="66">
        <f>IF(Y8="","",MATCH(MAX(Y8:AA8),Y8:AA8,0))</f>
        <v/>
      </c>
      <c r="AC8" s="66">
        <f>IF(AB8="","",CHOOSE(AB8,"H","D","A"))</f>
        <v/>
      </c>
      <c r="AD8" s="67">
        <f>IF(AB8="","",CHOOSE(AB8,"1  "&amp;D8,"X  Draw","2  "&amp;E8))</f>
        <v/>
      </c>
      <c r="AE8" s="33">
        <f>IF(AB8="","",INDEX(L8:N8,1,AB8))</f>
        <v/>
      </c>
      <c r="AF8" s="65">
        <f>IF(AB8="","",INDEX(Y8:AA8,1,AB8))</f>
        <v/>
      </c>
      <c r="AG8" s="65">
        <f>IF(AB8="","",INDEX(V8:X8,1,AB8)-INDEX(S8:U8,1,AB8))</f>
        <v/>
      </c>
      <c r="AH8" s="68">
        <f>IF(AB8="","· enter odds",IF(OR(AF8&gt;Method!$B$87,IFERROR(INDEX(BC8:BE8,1,AB8)/INDEX(S8:U8,1,AB8),0)&gt;Method!$B$88),"PASS",IF(AND(AF8&gt;=Method!$B$7,AG8&gt;=Method!$B$8),"BET","PASS")))</f>
        <v/>
      </c>
      <c r="AI8" s="69">
        <f>IF(AH8&lt;&gt;"BET",0,ROUND(MIN(Method!$B$6,Method!$B$5*AL8)*100,1))</f>
        <v/>
      </c>
      <c r="AJ8" s="70">
        <f>IF(OR(AH8&lt;&gt;"BET",Method!$B$55=TRUE()),0,IF(AI8*Method!$B$10/100&lt;Method!$B$9,0,ROUND(AI8*Method!$B$10/100,0)))</f>
        <v/>
      </c>
      <c r="AK8" s="64">
        <f>IF(AB8="","",INDEX(V8:X8,1,AB8))</f>
        <v/>
      </c>
      <c r="AL8" s="64">
        <f>IF(AH8&lt;&gt;"BET","",MAX(0,(AK8*AE8-1)/(AE8-1)))</f>
        <v/>
      </c>
      <c r="AM8" s="66">
        <f>IF(AH8="BET",AF8+A8/1000000,"")</f>
        <v/>
      </c>
      <c r="AN8" s="71">
        <f>IF(Matchday!N10="","",Matchday!N10)</f>
        <v/>
      </c>
      <c r="AO8" s="63">
        <f>IF(Matchday!P10="","",Matchday!P10)</f>
        <v/>
      </c>
      <c r="AP8" s="72">
        <f>IF(Matchday!Q10="","",Matchday!Q10)</f>
        <v/>
      </c>
      <c r="AQ8" s="71">
        <f>IF(Matchday!R10="","",Matchday!R10)</f>
        <v/>
      </c>
      <c r="AR8" s="73">
        <f>IF(OR(AN8&lt;&gt;"Y",AQ8="",AV8=""),"",IF(AQ8="Void",0,IF(AQ8=AV8,ROUND(AP8*(AO8-1),2),-AP8)))</f>
        <v/>
      </c>
      <c r="AS8" s="73">
        <f>IF(AR8="","",SUM($AR$2:AR8))</f>
        <v/>
      </c>
      <c r="AT8" s="31">
        <f>IF(AB8="","Type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pauses.")),IF(AH8="BET",IF(AJ8=0,"Edge found but stake rounds under £"&amp;Method!$B$9&amp;" — skip",IF(AND(AE8&gt;=6,AG8&gt;=0.15),"🟡 WAIT — long-shot review: odds "&amp;TEXT(AE8,"0.00")&amp;" + edge "&amp;TEXT(AG8,"0.0%")&amp;" — verify sharp-book + team news + stake comfort before Placed=Y","Value found: EV "&amp;TEXT(AF8,"0.0%")&amp;", edge "&amp;TEXT(AG8,"0.0%"))),IF(OR(AF8&gt;Method!$B$87,IFERROR(INDEX(BC8:BE8,1,AB8)/INDEX(S8:U8,1,AB8),0)&gt;Method!$B$88),"🛑 Tail trap — auto-PASS · EV "&amp;TEXT(AF8,"0.0%")&amp;" (cap "&amp;TEXT(Method!$B$87,"0%")&amp;") · model/market "&amp;TEXT(IFERROR(INDEX(BC8:BE8,1,AB8)/INDEX(S8:U8,1,AB8),0),"0.0")&amp;"× (cap "&amp;TEXT(Method!$B$88,"0.0")&amp;"×)",IF(AF8&lt;Method!$B$7,"Price too short — EV "&amp;TEXT(AF8,"0.0%")&amp;" (need "&amp;TEXT(Method!$B$7,"0.0%")&amp;"+)","Model ≈ market — edge "&amp;TEXT(AG8,"0.0%")&amp;" (need "&amp;TEXT(Method!$B$8,"0.0%")&amp;"+)")))))</f>
        <v/>
      </c>
      <c r="AU8" s="31">
        <f>IF(AN8&lt;&gt;"Y","",IF(AH8="· enter odds","⚠ type the 3 odds (1/X/2) to grade this bet",IF(OR(AV8="",AO8="",AP8=""),"⚠ log backed pick, odds &amp; stake",IF(AZ8&lt;&gt;"BET","⚠ FUN BET — engine said pass · staked £"&amp;AP8&amp;" vs engine £"&amp;BA8,IF(AV8&lt;&gt;IF(AY8="",AC8,AY8),"⚠ backed "&amp;AV8&amp;" but engine pick was "&amp;IF(AY8="",AC8,AY8),IF(AP8&gt;BA8,"⚠ stake over engine £"&amp;BA8,IF(ABS(AO8-IFERROR(INDEX(L8:N8,1,MATCH(AV8,{"H","D","A"},0)),AE8))&gt;0.02,"⚠ odds moved — re-check value","✓ engine bet")))))))</f>
        <v/>
      </c>
      <c r="AV8" s="59">
        <f>IF(Matchday!O10="","",Matchday!O10)</f>
        <v/>
      </c>
      <c r="AW8" s="79" t="n"/>
      <c r="AX8" s="79" t="n"/>
      <c r="AY8" s="79" t="n"/>
      <c r="AZ8" s="79">
        <f>IF(AW8="",AH8,AW8)</f>
        <v/>
      </c>
      <c r="BA8" s="75">
        <f>IF(AX8&lt;&gt;"",AX8,IF(AH8&lt;&gt;"BET",0,IF(AI8*Method!$B$10/100&lt;Method!$B$9,0,ROUND(AI8*Method!$B$10/100,0))))</f>
        <v/>
      </c>
      <c r="BB8" s="77" t="n">
        <v>-11.28</v>
      </c>
      <c r="BC8" s="77" t="n">
        <v>0.1959097702320776</v>
      </c>
      <c r="BD8" s="77" t="n">
        <v>0.2794539171032581</v>
      </c>
      <c r="BE8" s="77" t="n">
        <v>0.5246363126646642</v>
      </c>
      <c r="BF8" s="14" t="inlineStr">
        <is>
          <t>Haiti team-wide: -7 · Scotland team-wide: -4</t>
        </is>
      </c>
      <c r="BG8" s="77" t="n">
        <v>40</v>
      </c>
      <c r="BH8" s="77" t="inlineStr">
        <is>
          <t>warm</t>
        </is>
      </c>
      <c r="BI8" s="77" t="n">
        <v>0</v>
      </c>
    </row>
    <row r="9" ht="15" customHeight="1" s="153">
      <c r="A9" s="59" t="n">
        <v>8</v>
      </c>
      <c r="B9" s="58" t="n">
        <v>46186</v>
      </c>
      <c r="C9" s="59" t="inlineStr">
        <is>
          <t>D</t>
        </is>
      </c>
      <c r="D9" s="66" t="inlineStr">
        <is>
          <t>Australia</t>
        </is>
      </c>
      <c r="E9" s="66" t="inlineStr">
        <is>
          <t>Turkey</t>
        </is>
      </c>
      <c r="F9" s="66" t="inlineStr">
        <is>
          <t>Vancouver</t>
        </is>
      </c>
      <c r="G9" s="61" t="n">
        <v>0.875</v>
      </c>
      <c r="H9" s="59" t="inlineStr">
        <is>
          <t>05:00 +1d</t>
        </is>
      </c>
      <c r="I9" s="64" t="n">
        <v>0.3613932988086465</v>
      </c>
      <c r="J9" s="64" t="n">
        <v>0.3063987188186807</v>
      </c>
      <c r="K9" s="64" t="n">
        <v>0.3322079823726728</v>
      </c>
      <c r="L9" s="63">
        <f>IF(Matchday!E11="","",Matchday!E11)</f>
        <v/>
      </c>
      <c r="M9" s="63">
        <f>IF(Matchday!F11="","",Matchday!F11)</f>
        <v/>
      </c>
      <c r="N9" s="63">
        <f>IF(Matchday!G11="","",Matchday!G11)</f>
        <v/>
      </c>
      <c r="O9" s="64">
        <f>IF(L9="","",1/L9)</f>
        <v/>
      </c>
      <c r="P9" s="64">
        <f>IF(M9="","",1/M9)</f>
        <v/>
      </c>
      <c r="Q9" s="64">
        <f>IF(N9="","",1/N9)</f>
        <v/>
      </c>
      <c r="R9" s="64">
        <f>IF(COUNT(L9:N9)&lt;3,"",O9+P9+Q9)</f>
        <v/>
      </c>
      <c r="S9" s="64">
        <f t="array" ref="S9">IF($R9="","",IF(Method!$B$56="proportional",O9/$R9,IF(Method!$B$56="power",IFERROR(INDEX(power_devig($L9,$M9,$N9),1,1),O9/$R9),IFERROR(INDEX(shin($L9,$M9,$N9),1,1),O9/$R9))))</f>
        <v/>
      </c>
      <c r="T9" s="64">
        <f t="array" ref="T9">IF($R9="","",IF(Method!$B$56="proportional",P9/$R9,IF(Method!$B$56="power",IFERROR(INDEX(power_devig($L9,$M9,$N9),2,1),P9/$R9),IFERROR(INDEX(shin($L9,$M9,$N9),2,1),P9/$R9))))</f>
        <v/>
      </c>
      <c r="U9" s="64">
        <f t="array" ref="U9">IF($R9="","",IF(Method!$B$56="proportional",Q9/$R9,IF(Method!$B$56="power",IFERROR(INDEX(power_devig($L9,$M9,$N9),3,1),Q9/$R9),IFERROR(INDEX(shin($L9,$M9,$N9),3,1),Q9/$R9))))</f>
        <v/>
      </c>
      <c r="V9" s="64">
        <f>IF(S9="","",Method!$B$4*IF(BC9="",I9,BC9)+(1-Method!$B$4)*S9/($S9+$T9+$U9))</f>
        <v/>
      </c>
      <c r="W9" s="64">
        <f>IF(T9="","",Method!$B$4*IF(BD9="",J9,BD9)+(1-Method!$B$4)*T9/($S9+$T9+$U9))</f>
        <v/>
      </c>
      <c r="X9" s="64">
        <f>IF(U9="","",Method!$B$4*IF(BE9="",K9,BE9)+(1-Method!$B$4)*U9/($S9+$T9+$U9))</f>
        <v/>
      </c>
      <c r="Y9" s="65">
        <f>IF(V9="","",V9*L9-1)</f>
        <v/>
      </c>
      <c r="Z9" s="65">
        <f>IF(W9="","",W9*M9-1)</f>
        <v/>
      </c>
      <c r="AA9" s="65">
        <f>IF(X9="","",X9*N9-1)</f>
        <v/>
      </c>
      <c r="AB9" s="66">
        <f>IF(Y9="","",MATCH(MAX(Y9:AA9),Y9:AA9,0))</f>
        <v/>
      </c>
      <c r="AC9" s="66">
        <f>IF(AB9="","",CHOOSE(AB9,"H","D","A"))</f>
        <v/>
      </c>
      <c r="AD9" s="67">
        <f>IF(AB9="","",CHOOSE(AB9,"1  "&amp;D9,"X  Draw","2  "&amp;E9))</f>
        <v/>
      </c>
      <c r="AE9" s="33">
        <f>IF(AB9="","",INDEX(L9:N9,1,AB9))</f>
        <v/>
      </c>
      <c r="AF9" s="65">
        <f>IF(AB9="","",INDEX(Y9:AA9,1,AB9))</f>
        <v/>
      </c>
      <c r="AG9" s="65">
        <f>IF(AB9="","",INDEX(V9:X9,1,AB9)-INDEX(S9:U9,1,AB9))</f>
        <v/>
      </c>
      <c r="AH9" s="68">
        <f>IF(AB9="","· enter odds",IF(OR(AF9&gt;Method!$B$87,IFERROR(INDEX(BC9:BE9,1,AB9)/INDEX(S9:U9,1,AB9),0)&gt;Method!$B$88),"PASS",IF(AND(AF9&gt;=Method!$B$7,AG9&gt;=Method!$B$8),"BET","PASS")))</f>
        <v/>
      </c>
      <c r="AI9" s="69">
        <f>IF(AH9&lt;&gt;"BET",0,ROUND(MIN(Method!$B$6,Method!$B$5*AL9)*100,1))</f>
        <v/>
      </c>
      <c r="AJ9" s="70">
        <f>IF(OR(AH9&lt;&gt;"BET",Method!$B$55=TRUE()),0,IF(AI9*Method!$B$10/100&lt;Method!$B$9,0,ROUND(AI9*Method!$B$10/100,0)))</f>
        <v/>
      </c>
      <c r="AK9" s="64">
        <f>IF(AB9="","",INDEX(V9:X9,1,AB9))</f>
        <v/>
      </c>
      <c r="AL9" s="64">
        <f>IF(AH9&lt;&gt;"BET","",MAX(0,(AK9*AE9-1)/(AE9-1)))</f>
        <v/>
      </c>
      <c r="AM9" s="65">
        <f>IF(AH9="BET",AF9+A9/1000000,"")</f>
        <v/>
      </c>
      <c r="AN9" s="71">
        <f>IF(Matchday!N11="","",Matchday!N11)</f>
        <v/>
      </c>
      <c r="AO9" s="63">
        <f>IF(Matchday!P11="","",Matchday!P11)</f>
        <v/>
      </c>
      <c r="AP9" s="72">
        <f>IF(Matchday!Q11="","",Matchday!Q11)</f>
        <v/>
      </c>
      <c r="AQ9" s="71">
        <f>IF(Matchday!R11="","",Matchday!R11)</f>
        <v/>
      </c>
      <c r="AR9" s="73">
        <f>IF(OR(AN9&lt;&gt;"Y",AQ9="",AV9=""),"",IF(AQ9="Void",0,IF(AQ9=AV9,ROUND(AP9*(AO9-1),2),-AP9)))</f>
        <v/>
      </c>
      <c r="AS9" s="73">
        <f>IF(AR9="","",SUM($AR$2:AR9))</f>
        <v/>
      </c>
      <c r="AT9" s="31">
        <f>IF(AB9="","Type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pauses.")),IF(AH9="BET",IF(AJ9=0,"Edge found but stake rounds under £"&amp;Method!$B$9&amp;" — skip",IF(AND(AE9&gt;=6,AG9&gt;=0.15),"🟡 WAIT — long-shot review: odds "&amp;TEXT(AE9,"0.00")&amp;" + edge "&amp;TEXT(AG9,"0.0%")&amp;" — verify sharp-book + team news + stake comfort before Placed=Y","Value found: EV "&amp;TEXT(AF9,"0.0%")&amp;", edge "&amp;TEXT(AG9,"0.0%"))),IF(OR(AF9&gt;Method!$B$87,IFERROR(INDEX(BC9:BE9,1,AB9)/INDEX(S9:U9,1,AB9),0)&gt;Method!$B$88),"🛑 Tail trap — auto-PASS · EV "&amp;TEXT(AF9,"0.0%")&amp;" (cap "&amp;TEXT(Method!$B$87,"0%")&amp;") · model/market "&amp;TEXT(IFERROR(INDEX(BC9:BE9,1,AB9)/INDEX(S9:U9,1,AB9),0),"0.0")&amp;"× (cap "&amp;TEXT(Method!$B$88,"0.0")&amp;"×)",IF(AF9&lt;Method!$B$7,"Price too short — EV "&amp;TEXT(AF9,"0.0%")&amp;" (need "&amp;TEXT(Method!$B$7,"0.0%")&amp;"+)","Model ≈ market — edge "&amp;TEXT(AG9,"0.0%")&amp;" (need "&amp;TEXT(Method!$B$8,"0.0%")&amp;"+)")))))</f>
        <v/>
      </c>
      <c r="AU9" s="31">
        <f>IF(AN9&lt;&gt;"Y","",IF(AH9="· enter odds","⚠ type the 3 odds (1/X/2) to grade this bet",IF(OR(AV9="",AO9="",AP9=""),"⚠ log backed pick, odds &amp; stake",IF(AZ9&lt;&gt;"BET","⚠ FUN BET — engine said pass · staked £"&amp;AP9&amp;" vs engine £"&amp;BA9,IF(AV9&lt;&gt;IF(AY9="",AC9,AY9),"⚠ backed "&amp;AV9&amp;" but engine pick was "&amp;IF(AY9="",AC9,AY9),IF(AP9&gt;BA9,"⚠ stake over engine £"&amp;BA9,IF(ABS(AO9-IFERROR(INDEX(L9:N9,1,MATCH(AV9,{"H","D","A"},0)),AE9))&gt;0.02,"⚠ odds moved — re-check value","✓ engine bet")))))))</f>
        <v/>
      </c>
      <c r="AV9" s="59">
        <f>IF(Matchday!O11="","",Matchday!O11)</f>
        <v/>
      </c>
      <c r="AW9" s="79" t="inlineStr">
        <is>
          <t>BET</t>
        </is>
      </c>
      <c r="AX9" s="79" t="n">
        <v>0</v>
      </c>
      <c r="AY9" s="79" t="inlineStr">
        <is>
          <t>H</t>
        </is>
      </c>
      <c r="AZ9" s="79">
        <f>IF(AW9="",AH9,AW9)</f>
        <v/>
      </c>
      <c r="BA9" s="75">
        <f>IF(AX9&lt;&gt;"",AX9,IF(AH9&lt;&gt;"BET",0,IF(AI9*Method!$B$10/100&lt;Method!$B$9,0,ROUND(AI9*Method!$B$10/100,0))))</f>
        <v/>
      </c>
      <c r="BB9" s="77" t="n">
        <v>-21.66</v>
      </c>
      <c r="BC9" s="77" t="n">
        <v>0.3676152687118938</v>
      </c>
      <c r="BD9" s="77" t="n">
        <v>0.2586055617882926</v>
      </c>
      <c r="BE9" s="77" t="n">
        <v>0.3737791694998136</v>
      </c>
      <c r="BF9" s="14" t="inlineStr">
        <is>
          <t>Australia team-wide: -26 · Turkey team-wide: +4</t>
        </is>
      </c>
      <c r="BG9" s="77" t="n">
        <v>0</v>
      </c>
      <c r="BH9" s="77" t="inlineStr">
        <is>
          <t>mild_indoor</t>
        </is>
      </c>
      <c r="BI9" s="77" t="n">
        <v>0</v>
      </c>
    </row>
    <row r="10" ht="15" customHeight="1" s="153">
      <c r="A10" s="59" t="n">
        <v>9</v>
      </c>
      <c r="B10" s="58" t="n">
        <v>46187</v>
      </c>
      <c r="C10" s="59" t="inlineStr">
        <is>
          <t>E</t>
        </is>
      </c>
      <c r="D10" s="66" t="inlineStr">
        <is>
          <t>Germany</t>
        </is>
      </c>
      <c r="E10" s="66" t="inlineStr">
        <is>
          <t>Curacao</t>
        </is>
      </c>
      <c r="F10" s="66" t="inlineStr">
        <is>
          <t>Houston</t>
        </is>
      </c>
      <c r="G10" s="61" t="n">
        <v>0.5</v>
      </c>
      <c r="H10" s="61" t="n">
        <v>0.75</v>
      </c>
      <c r="I10" s="64" t="n">
        <v>0.738737054896899</v>
      </c>
      <c r="J10" s="64" t="n">
        <v>0.1796393706617592</v>
      </c>
      <c r="K10" s="64" t="n">
        <v>0.08162357444134172</v>
      </c>
      <c r="L10" s="63">
        <f>IF(Matchday!E12="","",Matchday!E12)</f>
        <v/>
      </c>
      <c r="M10" s="63">
        <f>IF(Matchday!F12="","",Matchday!F12)</f>
        <v/>
      </c>
      <c r="N10" s="63">
        <f>IF(Matchday!G12="","",Matchday!G12)</f>
        <v/>
      </c>
      <c r="O10" s="64">
        <f>IF(L10="","",1/L10)</f>
        <v/>
      </c>
      <c r="P10" s="64">
        <f>IF(M10="","",1/M10)</f>
        <v/>
      </c>
      <c r="Q10" s="64">
        <f>IF(N10="","",1/N10)</f>
        <v/>
      </c>
      <c r="R10" s="64">
        <f>IF(COUNT(L10:N10)&lt;3,"",O10+P10+Q10)</f>
        <v/>
      </c>
      <c r="S10" s="64">
        <f t="array" ref="S10">IF($R10="","",IF(Method!$B$56="proportional",O10/$R10,IF(Method!$B$56="power",IFERROR(INDEX(power_devig($L10,$M10,$N10),1,1),O10/$R10),IFERROR(INDEX(shin($L10,$M10,$N10),1,1),O10/$R10))))</f>
        <v/>
      </c>
      <c r="T10" s="64">
        <f t="array" ref="T10">IF($R10="","",IF(Method!$B$56="proportional",P10/$R10,IF(Method!$B$56="power",IFERROR(INDEX(power_devig($L10,$M10,$N10),2,1),P10/$R10),IFERROR(INDEX(shin($L10,$M10,$N10),2,1),P10/$R10))))</f>
        <v/>
      </c>
      <c r="U10" s="64">
        <f t="array" ref="U10">IF($R10="","",IF(Method!$B$56="proportional",Q10/$R10,IF(Method!$B$56="power",IFERROR(INDEX(power_devig($L10,$M10,$N10),3,1),Q10/$R10),IFERROR(INDEX(shin($L10,$M10,$N10),3,1),Q10/$R10))))</f>
        <v/>
      </c>
      <c r="V10" s="64">
        <f>IF(S10="","",Method!$B$4*IF(BC10="",I10,BC10)+(1-Method!$B$4)*S10/($S10+$T10+$U10))</f>
        <v/>
      </c>
      <c r="W10" s="64">
        <f>IF(T10="","",Method!$B$4*IF(BD10="",J10,BD10)+(1-Method!$B$4)*T10/($S10+$T10+$U10))</f>
        <v/>
      </c>
      <c r="X10" s="64">
        <f>IF(U10="","",Method!$B$4*IF(BE10="",K10,BE10)+(1-Method!$B$4)*U10/($S10+$T10+$U10))</f>
        <v/>
      </c>
      <c r="Y10" s="65">
        <f>IF(V10="","",V10*L10-1)</f>
        <v/>
      </c>
      <c r="Z10" s="65">
        <f>IF(W10="","",W10*M10-1)</f>
        <v/>
      </c>
      <c r="AA10" s="65">
        <f>IF(X10="","",X10*N10-1)</f>
        <v/>
      </c>
      <c r="AB10" s="66">
        <f>IF(Y10="","",MATCH(MAX(Y10:AA10),Y10:AA10,0))</f>
        <v/>
      </c>
      <c r="AC10" s="66">
        <f>IF(AB10="","",CHOOSE(AB10,"H","D","A"))</f>
        <v/>
      </c>
      <c r="AD10" s="67">
        <f>IF(AB10="","",CHOOSE(AB10,"1  "&amp;D10,"X  Draw","2  "&amp;E10))</f>
        <v/>
      </c>
      <c r="AE10" s="33">
        <f>IF(AB10="","",INDEX(L10:N10,1,AB10))</f>
        <v/>
      </c>
      <c r="AF10" s="65">
        <f>IF(AB10="","",INDEX(Y10:AA10,1,AB10))</f>
        <v/>
      </c>
      <c r="AG10" s="65">
        <f>IF(AB10="","",INDEX(V10:X10,1,AB10)-INDEX(S10:U10,1,AB10))</f>
        <v/>
      </c>
      <c r="AH10" s="68">
        <f>IF(AB10="","· enter odds",IF(OR(AF10&gt;Method!$B$87,IFERROR(INDEX(BC10:BE10,1,AB10)/INDEX(S10:U10,1,AB10),0)&gt;Method!$B$88),"PASS",IF(AND(AF10&gt;=Method!$B$7,AG10&gt;=Method!$B$8),"BET","PASS")))</f>
        <v/>
      </c>
      <c r="AI10" s="69">
        <f>IF(AH10&lt;&gt;"BET",0,ROUND(MIN(Method!$B$6,Method!$B$5*AL10)*100,1))</f>
        <v/>
      </c>
      <c r="AJ10" s="70">
        <f>IF(OR(AH10&lt;&gt;"BET",Method!$B$55=TRUE()),0,IF(AI10*Method!$B$10/100&lt;Method!$B$9,0,ROUND(AI10*Method!$B$10/100,0)))</f>
        <v/>
      </c>
      <c r="AK10" s="64">
        <f>IF(AB10="","",INDEX(V10:X10,1,AB10))</f>
        <v/>
      </c>
      <c r="AL10" s="64">
        <f>IF(AH10&lt;&gt;"BET","",MAX(0,(AK10*AE10-1)/(AE10-1)))</f>
        <v/>
      </c>
      <c r="AM10" s="65">
        <f>IF(AH10="BET",AF10+A10/1000000,"")</f>
        <v/>
      </c>
      <c r="AN10" s="71">
        <f>IF(Matchday!N12="","",Matchday!N12)</f>
        <v/>
      </c>
      <c r="AO10" s="63">
        <f>IF(Matchday!P12="","",Matchday!P12)</f>
        <v/>
      </c>
      <c r="AP10" s="72">
        <f>IF(Matchday!Q12="","",Matchday!Q12)</f>
        <v/>
      </c>
      <c r="AQ10" s="71">
        <f>IF(Matchday!R12="","",Matchday!R12)</f>
        <v/>
      </c>
      <c r="AR10" s="73">
        <f>IF(OR(AN10&lt;&gt;"Y",AQ10="",AV10=""),"",IF(AQ10="Void",0,IF(AQ10=AV10,ROUND(AP10*(AO10-1),2),-AP10)))</f>
        <v/>
      </c>
      <c r="AS10" s="73">
        <f>IF(AR10="","",SUM($AR$2:AR10))</f>
        <v/>
      </c>
      <c r="AT10" s="31">
        <f>IF(AB10="","Type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pauses.")),IF(AH10="BET",IF(AJ10=0,"Edge found but stake rounds under £"&amp;Method!$B$9&amp;" — skip",IF(AND(AE10&gt;=6,AG10&gt;=0.15),"🟡 WAIT — long-shot review: odds "&amp;TEXT(AE10,"0.00")&amp;" + edge "&amp;TEXT(AG10,"0.0%")&amp;" — verify sharp-book + team news + stake comfort before Placed=Y","Value found: EV "&amp;TEXT(AF10,"0.0%")&amp;", edge "&amp;TEXT(AG10,"0.0%"))),IF(OR(AF10&gt;Method!$B$87,IFERROR(INDEX(BC10:BE10,1,AB10)/INDEX(S10:U10,1,AB10),0)&gt;Method!$B$88),"🛑 Tail trap — auto-PASS · EV "&amp;TEXT(AF10,"0.0%")&amp;" (cap "&amp;TEXT(Method!$B$87,"0%")&amp;") · model/market "&amp;TEXT(IFERROR(INDEX(BC10:BE10,1,AB10)/INDEX(S10:U10,1,AB10),0),"0.0")&amp;"× (cap "&amp;TEXT(Method!$B$88,"0.0")&amp;"×)",IF(AF10&lt;Method!$B$7,"Price too short — EV "&amp;TEXT(AF10,"0.0%")&amp;" (need "&amp;TEXT(Method!$B$7,"0.0%")&amp;"+)","Model ≈ market — edge "&amp;TEXT(AG10,"0.0%")&amp;" (need "&amp;TEXT(Method!$B$8,"0.0%")&amp;"+)")))))</f>
        <v/>
      </c>
      <c r="AU10" s="31">
        <f>IF(AN10&lt;&gt;"Y","",IF(AH10="· enter odds","⚠ type the 3 odds (1/X/2) to grade this bet",IF(OR(AV10="",AO10="",AP10=""),"⚠ log backed pick, odds &amp; stake",IF(AZ10&lt;&gt;"BET","⚠ FUN BET — engine said pass · staked £"&amp;AP10&amp;" vs engine £"&amp;BA10,IF(AV10&lt;&gt;IF(AY10="",AC10,AY10),"⚠ backed "&amp;AV10&amp;" but engine pick was "&amp;IF(AY10="",AC10,AY10),IF(AP10&gt;BA10,"⚠ stake over engine £"&amp;BA10,IF(ABS(AO10-IFERROR(INDEX(L10:N10,1,MATCH(AV10,{"H","D","A"},0)),AE10))&gt;0.02,"⚠ odds moved — re-check value","✓ engine bet")))))))</f>
        <v/>
      </c>
      <c r="AV10" s="59">
        <f>IF(Matchday!O12="","",Matchday!O12)</f>
        <v/>
      </c>
      <c r="AW10" s="79" t="inlineStr">
        <is>
          <t>BET</t>
        </is>
      </c>
      <c r="AX10" s="79" t="n">
        <v>6</v>
      </c>
      <c r="AY10" s="79" t="inlineStr">
        <is>
          <t>D</t>
        </is>
      </c>
      <c r="AZ10" s="79">
        <f>IF(AW10="",AH10,AW10)</f>
        <v/>
      </c>
      <c r="BA10" s="75">
        <f>IF(AX10&lt;&gt;"",AX10,IF(AH10&lt;&gt;"BET",0,IF(AI10*Method!$B$10/100&lt;Method!$B$9,0,ROUND(AI10*Method!$B$10/100,0))))</f>
        <v/>
      </c>
      <c r="BB10" s="77" t="n">
        <v>-27.21</v>
      </c>
      <c r="BC10" s="77" t="n">
        <v>0.7116149389295344</v>
      </c>
      <c r="BD10" s="77" t="n">
        <v>0.2045011517389603</v>
      </c>
      <c r="BE10" s="77" t="n">
        <v>0.08388390933150527</v>
      </c>
      <c r="BF10" s="77" t="inlineStr">
        <is>
          <t>Curacao team-wide: -13 · Germany team-wide: -14</t>
        </is>
      </c>
      <c r="BG10" s="77" t="n">
        <v>15</v>
      </c>
      <c r="BH10" s="77" t="inlineStr">
        <is>
          <t>very_hot_humid_indoor</t>
        </is>
      </c>
      <c r="BI10" s="77" t="n">
        <v>0</v>
      </c>
    </row>
    <row r="11" ht="15" customHeight="1" s="153">
      <c r="A11" s="59" t="n">
        <v>10</v>
      </c>
      <c r="B11" s="58" t="n">
        <v>46187</v>
      </c>
      <c r="C11" s="59" t="inlineStr">
        <is>
          <t>F</t>
        </is>
      </c>
      <c r="D11" s="66" t="inlineStr">
        <is>
          <t>Netherlands</t>
        </is>
      </c>
      <c r="E11" s="66" t="inlineStr">
        <is>
          <t>Japan</t>
        </is>
      </c>
      <c r="F11" s="66" t="inlineStr">
        <is>
          <t>Arlington</t>
        </is>
      </c>
      <c r="G11" s="61" t="n">
        <v>0.625</v>
      </c>
      <c r="H11" s="61" t="n">
        <v>0.875</v>
      </c>
      <c r="I11" s="64" t="n">
        <v>0.4321268290350539</v>
      </c>
      <c r="J11" s="64" t="n">
        <v>0.2887854722169292</v>
      </c>
      <c r="K11" s="64" t="n">
        <v>0.2790876987480169</v>
      </c>
      <c r="L11" s="63">
        <f>IF(Matchday!E13="","",Matchday!E13)</f>
        <v/>
      </c>
      <c r="M11" s="63">
        <f>IF(Matchday!F13="","",Matchday!F13)</f>
        <v/>
      </c>
      <c r="N11" s="63">
        <f>IF(Matchday!G13="","",Matchday!G13)</f>
        <v/>
      </c>
      <c r="O11" s="64">
        <f>IF(L11="","",1/L11)</f>
        <v/>
      </c>
      <c r="P11" s="64">
        <f>IF(M11="","",1/M11)</f>
        <v/>
      </c>
      <c r="Q11" s="64">
        <f>IF(N11="","",1/N11)</f>
        <v/>
      </c>
      <c r="R11" s="64">
        <f>IF(COUNT(L11:N11)&lt;3,"",O11+P11+Q11)</f>
        <v/>
      </c>
      <c r="S11" s="64">
        <f t="array" ref="S11">IF($R11="","",IF(Method!$B$56="proportional",O11/$R11,IF(Method!$B$56="power",IFERROR(INDEX(power_devig($L11,$M11,$N11),1,1),O11/$R11),IFERROR(INDEX(shin($L11,$M11,$N11),1,1),O11/$R11))))</f>
        <v/>
      </c>
      <c r="T11" s="64">
        <f t="array" ref="T11">IF($R11="","",IF(Method!$B$56="proportional",P11/$R11,IF(Method!$B$56="power",IFERROR(INDEX(power_devig($L11,$M11,$N11),2,1),P11/$R11),IFERROR(INDEX(shin($L11,$M11,$N11),2,1),P11/$R11))))</f>
        <v/>
      </c>
      <c r="U11" s="64">
        <f t="array" ref="U11">IF($R11="","",IF(Method!$B$56="proportional",Q11/$R11,IF(Method!$B$56="power",IFERROR(INDEX(power_devig($L11,$M11,$N11),3,1),Q11/$R11),IFERROR(INDEX(shin($L11,$M11,$N11),3,1),Q11/$R11))))</f>
        <v/>
      </c>
      <c r="V11" s="64">
        <f>IF(S11="","",Method!$B$4*IF(BC11="",I11,BC11)+(1-Method!$B$4)*S11/($S11+$T11+$U11))</f>
        <v/>
      </c>
      <c r="W11" s="64">
        <f>IF(T11="","",Method!$B$4*IF(BD11="",J11,BD11)+(1-Method!$B$4)*T11/($S11+$T11+$U11))</f>
        <v/>
      </c>
      <c r="X11" s="64">
        <f>IF(U11="","",Method!$B$4*IF(BE11="",K11,BE11)+(1-Method!$B$4)*U11/($S11+$T11+$U11))</f>
        <v/>
      </c>
      <c r="Y11" s="65">
        <f>IF(V11="","",V11*L11-1)</f>
        <v/>
      </c>
      <c r="Z11" s="65">
        <f>IF(W11="","",W11*M11-1)</f>
        <v/>
      </c>
      <c r="AA11" s="65">
        <f>IF(X11="","",X11*N11-1)</f>
        <v/>
      </c>
      <c r="AB11" s="66">
        <f>IF(Y11="","",MATCH(MAX(Y11:AA11),Y11:AA11,0))</f>
        <v/>
      </c>
      <c r="AC11" s="66">
        <f>IF(AB11="","",CHOOSE(AB11,"H","D","A"))</f>
        <v/>
      </c>
      <c r="AD11" s="67">
        <f>IF(AB11="","",CHOOSE(AB11,"1  "&amp;D11,"X  Draw","2  "&amp;E11))</f>
        <v/>
      </c>
      <c r="AE11" s="33">
        <f>IF(AB11="","",INDEX(L11:N11,1,AB11))</f>
        <v/>
      </c>
      <c r="AF11" s="65">
        <f>IF(AB11="","",INDEX(Y11:AA11,1,AB11))</f>
        <v/>
      </c>
      <c r="AG11" s="65">
        <f>IF(AB11="","",INDEX(V11:X11,1,AB11)-INDEX(S11:U11,1,AB11))</f>
        <v/>
      </c>
      <c r="AH11" s="68">
        <f>IF(AB11="","· enter odds",IF(OR(AF11&gt;Method!$B$87,IFERROR(INDEX(BC11:BE11,1,AB11)/INDEX(S11:U11,1,AB11),0)&gt;Method!$B$88),"PASS",IF(AND(AF11&gt;=Method!$B$7,AG11&gt;=Method!$B$8),"BET","PASS")))</f>
        <v/>
      </c>
      <c r="AI11" s="69">
        <f>IF(AH11&lt;&gt;"BET",0,ROUND(MIN(Method!$B$6,Method!$B$5*AL11)*100,1))</f>
        <v/>
      </c>
      <c r="AJ11" s="70">
        <f>IF(OR(AH11&lt;&gt;"BET",Method!$B$55=TRUE()),0,IF(AI11*Method!$B$10/100&lt;Method!$B$9,0,ROUND(AI11*Method!$B$10/100,0)))</f>
        <v/>
      </c>
      <c r="AK11" s="64">
        <f>IF(AB11="","",INDEX(V11:X11,1,AB11))</f>
        <v/>
      </c>
      <c r="AL11" s="64">
        <f>IF(AH11&lt;&gt;"BET","",MAX(0,(AK11*AE11-1)/(AE11-1)))</f>
        <v/>
      </c>
      <c r="AM11" s="66">
        <f>IF(AH11="BET",AF11+A11/1000000,"")</f>
        <v/>
      </c>
      <c r="AN11" s="71">
        <f>IF(Matchday!N13="","",Matchday!N13)</f>
        <v/>
      </c>
      <c r="AO11" s="63">
        <f>IF(Matchday!P13="","",Matchday!P13)</f>
        <v/>
      </c>
      <c r="AP11" s="72">
        <f>IF(Matchday!Q13="","",Matchday!Q13)</f>
        <v/>
      </c>
      <c r="AQ11" s="71">
        <f>IF(Matchday!R13="","",Matchday!R13)</f>
        <v/>
      </c>
      <c r="AR11" s="73">
        <f>IF(OR(AN11&lt;&gt;"Y",AQ11="",AV11=""),"",IF(AQ11="Void",0,IF(AQ11=AV11,ROUND(AP11*(AO11-1),2),-AP11)))</f>
        <v/>
      </c>
      <c r="AS11" s="73">
        <f>IF(AR11="","",SUM($AR$2:AR11))</f>
        <v/>
      </c>
      <c r="AT11" s="31">
        <f>IF(AB11="","Type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pauses.")),IF(AH11="BET",IF(AJ11=0,"Edge found but stake rounds under £"&amp;Method!$B$9&amp;" — skip",IF(AND(AE11&gt;=6,AG11&gt;=0.15),"🟡 WAIT — long-shot review: odds "&amp;TEXT(AE11,"0.00")&amp;" + edge "&amp;TEXT(AG11,"0.0%")&amp;" — verify sharp-book + team news + stake comfort before Placed=Y","Value found: EV "&amp;TEXT(AF11,"0.0%")&amp;", edge "&amp;TEXT(AG11,"0.0%"))),IF(OR(AF11&gt;Method!$B$87,IFERROR(INDEX(BC11:BE11,1,AB11)/INDEX(S11:U11,1,AB11),0)&gt;Method!$B$88),"🛑 Tail trap — auto-PASS · EV "&amp;TEXT(AF11,"0.0%")&amp;" (cap "&amp;TEXT(Method!$B$87,"0%")&amp;") · model/market "&amp;TEXT(IFERROR(INDEX(BC11:BE11,1,AB11)/INDEX(S11:U11,1,AB11),0),"0.0")&amp;"× (cap "&amp;TEXT(Method!$B$88,"0.0")&amp;"×)",IF(AF11&lt;Method!$B$7,"Price too short — EV "&amp;TEXT(AF11,"0.0%")&amp;" (need "&amp;TEXT(Method!$B$7,"0.0%")&amp;"+)","Model ≈ market — edge "&amp;TEXT(AG11,"0.0%")&amp;" (need "&amp;TEXT(Method!$B$8,"0.0%")&amp;"+)")))))</f>
        <v/>
      </c>
      <c r="AU11" s="31">
        <f>IF(AN11&lt;&gt;"Y","",IF(AH11="· enter odds","⚠ type the 3 odds (1/X/2) to grade this bet",IF(OR(AV11="",AO11="",AP11=""),"⚠ log backed pick, odds &amp; stake",IF(AZ11&lt;&gt;"BET","⚠ FUN BET — engine said pass · staked £"&amp;AP11&amp;" vs engine £"&amp;BA11,IF(AV11&lt;&gt;IF(AY11="",AC11,AY11),"⚠ backed "&amp;AV11&amp;" but engine pick was "&amp;IF(AY11="",AC11,AY11),IF(AP11&gt;BA11,"⚠ stake over engine £"&amp;BA11,IF(ABS(AO11-IFERROR(INDEX(L11:N11,1,MATCH(AV11,{"H","D","A"},0)),AE11))&gt;0.02,"⚠ odds moved — re-check value","✓ engine bet")))))))</f>
        <v/>
      </c>
      <c r="AV11" s="59">
        <f>IF(Matchday!O13="","",Matchday!O13)</f>
        <v/>
      </c>
      <c r="AW11" s="79" t="inlineStr">
        <is>
          <t>PASS</t>
        </is>
      </c>
      <c r="AX11" s="79" t="n">
        <v>0</v>
      </c>
      <c r="AY11" s="79" t="inlineStr">
        <is>
          <t>A</t>
        </is>
      </c>
      <c r="AZ11" s="79">
        <f>IF(AW11="",AH11,AW11)</f>
        <v/>
      </c>
      <c r="BA11" s="75">
        <f>IF(AX11&lt;&gt;"",AX11,IF(AH11&lt;&gt;"BET",0,IF(AI11*Method!$B$10/100&lt;Method!$B$9,0,ROUND(AI11*Method!$B$10/100,0))))</f>
        <v/>
      </c>
      <c r="BB11" s="77" t="n">
        <v>-26.08</v>
      </c>
      <c r="BC11" s="77" t="n">
        <v>0.4332599988749751</v>
      </c>
      <c r="BD11" s="77" t="n">
        <v>0.2662041860465985</v>
      </c>
      <c r="BE11" s="77" t="n">
        <v>0.3005358150784265</v>
      </c>
      <c r="BF11" s="77" t="inlineStr">
        <is>
          <t>Japan team-wide: -30 · Netherlands team-wide: +4</t>
        </is>
      </c>
      <c r="BG11" s="77" t="n">
        <v>175</v>
      </c>
      <c r="BH11" s="77" t="inlineStr">
        <is>
          <t>very_hot_indoor</t>
        </is>
      </c>
      <c r="BI11" s="77" t="n">
        <v>0</v>
      </c>
    </row>
    <row r="12" ht="15" customHeight="1" s="153">
      <c r="A12" s="59" t="n">
        <v>11</v>
      </c>
      <c r="B12" s="58" t="n">
        <v>46187</v>
      </c>
      <c r="C12" s="59" t="inlineStr">
        <is>
          <t>E</t>
        </is>
      </c>
      <c r="D12" s="66" t="inlineStr">
        <is>
          <t>Ivory Coast</t>
        </is>
      </c>
      <c r="E12" s="66" t="inlineStr">
        <is>
          <t>Ecuador</t>
        </is>
      </c>
      <c r="F12" s="66" t="inlineStr">
        <is>
          <t>Philadelphia</t>
        </is>
      </c>
      <c r="G12" s="61" t="n">
        <v>0.7916666666666666</v>
      </c>
      <c r="H12" s="59" t="inlineStr">
        <is>
          <t>00:00 +1d</t>
        </is>
      </c>
      <c r="I12" s="64" t="n">
        <v>0.2320528836076474</v>
      </c>
      <c r="J12" s="64" t="n">
        <v>0.2888432624675805</v>
      </c>
      <c r="K12" s="64" t="n">
        <v>0.4791038539247721</v>
      </c>
      <c r="L12" s="63">
        <f>IF(Matchday!E14="","",Matchday!E14)</f>
        <v/>
      </c>
      <c r="M12" s="63">
        <f>IF(Matchday!F14="","",Matchday!F14)</f>
        <v/>
      </c>
      <c r="N12" s="63">
        <f>IF(Matchday!G14="","",Matchday!G14)</f>
        <v/>
      </c>
      <c r="O12" s="64">
        <f>IF(L12="","",1/L12)</f>
        <v/>
      </c>
      <c r="P12" s="64">
        <f>IF(M12="","",1/M12)</f>
        <v/>
      </c>
      <c r="Q12" s="64">
        <f>IF(N12="","",1/N12)</f>
        <v/>
      </c>
      <c r="R12" s="64">
        <f>IF(COUNT(L12:N12)&lt;3,"",O12+P12+Q12)</f>
        <v/>
      </c>
      <c r="S12" s="64">
        <f t="array" ref="S12">IF($R12="","",IF(Method!$B$56="proportional",O12/$R12,IF(Method!$B$56="power",IFERROR(INDEX(power_devig($L12,$M12,$N12),1,1),O12/$R12),IFERROR(INDEX(shin($L12,$M12,$N12),1,1),O12/$R12))))</f>
        <v/>
      </c>
      <c r="T12" s="64">
        <f t="array" ref="T12">IF($R12="","",IF(Method!$B$56="proportional",P12/$R12,IF(Method!$B$56="power",IFERROR(INDEX(power_devig($L12,$M12,$N12),2,1),P12/$R12),IFERROR(INDEX(shin($L12,$M12,$N12),2,1),P12/$R12))))</f>
        <v/>
      </c>
      <c r="U12" s="64">
        <f t="array" ref="U12">IF($R12="","",IF(Method!$B$56="proportional",Q12/$R12,IF(Method!$B$56="power",IFERROR(INDEX(power_devig($L12,$M12,$N12),3,1),Q12/$R12),IFERROR(INDEX(shin($L12,$M12,$N12),3,1),Q12/$R12))))</f>
        <v/>
      </c>
      <c r="V12" s="64">
        <f>IF(S12="","",Method!$B$4*IF(BC12="",I12,BC12)+(1-Method!$B$4)*S12/($S12+$T12+$U12))</f>
        <v/>
      </c>
      <c r="W12" s="64">
        <f>IF(T12="","",Method!$B$4*IF(BD12="",J12,BD12)+(1-Method!$B$4)*T12/($S12+$T12+$U12))</f>
        <v/>
      </c>
      <c r="X12" s="64">
        <f>IF(U12="","",Method!$B$4*IF(BE12="",K12,BE12)+(1-Method!$B$4)*U12/($S12+$T12+$U12))</f>
        <v/>
      </c>
      <c r="Y12" s="65">
        <f>IF(V12="","",V12*L12-1)</f>
        <v/>
      </c>
      <c r="Z12" s="65">
        <f>IF(W12="","",W12*M12-1)</f>
        <v/>
      </c>
      <c r="AA12" s="65">
        <f>IF(X12="","",X12*N12-1)</f>
        <v/>
      </c>
      <c r="AB12" s="66">
        <f>IF(Y12="","",MATCH(MAX(Y12:AA12),Y12:AA12,0))</f>
        <v/>
      </c>
      <c r="AC12" s="66">
        <f>IF(AB12="","",CHOOSE(AB12,"H","D","A"))</f>
        <v/>
      </c>
      <c r="AD12" s="67">
        <f>IF(AB12="","",CHOOSE(AB12,"1  "&amp;D12,"X  Draw","2  "&amp;E12))</f>
        <v/>
      </c>
      <c r="AE12" s="33">
        <f>IF(AB12="","",INDEX(L12:N12,1,AB12))</f>
        <v/>
      </c>
      <c r="AF12" s="65">
        <f>IF(AB12="","",INDEX(Y12:AA12,1,AB12))</f>
        <v/>
      </c>
      <c r="AG12" s="65">
        <f>IF(AB12="","",INDEX(V12:X12,1,AB12)-INDEX(S12:U12,1,AB12))</f>
        <v/>
      </c>
      <c r="AH12" s="68">
        <f>IF(AB12="","· enter odds",IF(OR(AF12&gt;Method!$B$87,IFERROR(INDEX(BC12:BE12,1,AB12)/INDEX(S12:U12,1,AB12),0)&gt;Method!$B$88),"PASS",IF(AND(AF12&gt;=Method!$B$7,AG12&gt;=Method!$B$8),"BET","PASS")))</f>
        <v/>
      </c>
      <c r="AI12" s="69">
        <f>IF(AH12&lt;&gt;"BET",0,ROUND(MIN(Method!$B$6,Method!$B$5*AL12)*100,1))</f>
        <v/>
      </c>
      <c r="AJ12" s="70">
        <f>IF(OR(AH12&lt;&gt;"BET",Method!$B$55=TRUE()),0,IF(AI12*Method!$B$10/100&lt;Method!$B$9,0,ROUND(AI12*Method!$B$10/100,0)))</f>
        <v/>
      </c>
      <c r="AK12" s="64">
        <f>IF(AB12="","",INDEX(V12:X12,1,AB12))</f>
        <v/>
      </c>
      <c r="AL12" s="64">
        <f>IF(AH12&lt;&gt;"BET","",MAX(0,(AK12*AE12-1)/(AE12-1)))</f>
        <v/>
      </c>
      <c r="AM12" s="66">
        <f>IF(AH12="BET",AF12+A12/1000000,"")</f>
        <v/>
      </c>
      <c r="AN12" s="71">
        <f>IF(Matchday!N14="","",Matchday!N14)</f>
        <v/>
      </c>
      <c r="AO12" s="63">
        <f>IF(Matchday!P14="","",Matchday!P14)</f>
        <v/>
      </c>
      <c r="AP12" s="72">
        <f>IF(Matchday!Q14="","",Matchday!Q14)</f>
        <v/>
      </c>
      <c r="AQ12" s="71">
        <f>IF(Matchday!R14="","",Matchday!R14)</f>
        <v/>
      </c>
      <c r="AR12" s="73">
        <f>IF(OR(AN12&lt;&gt;"Y",AQ12="",AV12=""),"",IF(AQ12="Void",0,IF(AQ12=AV12,ROUND(AP12*(AO12-1),2),-AP12)))</f>
        <v/>
      </c>
      <c r="AS12" s="73">
        <f>IF(AR12="","",SUM($AR$2:AR12))</f>
        <v/>
      </c>
      <c r="AT12" s="31">
        <f>IF(AB12="","Type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pauses.")),IF(AH12="BET",IF(AJ12=0,"Edge found but stake rounds under £"&amp;Method!$B$9&amp;" — skip",IF(AND(AE12&gt;=6,AG12&gt;=0.15),"🟡 WAIT — long-shot review: odds "&amp;TEXT(AE12,"0.00")&amp;" + edge "&amp;TEXT(AG12,"0.0%")&amp;" — verify sharp-book + team news + stake comfort before Placed=Y","Value found: EV "&amp;TEXT(AF12,"0.0%")&amp;", edge "&amp;TEXT(AG12,"0.0%"))),IF(OR(AF12&gt;Method!$B$87,IFERROR(INDEX(BC12:BE12,1,AB12)/INDEX(S12:U12,1,AB12),0)&gt;Method!$B$88),"🛑 Tail trap — auto-PASS · EV "&amp;TEXT(AF12,"0.0%")&amp;" (cap "&amp;TEXT(Method!$B$87,"0%")&amp;") · model/market "&amp;TEXT(IFERROR(INDEX(BC12:BE12,1,AB12)/INDEX(S12:U12,1,AB12),0),"0.0")&amp;"× (cap "&amp;TEXT(Method!$B$88,"0.0")&amp;"×)",IF(AF12&lt;Method!$B$7,"Price too short — EV "&amp;TEXT(AF12,"0.0%")&amp;" (need "&amp;TEXT(Method!$B$7,"0.0%")&amp;"+)","Model ≈ market — edge "&amp;TEXT(AG12,"0.0%")&amp;" (need "&amp;TEXT(Method!$B$8,"0.0%")&amp;"+)")))))</f>
        <v/>
      </c>
      <c r="AU12" s="31">
        <f>IF(AN12&lt;&gt;"Y","",IF(AH12="· enter odds","⚠ type the 3 odds (1/X/2) to grade this bet",IF(OR(AV12="",AO12="",AP12=""),"⚠ log backed pick, odds &amp; stake",IF(AZ12&lt;&gt;"BET","⚠ FUN BET — engine said pass · staked £"&amp;AP12&amp;" vs engine £"&amp;BA12,IF(AV12&lt;&gt;IF(AY12="",AC12,AY12),"⚠ backed "&amp;AV12&amp;" but engine pick was "&amp;IF(AY12="",AC12,AY12),IF(AP12&gt;BA12,"⚠ stake over engine £"&amp;BA12,IF(ABS(AO12-IFERROR(INDEX(L12:N12,1,MATCH(AV12,{"H","D","A"},0)),AE12))&gt;0.02,"⚠ odds moved — re-check value","✓ engine bet")))))))</f>
        <v/>
      </c>
      <c r="AV12" s="59">
        <f>IF(Matchday!O14="","",Matchday!O14)</f>
        <v/>
      </c>
      <c r="AW12" s="79" t="n"/>
      <c r="AX12" s="79" t="n"/>
      <c r="AY12" s="79" t="n"/>
      <c r="AZ12" s="79">
        <f>IF(AW12="",AH12,AW12)</f>
        <v/>
      </c>
      <c r="BA12" s="75">
        <f>IF(AX12&lt;&gt;"",AX12,IF(AH12&lt;&gt;"BET",0,IF(AI12*Method!$B$10/100&lt;Method!$B$9,0,ROUND(AI12*Method!$B$10/100,0))))</f>
        <v/>
      </c>
      <c r="BB12" s="77" t="n">
        <v>5.07</v>
      </c>
      <c r="BC12" s="77" t="n">
        <v>0.2280823616479422</v>
      </c>
      <c r="BD12" s="77" t="n">
        <v>0.275875843861312</v>
      </c>
      <c r="BE12" s="77" t="n">
        <v>0.4960417944907459</v>
      </c>
      <c r="BF12" s="14" t="inlineStr">
        <is>
          <t>Ecuador team-wide: +4 · Ivory Coast team-wide: +1</t>
        </is>
      </c>
      <c r="BG12" s="77" t="n">
        <v>12</v>
      </c>
      <c r="BH12" s="77" t="inlineStr">
        <is>
          <t>warm_humid</t>
        </is>
      </c>
      <c r="BI12" s="77" t="n">
        <v>0</v>
      </c>
    </row>
    <row r="13" ht="15" customHeight="1" s="153">
      <c r="A13" s="59" t="n">
        <v>12</v>
      </c>
      <c r="B13" s="58" t="n">
        <v>46187</v>
      </c>
      <c r="C13" s="59" t="inlineStr">
        <is>
          <t>F</t>
        </is>
      </c>
      <c r="D13" s="66" t="inlineStr">
        <is>
          <t>Sweden</t>
        </is>
      </c>
      <c r="E13" s="66" t="inlineStr">
        <is>
          <t>Tunisia</t>
        </is>
      </c>
      <c r="F13" s="66" t="inlineStr">
        <is>
          <t>Guadalupe</t>
        </is>
      </c>
      <c r="G13" s="61" t="n">
        <v>0.8333333333333334</v>
      </c>
      <c r="H13" s="59" t="inlineStr">
        <is>
          <t>03:00 +1d</t>
        </is>
      </c>
      <c r="I13" s="64" t="n">
        <v>0.4019181911600584</v>
      </c>
      <c r="J13" s="64" t="n">
        <v>0.29248247393867</v>
      </c>
      <c r="K13" s="64" t="n">
        <v>0.3055993349012714</v>
      </c>
      <c r="L13" s="63">
        <f>IF(Matchday!E15="","",Matchday!E15)</f>
        <v/>
      </c>
      <c r="M13" s="63">
        <f>IF(Matchday!F15="","",Matchday!F15)</f>
        <v/>
      </c>
      <c r="N13" s="63">
        <f>IF(Matchday!G15="","",Matchday!G15)</f>
        <v/>
      </c>
      <c r="O13" s="64">
        <f>IF(L13="","",1/L13)</f>
        <v/>
      </c>
      <c r="P13" s="64">
        <f>IF(M13="","",1/M13)</f>
        <v/>
      </c>
      <c r="Q13" s="64">
        <f>IF(N13="","",1/N13)</f>
        <v/>
      </c>
      <c r="R13" s="64">
        <f>IF(COUNT(L13:N13)&lt;3,"",O13+P13+Q13)</f>
        <v/>
      </c>
      <c r="S13" s="64">
        <f t="array" ref="S13">IF($R13="","",IF(Method!$B$56="proportional",O13/$R13,IF(Method!$B$56="power",IFERROR(INDEX(power_devig($L13,$M13,$N13),1,1),O13/$R13),IFERROR(INDEX(shin($L13,$M13,$N13),1,1),O13/$R13))))</f>
        <v/>
      </c>
      <c r="T13" s="64">
        <f t="array" ref="T13">IF($R13="","",IF(Method!$B$56="proportional",P13/$R13,IF(Method!$B$56="power",IFERROR(INDEX(power_devig($L13,$M13,$N13),2,1),P13/$R13),IFERROR(INDEX(shin($L13,$M13,$N13),2,1),P13/$R13))))</f>
        <v/>
      </c>
      <c r="U13" s="64">
        <f t="array" ref="U13">IF($R13="","",IF(Method!$B$56="proportional",Q13/$R13,IF(Method!$B$56="power",IFERROR(INDEX(power_devig($L13,$M13,$N13),3,1),Q13/$R13),IFERROR(INDEX(shin($L13,$M13,$N13),3,1),Q13/$R13))))</f>
        <v/>
      </c>
      <c r="V13" s="64">
        <f>IF(S13="","",Method!$B$4*IF(BC13="",I13,BC13)+(1-Method!$B$4)*S13/($S13+$T13+$U13))</f>
        <v/>
      </c>
      <c r="W13" s="64">
        <f>IF(T13="","",Method!$B$4*IF(BD13="",J13,BD13)+(1-Method!$B$4)*T13/($S13+$T13+$U13))</f>
        <v/>
      </c>
      <c r="X13" s="64">
        <f>IF(U13="","",Method!$B$4*IF(BE13="",K13,BE13)+(1-Method!$B$4)*U13/($S13+$T13+$U13))</f>
        <v/>
      </c>
      <c r="Y13" s="65">
        <f>IF(V13="","",V13*L13-1)</f>
        <v/>
      </c>
      <c r="Z13" s="65">
        <f>IF(W13="","",W13*M13-1)</f>
        <v/>
      </c>
      <c r="AA13" s="65">
        <f>IF(X13="","",X13*N13-1)</f>
        <v/>
      </c>
      <c r="AB13" s="66">
        <f>IF(Y13="","",MATCH(MAX(Y13:AA13),Y13:AA13,0))</f>
        <v/>
      </c>
      <c r="AC13" s="66">
        <f>IF(AB13="","",CHOOSE(AB13,"H","D","A"))</f>
        <v/>
      </c>
      <c r="AD13" s="67">
        <f>IF(AB13="","",CHOOSE(AB13,"1  "&amp;D13,"X  Draw","2  "&amp;E13))</f>
        <v/>
      </c>
      <c r="AE13" s="33">
        <f>IF(AB13="","",INDEX(L13:N13,1,AB13))</f>
        <v/>
      </c>
      <c r="AF13" s="65">
        <f>IF(AB13="","",INDEX(Y13:AA13,1,AB13))</f>
        <v/>
      </c>
      <c r="AG13" s="65">
        <f>IF(AB13="","",INDEX(V13:X13,1,AB13)-INDEX(S13:U13,1,AB13))</f>
        <v/>
      </c>
      <c r="AH13" s="68">
        <f>IF(AB13="","· enter odds",IF(OR(AF13&gt;Method!$B$87,IFERROR(INDEX(BC13:BE13,1,AB13)/INDEX(S13:U13,1,AB13),0)&gt;Method!$B$88),"PASS",IF(AND(AF13&gt;=Method!$B$7,AG13&gt;=Method!$B$8),"BET","PASS")))</f>
        <v/>
      </c>
      <c r="AI13" s="69">
        <f>IF(AH13&lt;&gt;"BET",0,ROUND(MIN(Method!$B$6,Method!$B$5*AL13)*100,1))</f>
        <v/>
      </c>
      <c r="AJ13" s="70">
        <f>IF(OR(AH13&lt;&gt;"BET",Method!$B$55=TRUE()),0,IF(AI13*Method!$B$10/100&lt;Method!$B$9,0,ROUND(AI13*Method!$B$10/100,0)))</f>
        <v/>
      </c>
      <c r="AK13" s="64">
        <f>IF(AB13="","",INDEX(V13:X13,1,AB13))</f>
        <v/>
      </c>
      <c r="AL13" s="64">
        <f>IF(AH13&lt;&gt;"BET","",MAX(0,(AK13*AE13-1)/(AE13-1)))</f>
        <v/>
      </c>
      <c r="AM13" s="65">
        <f>IF(AH13="BET",AF13+A13/1000000,"")</f>
        <v/>
      </c>
      <c r="AN13" s="71">
        <f>IF(Matchday!N15="","",Matchday!N15)</f>
        <v/>
      </c>
      <c r="AO13" s="63">
        <f>IF(Matchday!P15="","",Matchday!P15)</f>
        <v/>
      </c>
      <c r="AP13" s="72">
        <f>IF(Matchday!Q15="","",Matchday!Q15)</f>
        <v/>
      </c>
      <c r="AQ13" s="71">
        <f>IF(Matchday!R15="","",Matchday!R15)</f>
        <v/>
      </c>
      <c r="AR13" s="73">
        <f>IF(OR(AN13&lt;&gt;"Y",AQ13="",AV13=""),"",IF(AQ13="Void",0,IF(AQ13=AV13,ROUND(AP13*(AO13-1),2),-AP13)))</f>
        <v/>
      </c>
      <c r="AS13" s="73">
        <f>IF(AR13="","",SUM($AR$2:AR13))</f>
        <v/>
      </c>
      <c r="AT13" s="31">
        <f>IF(AB13="","Type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pauses.")),IF(AH13="BET",IF(AJ13=0,"Edge found but stake rounds under £"&amp;Method!$B$9&amp;" — skip",IF(AND(AE13&gt;=6,AG13&gt;=0.15),"🟡 WAIT — long-shot review: odds "&amp;TEXT(AE13,"0.00")&amp;" + edge "&amp;TEXT(AG13,"0.0%")&amp;" — verify sharp-book + team news + stake comfort before Placed=Y","Value found: EV "&amp;TEXT(AF13,"0.0%")&amp;", edge "&amp;TEXT(AG13,"0.0%"))),IF(OR(AF13&gt;Method!$B$87,IFERROR(INDEX(BC13:BE13,1,AB13)/INDEX(S13:U13,1,AB13),0)&gt;Method!$B$88),"🛑 Tail trap — auto-PASS · EV "&amp;TEXT(AF13,"0.0%")&amp;" (cap "&amp;TEXT(Method!$B$87,"0%")&amp;") · model/market "&amp;TEXT(IFERROR(INDEX(BC13:BE13,1,AB13)/INDEX(S13:U13,1,AB13),0),"0.0")&amp;"× (cap "&amp;TEXT(Method!$B$88,"0.0")&amp;"×)",IF(AF13&lt;Method!$B$7,"Price too short — EV "&amp;TEXT(AF13,"0.0%")&amp;" (need "&amp;TEXT(Method!$B$7,"0.0%")&amp;"+)","Model ≈ market — edge "&amp;TEXT(AG13,"0.0%")&amp;" (need "&amp;TEXT(Method!$B$8,"0.0%")&amp;"+)")))))</f>
        <v/>
      </c>
      <c r="AU13" s="31">
        <f>IF(AN13&lt;&gt;"Y","",IF(AH13="· enter odds","⚠ type the 3 odds (1/X/2) to grade this bet",IF(OR(AV13="",AO13="",AP13=""),"⚠ log backed pick, odds &amp; stake",IF(AZ13&lt;&gt;"BET","⚠ FUN BET — engine said pass · staked £"&amp;AP13&amp;" vs engine £"&amp;BA13,IF(AV13&lt;&gt;IF(AY13="",AC13,AY13),"⚠ backed "&amp;AV13&amp;" but engine pick was "&amp;IF(AY13="",AC13,AY13),IF(AP13&gt;BA13,"⚠ stake over engine £"&amp;BA13,IF(ABS(AO13-IFERROR(INDEX(L13:N13,1,MATCH(AV13,{"H","D","A"},0)),AE13))&gt;0.02,"⚠ odds moved — re-check value","✓ engine bet")))))))</f>
        <v/>
      </c>
      <c r="AV13" s="59">
        <f>IF(Matchday!O15="","",Matchday!O15)</f>
        <v/>
      </c>
      <c r="AW13" s="79" t="n"/>
      <c r="AX13" s="79" t="n"/>
      <c r="AY13" s="79" t="n"/>
      <c r="AZ13" s="79">
        <f>IF(AW13="",AH13,AW13)</f>
        <v/>
      </c>
      <c r="BA13" s="75">
        <f>IF(AX13&lt;&gt;"",AX13,IF(AH13&lt;&gt;"BET",0,IF(AI13*Method!$B$10/100&lt;Method!$B$9,0,ROUND(AI13*Method!$B$10/100,0))))</f>
        <v/>
      </c>
      <c r="BB13" s="77" t="n">
        <v>-48.94</v>
      </c>
      <c r="BC13" s="77" t="n">
        <v>0.4025022074097124</v>
      </c>
      <c r="BD13" s="77" t="n">
        <v>0.2636945208586403</v>
      </c>
      <c r="BE13" s="77" t="n">
        <v>0.3338032717316473</v>
      </c>
      <c r="BF13" s="77" t="inlineStr">
        <is>
          <t>Sweden team-wide: -12 · Sweden weather: -4 · Tunisia team-wide: -33</t>
        </is>
      </c>
      <c r="BG13" s="77" t="n">
        <v>540</v>
      </c>
      <c r="BH13" s="77" t="inlineStr">
        <is>
          <t>very_hot</t>
        </is>
      </c>
      <c r="BI13" s="77" t="n">
        <v>0</v>
      </c>
    </row>
    <row r="14" ht="15" customHeight="1" s="153">
      <c r="A14" s="59" t="n">
        <v>13</v>
      </c>
      <c r="B14" s="58" t="n">
        <v>46188</v>
      </c>
      <c r="C14" s="59" t="inlineStr">
        <is>
          <t>H</t>
        </is>
      </c>
      <c r="D14" s="66" t="inlineStr">
        <is>
          <t>Spain</t>
        </is>
      </c>
      <c r="E14" s="66" t="inlineStr">
        <is>
          <t>Cape Verde</t>
        </is>
      </c>
      <c r="F14" s="66" t="inlineStr">
        <is>
          <t>Atlanta</t>
        </is>
      </c>
      <c r="G14" s="61" t="n">
        <v>0.5</v>
      </c>
      <c r="H14" s="61" t="n">
        <v>0.7083333333333334</v>
      </c>
      <c r="I14" s="64" t="n">
        <v>0.8591931449530917</v>
      </c>
      <c r="J14" s="64" t="n">
        <v>0.10076913082375</v>
      </c>
      <c r="K14" s="64" t="n">
        <v>0.04003772422315819</v>
      </c>
      <c r="L14" s="63">
        <f>IF(Matchday!E16="","",Matchday!E16)</f>
        <v/>
      </c>
      <c r="M14" s="63">
        <f>IF(Matchday!F16="","",Matchday!F16)</f>
        <v/>
      </c>
      <c r="N14" s="63">
        <f>IF(Matchday!G16="","",Matchday!G16)</f>
        <v/>
      </c>
      <c r="O14" s="64">
        <f>IF(L14="","",1/L14)</f>
        <v/>
      </c>
      <c r="P14" s="64">
        <f>IF(M14="","",1/M14)</f>
        <v/>
      </c>
      <c r="Q14" s="64">
        <f>IF(N14="","",1/N14)</f>
        <v/>
      </c>
      <c r="R14" s="64">
        <f>IF(COUNT(L14:N14)&lt;3,"",O14+P14+Q14)</f>
        <v/>
      </c>
      <c r="S14" s="64">
        <f t="array" ref="S14">IF($R14="","",IF(Method!$B$56="proportional",O14/$R14,IF(Method!$B$56="power",IFERROR(INDEX(power_devig($L14,$M14,$N14),1,1),O14/$R14),IFERROR(INDEX(shin($L14,$M14,$N14),1,1),O14/$R14))))</f>
        <v/>
      </c>
      <c r="T14" s="64">
        <f t="array" ref="T14">IF($R14="","",IF(Method!$B$56="proportional",P14/$R14,IF(Method!$B$56="power",IFERROR(INDEX(power_devig($L14,$M14,$N14),2,1),P14/$R14),IFERROR(INDEX(shin($L14,$M14,$N14),2,1),P14/$R14))))</f>
        <v/>
      </c>
      <c r="U14" s="64">
        <f t="array" ref="U14">IF($R14="","",IF(Method!$B$56="proportional",Q14/$R14,IF(Method!$B$56="power",IFERROR(INDEX(power_devig($L14,$M14,$N14),3,1),Q14/$R14),IFERROR(INDEX(shin($L14,$M14,$N14),3,1),Q14/$R14))))</f>
        <v/>
      </c>
      <c r="V14" s="64">
        <f>IF(S14="","",Method!$B$4*IF(BC14="",I14,BC14)+(1-Method!$B$4)*S14/($S14+$T14+$U14))</f>
        <v/>
      </c>
      <c r="W14" s="64">
        <f>IF(T14="","",Method!$B$4*IF(BD14="",J14,BD14)+(1-Method!$B$4)*T14/($S14+$T14+$U14))</f>
        <v/>
      </c>
      <c r="X14" s="64">
        <f>IF(U14="","",Method!$B$4*IF(BE14="",K14,BE14)+(1-Method!$B$4)*U14/($S14+$T14+$U14))</f>
        <v/>
      </c>
      <c r="Y14" s="65">
        <f>IF(V14="","",V14*L14-1)</f>
        <v/>
      </c>
      <c r="Z14" s="65">
        <f>IF(W14="","",W14*M14-1)</f>
        <v/>
      </c>
      <c r="AA14" s="65">
        <f>IF(X14="","",X14*N14-1)</f>
        <v/>
      </c>
      <c r="AB14" s="66">
        <f>IF(Y14="","",MATCH(MAX(Y14:AA14),Y14:AA14,0))</f>
        <v/>
      </c>
      <c r="AC14" s="66">
        <f>IF(AB14="","",CHOOSE(AB14,"H","D","A"))</f>
        <v/>
      </c>
      <c r="AD14" s="67">
        <f>IF(AB14="","",CHOOSE(AB14,"1  "&amp;D14,"X  Draw","2  "&amp;E14))</f>
        <v/>
      </c>
      <c r="AE14" s="33">
        <f>IF(AB14="","",INDEX(L14:N14,1,AB14))</f>
        <v/>
      </c>
      <c r="AF14" s="65">
        <f>IF(AB14="","",INDEX(Y14:AA14,1,AB14))</f>
        <v/>
      </c>
      <c r="AG14" s="65">
        <f>IF(AB14="","",INDEX(V14:X14,1,AB14)-INDEX(S14:U14,1,AB14))</f>
        <v/>
      </c>
      <c r="AH14" s="68">
        <f>IF(AB14="","· enter odds",IF(OR(AF14&gt;Method!$B$87,IFERROR(INDEX(BC14:BE14,1,AB14)/INDEX(S14:U14,1,AB14),0)&gt;Method!$B$88),"PASS",IF(AND(AF14&gt;=Method!$B$7,AG14&gt;=Method!$B$8),"BET","PASS")))</f>
        <v/>
      </c>
      <c r="AI14" s="69">
        <f>IF(AH14&lt;&gt;"BET",0,ROUND(MIN(Method!$B$6,Method!$B$5*AL14)*100,1))</f>
        <v/>
      </c>
      <c r="AJ14" s="70">
        <f>IF(OR(AH14&lt;&gt;"BET",Method!$B$55=TRUE()),0,IF(AI14*Method!$B$10/100&lt;Method!$B$9,0,ROUND(AI14*Method!$B$10/100,0)))</f>
        <v/>
      </c>
      <c r="AK14" s="64">
        <f>IF(AB14="","",INDEX(V14:X14,1,AB14))</f>
        <v/>
      </c>
      <c r="AL14" s="64">
        <f>IF(AH14&lt;&gt;"BET","",MAX(0,(AK14*AE14-1)/(AE14-1)))</f>
        <v/>
      </c>
      <c r="AM14" s="65">
        <f>IF(AH14="BET",AF14+A14/1000000,"")</f>
        <v/>
      </c>
      <c r="AN14" s="71">
        <f>IF(Matchday!N16="","",Matchday!N16)</f>
        <v/>
      </c>
      <c r="AO14" s="63">
        <f>IF(Matchday!P16="","",Matchday!P16)</f>
        <v/>
      </c>
      <c r="AP14" s="72">
        <f>IF(Matchday!Q16="","",Matchday!Q16)</f>
        <v/>
      </c>
      <c r="AQ14" s="71">
        <f>IF(Matchday!R16="","",Matchday!R16)</f>
        <v/>
      </c>
      <c r="AR14" s="73">
        <f>IF(OR(AN14&lt;&gt;"Y",AQ14="",AV14=""),"",IF(AQ14="Void",0,IF(AQ14=AV14,ROUND(AP14*(AO14-1),2),-AP14)))</f>
        <v/>
      </c>
      <c r="AS14" s="73">
        <f>IF(AR14="","",SUM($AR$2:AR14))</f>
        <v/>
      </c>
      <c r="AT14" s="31">
        <f>IF(AB14="","Type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pauses.")),IF(AH14="BET",IF(AJ14=0,"Edge found but stake rounds under £"&amp;Method!$B$9&amp;" — skip",IF(AND(AE14&gt;=6,AG14&gt;=0.15),"🟡 WAIT — long-shot review: odds "&amp;TEXT(AE14,"0.00")&amp;" + edge "&amp;TEXT(AG14,"0.0%")&amp;" — verify sharp-book + team news + stake comfort before Placed=Y","Value found: EV "&amp;TEXT(AF14,"0.0%")&amp;", edge "&amp;TEXT(AG14,"0.0%"))),IF(OR(AF14&gt;Method!$B$87,IFERROR(INDEX(BC14:BE14,1,AB14)/INDEX(S14:U14,1,AB14),0)&gt;Method!$B$88),"🛑 Tail trap — auto-PASS · EV "&amp;TEXT(AF14,"0.0%")&amp;" (cap "&amp;TEXT(Method!$B$87,"0%")&amp;") · model/market "&amp;TEXT(IFERROR(INDEX(BC14:BE14,1,AB14)/INDEX(S14:U14,1,AB14),0),"0.0")&amp;"× (cap "&amp;TEXT(Method!$B$88,"0.0")&amp;"×)",IF(AF14&lt;Method!$B$7,"Price too short — EV "&amp;TEXT(AF14,"0.0%")&amp;" (need "&amp;TEXT(Method!$B$7,"0.0%")&amp;"+)","Model ≈ market — edge "&amp;TEXT(AG14,"0.0%")&amp;" (need "&amp;TEXT(Method!$B$8,"0.0%")&amp;"+)")))))</f>
        <v/>
      </c>
      <c r="AU14" s="31">
        <f>IF(AN14&lt;&gt;"Y","",IF(AH14="· enter odds","⚠ type the 3 odds (1/X/2) to grade this bet",IF(OR(AV14="",AO14="",AP14=""),"⚠ log backed pick, odds &amp; stake",IF(AZ14&lt;&gt;"BET","⚠ FUN BET — engine said pass · staked £"&amp;AP14&amp;" vs engine £"&amp;BA14,IF(AV14&lt;&gt;IF(AY14="",AC14,AY14),"⚠ backed "&amp;AV14&amp;" but engine pick was "&amp;IF(AY14="",AC14,AY14),IF(AP14&gt;BA14,"⚠ stake over engine £"&amp;BA14,IF(ABS(AO14-IFERROR(INDEX(L14:N14,1,MATCH(AV14,{"H","D","A"},0)),AE14))&gt;0.02,"⚠ odds moved — re-check value","✓ engine bet")))))))</f>
        <v/>
      </c>
      <c r="AV14" s="59">
        <f>IF(Matchday!O16="","",Matchday!O16)</f>
        <v/>
      </c>
      <c r="AW14" s="79" t="n"/>
      <c r="AX14" s="79" t="n"/>
      <c r="AY14" s="79" t="n"/>
      <c r="AZ14" s="79">
        <f>IF(AW14="",AH14,AW14)</f>
        <v/>
      </c>
      <c r="BA14" s="75">
        <f>IF(AX14&lt;&gt;"",AX14,IF(AH14&lt;&gt;"BET",0,IF(AI14*Method!$B$10/100&lt;Method!$B$9,0,ROUND(AI14*Method!$B$10/100,0))))</f>
        <v/>
      </c>
      <c r="BB14" s="77" t="n">
        <v>-0.03000000000000114</v>
      </c>
      <c r="BC14" s="77" t="n">
        <v>0.844224524992453</v>
      </c>
      <c r="BD14" s="77" t="n">
        <v>0.1086570432397779</v>
      </c>
      <c r="BE14" s="77" t="n">
        <v>0.047118431767769</v>
      </c>
      <c r="BF14" s="14" t="inlineStr">
        <is>
          <t>Cape Verde team-wide: -18 · Spain team-wide: +18</t>
        </is>
      </c>
      <c r="BG14" s="77" t="n">
        <v>320</v>
      </c>
      <c r="BH14" s="77" t="inlineStr">
        <is>
          <t>hot_humid_indoor</t>
        </is>
      </c>
      <c r="BI14" s="77" t="n">
        <v>0</v>
      </c>
    </row>
    <row r="15" ht="15" customHeight="1" s="153">
      <c r="A15" s="59" t="n">
        <v>14</v>
      </c>
      <c r="B15" s="58" t="n">
        <v>46188</v>
      </c>
      <c r="C15" s="59" t="inlineStr">
        <is>
          <t>G</t>
        </is>
      </c>
      <c r="D15" s="66" t="inlineStr">
        <is>
          <t>Belgium</t>
        </is>
      </c>
      <c r="E15" s="66" t="inlineStr">
        <is>
          <t>Egypt</t>
        </is>
      </c>
      <c r="F15" s="66" t="inlineStr">
        <is>
          <t>Seattle</t>
        </is>
      </c>
      <c r="G15" s="61" t="n">
        <v>0.625</v>
      </c>
      <c r="H15" s="61" t="n">
        <v>0.9583333333333334</v>
      </c>
      <c r="I15" s="64" t="n">
        <v>0.4775669053379516</v>
      </c>
      <c r="J15" s="64" t="n">
        <v>0.2999973537184933</v>
      </c>
      <c r="K15" s="64" t="n">
        <v>0.222435740943555</v>
      </c>
      <c r="L15" s="63">
        <f>IF(Matchday!E17="","",Matchday!E17)</f>
        <v/>
      </c>
      <c r="M15" s="63">
        <f>IF(Matchday!F17="","",Matchday!F17)</f>
        <v/>
      </c>
      <c r="N15" s="63">
        <f>IF(Matchday!G17="","",Matchday!G17)</f>
        <v/>
      </c>
      <c r="O15" s="64">
        <f>IF(L15="","",1/L15)</f>
        <v/>
      </c>
      <c r="P15" s="64">
        <f>IF(M15="","",1/M15)</f>
        <v/>
      </c>
      <c r="Q15" s="64">
        <f>IF(N15="","",1/N15)</f>
        <v/>
      </c>
      <c r="R15" s="64">
        <f>IF(COUNT(L15:N15)&lt;3,"",O15+P15+Q15)</f>
        <v/>
      </c>
      <c r="S15" s="64">
        <f t="array" ref="S15">IF($R15="","",IF(Method!$B$56="proportional",O15/$R15,IF(Method!$B$56="power",IFERROR(INDEX(power_devig($L15,$M15,$N15),1,1),O15/$R15),IFERROR(INDEX(shin($L15,$M15,$N15),1,1),O15/$R15))))</f>
        <v/>
      </c>
      <c r="T15" s="64">
        <f t="array" ref="T15">IF($R15="","",IF(Method!$B$56="proportional",P15/$R15,IF(Method!$B$56="power",IFERROR(INDEX(power_devig($L15,$M15,$N15),2,1),P15/$R15),IFERROR(INDEX(shin($L15,$M15,$N15),2,1),P15/$R15))))</f>
        <v/>
      </c>
      <c r="U15" s="64">
        <f t="array" ref="U15">IF($R15="","",IF(Method!$B$56="proportional",Q15/$R15,IF(Method!$B$56="power",IFERROR(INDEX(power_devig($L15,$M15,$N15),3,1),Q15/$R15),IFERROR(INDEX(shin($L15,$M15,$N15),3,1),Q15/$R15))))</f>
        <v/>
      </c>
      <c r="V15" s="64">
        <f>IF(S15="","",Method!$B$4*IF(BC15="",I15,BC15)+(1-Method!$B$4)*S15/($S15+$T15+$U15))</f>
        <v/>
      </c>
      <c r="W15" s="64">
        <f>IF(T15="","",Method!$B$4*IF(BD15="",J15,BD15)+(1-Method!$B$4)*T15/($S15+$T15+$U15))</f>
        <v/>
      </c>
      <c r="X15" s="64">
        <f>IF(U15="","",Method!$B$4*IF(BE15="",K15,BE15)+(1-Method!$B$4)*U15/($S15+$T15+$U15))</f>
        <v/>
      </c>
      <c r="Y15" s="65">
        <f>IF(V15="","",V15*L15-1)</f>
        <v/>
      </c>
      <c r="Z15" s="65">
        <f>IF(W15="","",W15*M15-1)</f>
        <v/>
      </c>
      <c r="AA15" s="65">
        <f>IF(X15="","",X15*N15-1)</f>
        <v/>
      </c>
      <c r="AB15" s="66">
        <f>IF(Y15="","",MATCH(MAX(Y15:AA15),Y15:AA15,0))</f>
        <v/>
      </c>
      <c r="AC15" s="66">
        <f>IF(AB15="","",CHOOSE(AB15,"H","D","A"))</f>
        <v/>
      </c>
      <c r="AD15" s="67">
        <f>IF(AB15="","",CHOOSE(AB15,"1  "&amp;D15,"X  Draw","2  "&amp;E15))</f>
        <v/>
      </c>
      <c r="AE15" s="33">
        <f>IF(AB15="","",INDEX(L15:N15,1,AB15))</f>
        <v/>
      </c>
      <c r="AF15" s="65">
        <f>IF(AB15="","",INDEX(Y15:AA15,1,AB15))</f>
        <v/>
      </c>
      <c r="AG15" s="65">
        <f>IF(AB15="","",INDEX(V15:X15,1,AB15)-INDEX(S15:U15,1,AB15))</f>
        <v/>
      </c>
      <c r="AH15" s="68">
        <f>IF(AB15="","· enter odds",IF(OR(AF15&gt;Method!$B$87,IFERROR(INDEX(BC15:BE15,1,AB15)/INDEX(S15:U15,1,AB15),0)&gt;Method!$B$88),"PASS",IF(AND(AF15&gt;=Method!$B$7,AG15&gt;=Method!$B$8),"BET","PASS")))</f>
        <v/>
      </c>
      <c r="AI15" s="69">
        <f>IF(AH15&lt;&gt;"BET",0,ROUND(MIN(Method!$B$6,Method!$B$5*AL15)*100,1))</f>
        <v/>
      </c>
      <c r="AJ15" s="70">
        <f>IF(OR(AH15&lt;&gt;"BET",Method!$B$55=TRUE()),0,IF(AI15*Method!$B$10/100&lt;Method!$B$9,0,ROUND(AI15*Method!$B$10/100,0)))</f>
        <v/>
      </c>
      <c r="AK15" s="64">
        <f>IF(AB15="","",INDEX(V15:X15,1,AB15))</f>
        <v/>
      </c>
      <c r="AL15" s="64">
        <f>IF(AH15&lt;&gt;"BET","",MAX(0,(AK15*AE15-1)/(AE15-1)))</f>
        <v/>
      </c>
      <c r="AM15" s="65">
        <f>IF(AH15="BET",AF15+A15/1000000,"")</f>
        <v/>
      </c>
      <c r="AN15" s="71">
        <f>IF(Matchday!N17="","",Matchday!N17)</f>
        <v/>
      </c>
      <c r="AO15" s="63">
        <f>IF(Matchday!P17="","",Matchday!P17)</f>
        <v/>
      </c>
      <c r="AP15" s="72">
        <f>IF(Matchday!Q17="","",Matchday!Q17)</f>
        <v/>
      </c>
      <c r="AQ15" s="71">
        <f>IF(Matchday!R17="","",Matchday!R17)</f>
        <v/>
      </c>
      <c r="AR15" s="73">
        <f>IF(OR(AN15&lt;&gt;"Y",AQ15="",AV15=""),"",IF(AQ15="Void",0,IF(AQ15=AV15,ROUND(AP15*(AO15-1),2),-AP15)))</f>
        <v/>
      </c>
      <c r="AS15" s="73">
        <f>IF(AR15="","",SUM($AR$2:AR15))</f>
        <v/>
      </c>
      <c r="AT15" s="31">
        <f>IF(AB15="","Type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pauses.")),IF(AH15="BET",IF(AJ15=0,"Edge found but stake rounds under £"&amp;Method!$B$9&amp;" — skip",IF(AND(AE15&gt;=6,AG15&gt;=0.15),"🟡 WAIT — long-shot review: odds "&amp;TEXT(AE15,"0.00")&amp;" + edge "&amp;TEXT(AG15,"0.0%")&amp;" — verify sharp-book + team news + stake comfort before Placed=Y","Value found: EV "&amp;TEXT(AF15,"0.0%")&amp;", edge "&amp;TEXT(AG15,"0.0%"))),IF(OR(AF15&gt;Method!$B$87,IFERROR(INDEX(BC15:BE15,1,AB15)/INDEX(S15:U15,1,AB15),0)&gt;Method!$B$88),"🛑 Tail trap — auto-PASS · EV "&amp;TEXT(AF15,"0.0%")&amp;" (cap "&amp;TEXT(Method!$B$87,"0%")&amp;") · model/market "&amp;TEXT(IFERROR(INDEX(BC15:BE15,1,AB15)/INDEX(S15:U15,1,AB15),0),"0.0")&amp;"× (cap "&amp;TEXT(Method!$B$88,"0.0")&amp;"×)",IF(AF15&lt;Method!$B$7,"Price too short — EV "&amp;TEXT(AF15,"0.0%")&amp;" (need "&amp;TEXT(Method!$B$7,"0.0%")&amp;"+)","Model ≈ market — edge "&amp;TEXT(AG15,"0.0%")&amp;" (need "&amp;TEXT(Method!$B$8,"0.0%")&amp;"+)")))))</f>
        <v/>
      </c>
      <c r="AU15" s="31">
        <f>IF(AN15&lt;&gt;"Y","",IF(AH15="· enter odds","⚠ type the 3 odds (1/X/2) to grade this bet",IF(OR(AV15="",AO15="",AP15=""),"⚠ log backed pick, odds &amp; stake",IF(AZ15&lt;&gt;"BET","⚠ FUN BET — engine said pass · staked £"&amp;AP15&amp;" vs engine £"&amp;BA15,IF(AV15&lt;&gt;IF(AY15="",AC15,AY15),"⚠ backed "&amp;AV15&amp;" but engine pick was "&amp;IF(AY15="",AC15,AY15),IF(AP15&gt;BA15,"⚠ stake over engine £"&amp;BA15,IF(ABS(AO15-IFERROR(INDEX(L15:N15,1,MATCH(AV15,{"H","D","A"},0)),AE15))&gt;0.02,"⚠ odds moved — re-check value","✓ engine bet")))))))</f>
        <v/>
      </c>
      <c r="AV15" s="59">
        <f>IF(Matchday!O17="","",Matchday!O17)</f>
        <v/>
      </c>
      <c r="AW15" s="79" t="n"/>
      <c r="AX15" s="79" t="n"/>
      <c r="AY15" s="79" t="n"/>
      <c r="AZ15" s="79">
        <f>IF(AW15="",AH15,AW15)</f>
        <v/>
      </c>
      <c r="BA15" s="75">
        <f>IF(AX15&lt;&gt;"",AX15,IF(AH15&lt;&gt;"BET",0,IF(AI15*Method!$B$10/100&lt;Method!$B$9,0,ROUND(AI15*Method!$B$10/100,0))))</f>
        <v/>
      </c>
      <c r="BB15" s="77" t="n">
        <v>-40.04000000000001</v>
      </c>
      <c r="BC15" s="77" t="n">
        <v>0.4922225535191747</v>
      </c>
      <c r="BD15" s="77" t="n">
        <v>0.2659795722298079</v>
      </c>
      <c r="BE15" s="77" t="n">
        <v>0.2417978742510174</v>
      </c>
      <c r="BF15" s="77" t="inlineStr">
        <is>
          <t>Belgium team-wide: -17 · Egypt team-wide: -23</t>
        </is>
      </c>
      <c r="BG15" s="77" t="n">
        <v>5</v>
      </c>
      <c r="BH15" s="77" t="inlineStr">
        <is>
          <t>mild</t>
        </is>
      </c>
      <c r="BI15" s="77" t="n">
        <v>0</v>
      </c>
    </row>
    <row r="16" ht="15" customHeight="1" s="153">
      <c r="A16" s="59" t="n">
        <v>15</v>
      </c>
      <c r="B16" s="58" t="n">
        <v>46188</v>
      </c>
      <c r="C16" s="59" t="inlineStr">
        <is>
          <t>H</t>
        </is>
      </c>
      <c r="D16" s="66" t="inlineStr">
        <is>
          <t>Saudi Arabia</t>
        </is>
      </c>
      <c r="E16" s="66" t="inlineStr">
        <is>
          <t>Uruguay</t>
        </is>
      </c>
      <c r="F16" s="66" t="inlineStr">
        <is>
          <t>Miami Gardens</t>
        </is>
      </c>
      <c r="G16" s="61" t="n">
        <v>0.75</v>
      </c>
      <c r="H16" s="61" t="n">
        <v>0.9583333333333334</v>
      </c>
      <c r="I16" s="64" t="n">
        <v>0.1691468616528441</v>
      </c>
      <c r="J16" s="64" t="n">
        <v>0.2607174335888677</v>
      </c>
      <c r="K16" s="64" t="n">
        <v>0.5701357047582881</v>
      </c>
      <c r="L16" s="63">
        <f>IF(Matchday!E18="","",Matchday!E18)</f>
        <v/>
      </c>
      <c r="M16" s="63">
        <f>IF(Matchday!F18="","",Matchday!F18)</f>
        <v/>
      </c>
      <c r="N16" s="63">
        <f>IF(Matchday!G18="","",Matchday!G18)</f>
        <v/>
      </c>
      <c r="O16" s="64">
        <f>IF(L16="","",1/L16)</f>
        <v/>
      </c>
      <c r="P16" s="64">
        <f>IF(M16="","",1/M16)</f>
        <v/>
      </c>
      <c r="Q16" s="64">
        <f>IF(N16="","",1/N16)</f>
        <v/>
      </c>
      <c r="R16" s="64">
        <f>IF(COUNT(L16:N16)&lt;3,"",O16+P16+Q16)</f>
        <v/>
      </c>
      <c r="S16" s="64">
        <f t="array" ref="S16">IF($R16="","",IF(Method!$B$56="proportional",O16/$R16,IF(Method!$B$56="power",IFERROR(INDEX(power_devig($L16,$M16,$N16),1,1),O16/$R16),IFERROR(INDEX(shin($L16,$M16,$N16),1,1),O16/$R16))))</f>
        <v/>
      </c>
      <c r="T16" s="64">
        <f t="array" ref="T16">IF($R16="","",IF(Method!$B$56="proportional",P16/$R16,IF(Method!$B$56="power",IFERROR(INDEX(power_devig($L16,$M16,$N16),2,1),P16/$R16),IFERROR(INDEX(shin($L16,$M16,$N16),2,1),P16/$R16))))</f>
        <v/>
      </c>
      <c r="U16" s="64">
        <f t="array" ref="U16">IF($R16="","",IF(Method!$B$56="proportional",Q16/$R16,IF(Method!$B$56="power",IFERROR(INDEX(power_devig($L16,$M16,$N16),3,1),Q16/$R16),IFERROR(INDEX(shin($L16,$M16,$N16),3,1),Q16/$R16))))</f>
        <v/>
      </c>
      <c r="V16" s="64">
        <f>IF(S16="","",Method!$B$4*IF(BC16="",I16,BC16)+(1-Method!$B$4)*S16/($S16+$T16+$U16))</f>
        <v/>
      </c>
      <c r="W16" s="64">
        <f>IF(T16="","",Method!$B$4*IF(BD16="",J16,BD16)+(1-Method!$B$4)*T16/($S16+$T16+$U16))</f>
        <v/>
      </c>
      <c r="X16" s="64">
        <f>IF(U16="","",Method!$B$4*IF(BE16="",K16,BE16)+(1-Method!$B$4)*U16/($S16+$T16+$U16))</f>
        <v/>
      </c>
      <c r="Y16" s="65">
        <f>IF(V16="","",V16*L16-1)</f>
        <v/>
      </c>
      <c r="Z16" s="65">
        <f>IF(W16="","",W16*M16-1)</f>
        <v/>
      </c>
      <c r="AA16" s="65">
        <f>IF(X16="","",X16*N16-1)</f>
        <v/>
      </c>
      <c r="AB16" s="66">
        <f>IF(Y16="","",MATCH(MAX(Y16:AA16),Y16:AA16,0))</f>
        <v/>
      </c>
      <c r="AC16" s="66">
        <f>IF(AB16="","",CHOOSE(AB16,"H","D","A"))</f>
        <v/>
      </c>
      <c r="AD16" s="67">
        <f>IF(AB16="","",CHOOSE(AB16,"1  "&amp;D16,"X  Draw","2  "&amp;E16))</f>
        <v/>
      </c>
      <c r="AE16" s="33">
        <f>IF(AB16="","",INDEX(L16:N16,1,AB16))</f>
        <v/>
      </c>
      <c r="AF16" s="65">
        <f>IF(AB16="","",INDEX(Y16:AA16,1,AB16))</f>
        <v/>
      </c>
      <c r="AG16" s="65">
        <f>IF(AB16="","",INDEX(V16:X16,1,AB16)-INDEX(S16:U16,1,AB16))</f>
        <v/>
      </c>
      <c r="AH16" s="68">
        <f>IF(AB16="","· enter odds",IF(OR(AF16&gt;Method!$B$87,IFERROR(INDEX(BC16:BE16,1,AB16)/INDEX(S16:U16,1,AB16),0)&gt;Method!$B$88),"PASS",IF(AND(AF16&gt;=Method!$B$7,AG16&gt;=Method!$B$8),"BET","PASS")))</f>
        <v/>
      </c>
      <c r="AI16" s="69">
        <f>IF(AH16&lt;&gt;"BET",0,ROUND(MIN(Method!$B$6,Method!$B$5*AL16)*100,1))</f>
        <v/>
      </c>
      <c r="AJ16" s="70">
        <f>IF(OR(AH16&lt;&gt;"BET",Method!$B$55=TRUE()),0,IF(AI16*Method!$B$10/100&lt;Method!$B$9,0,ROUND(AI16*Method!$B$10/100,0)))</f>
        <v/>
      </c>
      <c r="AK16" s="64">
        <f>IF(AB16="","",INDEX(V16:X16,1,AB16))</f>
        <v/>
      </c>
      <c r="AL16" s="64">
        <f>IF(AH16&lt;&gt;"BET","",MAX(0,(AK16*AE16-1)/(AE16-1)))</f>
        <v/>
      </c>
      <c r="AM16" s="66">
        <f>IF(AH16="BET",AF16+A16/1000000,"")</f>
        <v/>
      </c>
      <c r="AN16" s="71">
        <f>IF(Matchday!N18="","",Matchday!N18)</f>
        <v/>
      </c>
      <c r="AO16" s="63">
        <f>IF(Matchday!P18="","",Matchday!P18)</f>
        <v/>
      </c>
      <c r="AP16" s="72">
        <f>IF(Matchday!Q18="","",Matchday!Q18)</f>
        <v/>
      </c>
      <c r="AQ16" s="71">
        <f>IF(Matchday!R18="","",Matchday!R18)</f>
        <v/>
      </c>
      <c r="AR16" s="73">
        <f>IF(OR(AN16&lt;&gt;"Y",AQ16="",AV16=""),"",IF(AQ16="Void",0,IF(AQ16=AV16,ROUND(AP16*(AO16-1),2),-AP16)))</f>
        <v/>
      </c>
      <c r="AS16" s="73">
        <f>IF(AR16="","",SUM($AR$2:AR16))</f>
        <v/>
      </c>
      <c r="AT16" s="31">
        <f>IF(AB16="","Type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pauses.")),IF(AH16="BET",IF(AJ16=0,"Edge found but stake rounds under £"&amp;Method!$B$9&amp;" — skip",IF(AND(AE16&gt;=6,AG16&gt;=0.15),"🟡 WAIT — long-shot review: odds "&amp;TEXT(AE16,"0.00")&amp;" + edge "&amp;TEXT(AG16,"0.0%")&amp;" — verify sharp-book + team news + stake comfort before Placed=Y","Value found: EV "&amp;TEXT(AF16,"0.0%")&amp;", edge "&amp;TEXT(AG16,"0.0%"))),IF(OR(AF16&gt;Method!$B$87,IFERROR(INDEX(BC16:BE16,1,AB16)/INDEX(S16:U16,1,AB16),0)&gt;Method!$B$88),"🛑 Tail trap — auto-PASS · EV "&amp;TEXT(AF16,"0.0%")&amp;" (cap "&amp;TEXT(Method!$B$87,"0%")&amp;") · model/market "&amp;TEXT(IFERROR(INDEX(BC16:BE16,1,AB16)/INDEX(S16:U16,1,AB16),0),"0.0")&amp;"× (cap "&amp;TEXT(Method!$B$88,"0.0")&amp;"×)",IF(AF16&lt;Method!$B$7,"Price too short — EV "&amp;TEXT(AF16,"0.0%")&amp;" (need "&amp;TEXT(Method!$B$7,"0.0%")&amp;"+)","Model ≈ market — edge "&amp;TEXT(AG16,"0.0%")&amp;" (need "&amp;TEXT(Method!$B$8,"0.0%")&amp;"+)")))))</f>
        <v/>
      </c>
      <c r="AU16" s="31">
        <f>IF(AN16&lt;&gt;"Y","",IF(AH16="· enter odds","⚠ type the 3 odds (1/X/2) to grade this bet",IF(OR(AV16="",AO16="",AP16=""),"⚠ log backed pick, odds &amp; stake",IF(AZ16&lt;&gt;"BET","⚠ FUN BET — engine said pass · staked £"&amp;AP16&amp;" vs engine £"&amp;BA16,IF(AV16&lt;&gt;IF(AY16="",AC16,AY16),"⚠ backed "&amp;AV16&amp;" but engine pick was "&amp;IF(AY16="",AC16,AY16),IF(AP16&gt;BA16,"⚠ stake over engine £"&amp;BA16,IF(ABS(AO16-IFERROR(INDEX(L16:N16,1,MATCH(AV16,{"H","D","A"},0)),AE16))&gt;0.02,"⚠ odds moved — re-check value","✓ engine bet")))))))</f>
        <v/>
      </c>
      <c r="AV16" s="59">
        <f>IF(Matchday!O18="","",Matchday!O18)</f>
        <v/>
      </c>
      <c r="AW16" s="79" t="n"/>
      <c r="AX16" s="79" t="n"/>
      <c r="AY16" s="79" t="n"/>
      <c r="AZ16" s="79">
        <f>IF(AW16="",AH16,AW16)</f>
        <v/>
      </c>
      <c r="BA16" s="75">
        <f>IF(AX16&lt;&gt;"",AX16,IF(AH16&lt;&gt;"BET",0,IF(AI16*Method!$B$10/100&lt;Method!$B$9,0,ROUND(AI16*Method!$B$10/100,0))))</f>
        <v/>
      </c>
      <c r="BB16" s="77" t="n">
        <v>-30.97</v>
      </c>
      <c r="BC16" s="77" t="n">
        <v>0.1473490534731181</v>
      </c>
      <c r="BD16" s="77" t="n">
        <v>0.2826123753465443</v>
      </c>
      <c r="BE16" s="77" t="n">
        <v>0.5700385711803375</v>
      </c>
      <c r="BF16" s="77" t="inlineStr">
        <is>
          <t>Saudi Arabia team-wide: -11 · Uruguay team-wide: -20</t>
        </is>
      </c>
      <c r="BG16" s="77" t="n">
        <v>2</v>
      </c>
      <c r="BH16" s="77" t="inlineStr">
        <is>
          <t>very_hot_humid</t>
        </is>
      </c>
      <c r="BI16" s="77" t="n">
        <v>0</v>
      </c>
    </row>
    <row r="17" ht="15" customHeight="1" s="153">
      <c r="A17" s="59" t="n">
        <v>16</v>
      </c>
      <c r="B17" s="58" t="n">
        <v>46188</v>
      </c>
      <c r="C17" s="59" t="inlineStr">
        <is>
          <t>G</t>
        </is>
      </c>
      <c r="D17" s="66" t="inlineStr">
        <is>
          <t>Iran</t>
        </is>
      </c>
      <c r="E17" s="66" t="inlineStr">
        <is>
          <t>New Zealand</t>
        </is>
      </c>
      <c r="F17" s="66" t="inlineStr">
        <is>
          <t>Inglewood</t>
        </is>
      </c>
      <c r="G17" s="61" t="n">
        <v>0.875</v>
      </c>
      <c r="H17" s="59" t="inlineStr">
        <is>
          <t>05:00 +1d</t>
        </is>
      </c>
      <c r="I17" s="64" t="n">
        <v>0.5316406199984137</v>
      </c>
      <c r="J17" s="64" t="n">
        <v>0.2808644874463062</v>
      </c>
      <c r="K17" s="64" t="n">
        <v>0.1874948925552803</v>
      </c>
      <c r="L17" s="63">
        <f>IF(Matchday!E19="","",Matchday!E19)</f>
        <v/>
      </c>
      <c r="M17" s="63">
        <f>IF(Matchday!F19="","",Matchday!F19)</f>
        <v/>
      </c>
      <c r="N17" s="63">
        <f>IF(Matchday!G19="","",Matchday!G19)</f>
        <v/>
      </c>
      <c r="O17" s="64">
        <f>IF(L17="","",1/L17)</f>
        <v/>
      </c>
      <c r="P17" s="64">
        <f>IF(M17="","",1/M17)</f>
        <v/>
      </c>
      <c r="Q17" s="64">
        <f>IF(N17="","",1/N17)</f>
        <v/>
      </c>
      <c r="R17" s="64">
        <f>IF(COUNT(L17:N17)&lt;3,"",O17+P17+Q17)</f>
        <v/>
      </c>
      <c r="S17" s="64">
        <f t="array" ref="S17">IF($R17="","",IF(Method!$B$56="proportional",O17/$R17,IF(Method!$B$56="power",IFERROR(INDEX(power_devig($L17,$M17,$N17),1,1),O17/$R17),IFERROR(INDEX(shin($L17,$M17,$N17),1,1),O17/$R17))))</f>
        <v/>
      </c>
      <c r="T17" s="64">
        <f t="array" ref="T17">IF($R17="","",IF(Method!$B$56="proportional",P17/$R17,IF(Method!$B$56="power",IFERROR(INDEX(power_devig($L17,$M17,$N17),2,1),P17/$R17),IFERROR(INDEX(shin($L17,$M17,$N17),2,1),P17/$R17))))</f>
        <v/>
      </c>
      <c r="U17" s="64">
        <f t="array" ref="U17">IF($R17="","",IF(Method!$B$56="proportional",Q17/$R17,IF(Method!$B$56="power",IFERROR(INDEX(power_devig($L17,$M17,$N17),3,1),Q17/$R17),IFERROR(INDEX(shin($L17,$M17,$N17),3,1),Q17/$R17))))</f>
        <v/>
      </c>
      <c r="V17" s="64">
        <f>IF(S17="","",Method!$B$4*IF(BC17="",I17,BC17)+(1-Method!$B$4)*S17/($S17+$T17+$U17))</f>
        <v/>
      </c>
      <c r="W17" s="64">
        <f>IF(T17="","",Method!$B$4*IF(BD17="",J17,BD17)+(1-Method!$B$4)*T17/($S17+$T17+$U17))</f>
        <v/>
      </c>
      <c r="X17" s="64">
        <f>IF(U17="","",Method!$B$4*IF(BE17="",K17,BE17)+(1-Method!$B$4)*U17/($S17+$T17+$U17))</f>
        <v/>
      </c>
      <c r="Y17" s="65">
        <f>IF(V17="","",V17*L17-1)</f>
        <v/>
      </c>
      <c r="Z17" s="65">
        <f>IF(W17="","",W17*M17-1)</f>
        <v/>
      </c>
      <c r="AA17" s="65">
        <f>IF(X17="","",X17*N17-1)</f>
        <v/>
      </c>
      <c r="AB17" s="66">
        <f>IF(Y17="","",MATCH(MAX(Y17:AA17),Y17:AA17,0))</f>
        <v/>
      </c>
      <c r="AC17" s="66">
        <f>IF(AB17="","",CHOOSE(AB17,"H","D","A"))</f>
        <v/>
      </c>
      <c r="AD17" s="67">
        <f>IF(AB17="","",CHOOSE(AB17,"1  "&amp;D17,"X  Draw","2  "&amp;E17))</f>
        <v/>
      </c>
      <c r="AE17" s="33">
        <f>IF(AB17="","",INDEX(L17:N17,1,AB17))</f>
        <v/>
      </c>
      <c r="AF17" s="65">
        <f>IF(AB17="","",INDEX(Y17:AA17,1,AB17))</f>
        <v/>
      </c>
      <c r="AG17" s="65">
        <f>IF(AB17="","",INDEX(V17:X17,1,AB17)-INDEX(S17:U17,1,AB17))</f>
        <v/>
      </c>
      <c r="AH17" s="68">
        <f>IF(AB17="","· enter odds",IF(OR(AF17&gt;Method!$B$87,IFERROR(INDEX(BC17:BE17,1,AB17)/INDEX(S17:U17,1,AB17),0)&gt;Method!$B$88),"PASS",IF(AND(AF17&gt;=Method!$B$7,AG17&gt;=Method!$B$8),"BET","PASS")))</f>
        <v/>
      </c>
      <c r="AI17" s="69">
        <f>IF(AH17&lt;&gt;"BET",0,ROUND(MIN(Method!$B$6,Method!$B$5*AL17)*100,1))</f>
        <v/>
      </c>
      <c r="AJ17" s="70">
        <f>IF(OR(AH17&lt;&gt;"BET",Method!$B$55=TRUE()),0,IF(AI17*Method!$B$10/100&lt;Method!$B$9,0,ROUND(AI17*Method!$B$10/100,0)))</f>
        <v/>
      </c>
      <c r="AK17" s="64">
        <f>IF(AB17="","",INDEX(V17:X17,1,AB17))</f>
        <v/>
      </c>
      <c r="AL17" s="64">
        <f>IF(AH17&lt;&gt;"BET","",MAX(0,(AK17*AE17-1)/(AE17-1)))</f>
        <v/>
      </c>
      <c r="AM17" s="66">
        <f>IF(AH17="BET",AF17+A17/1000000,"")</f>
        <v/>
      </c>
      <c r="AN17" s="71">
        <f>IF(Matchday!N19="","",Matchday!N19)</f>
        <v/>
      </c>
      <c r="AO17" s="63">
        <f>IF(Matchday!P19="","",Matchday!P19)</f>
        <v/>
      </c>
      <c r="AP17" s="72">
        <f>IF(Matchday!Q19="","",Matchday!Q19)</f>
        <v/>
      </c>
      <c r="AQ17" s="71">
        <f>IF(Matchday!R19="","",Matchday!R19)</f>
        <v/>
      </c>
      <c r="AR17" s="73">
        <f>IF(OR(AN17&lt;&gt;"Y",AQ17="",AV17=""),"",IF(AQ17="Void",0,IF(AQ17=AV17,ROUND(AP17*(AO17-1),2),-AP17)))</f>
        <v/>
      </c>
      <c r="AS17" s="73">
        <f>IF(AR17="","",SUM($AR$2:AR17))</f>
        <v/>
      </c>
      <c r="AT17" s="31">
        <f>IF(AB17="","Type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pauses.")),IF(AH17="BET",IF(AJ17=0,"Edge found but stake rounds under £"&amp;Method!$B$9&amp;" — skip",IF(AND(AE17&gt;=6,AG17&gt;=0.15),"🟡 WAIT — long-shot review: odds "&amp;TEXT(AE17,"0.00")&amp;" + edge "&amp;TEXT(AG17,"0.0%")&amp;" — verify sharp-book + team news + stake comfort before Placed=Y","Value found: EV "&amp;TEXT(AF17,"0.0%")&amp;", edge "&amp;TEXT(AG17,"0.0%"))),IF(OR(AF17&gt;Method!$B$87,IFERROR(INDEX(BC17:BE17,1,AB17)/INDEX(S17:U17,1,AB17),0)&gt;Method!$B$88),"🛑 Tail trap — auto-PASS · EV "&amp;TEXT(AF17,"0.0%")&amp;" (cap "&amp;TEXT(Method!$B$87,"0%")&amp;") · model/market "&amp;TEXT(IFERROR(INDEX(BC17:BE17,1,AB17)/INDEX(S17:U17,1,AB17),0),"0.0")&amp;"× (cap "&amp;TEXT(Method!$B$88,"0.0")&amp;"×)",IF(AF17&lt;Method!$B$7,"Price too short — EV "&amp;TEXT(AF17,"0.0%")&amp;" (need "&amp;TEXT(Method!$B$7,"0.0%")&amp;"+)","Model ≈ market — edge "&amp;TEXT(AG17,"0.0%")&amp;" (need "&amp;TEXT(Method!$B$8,"0.0%")&amp;"+)")))))</f>
        <v/>
      </c>
      <c r="AU17" s="31">
        <f>IF(AN17&lt;&gt;"Y","",IF(AH17="· enter odds","⚠ type the 3 odds (1/X/2) to grade this bet",IF(OR(AV17="",AO17="",AP17=""),"⚠ log backed pick, odds &amp; stake",IF(AZ17&lt;&gt;"BET","⚠ FUN BET — engine said pass · staked £"&amp;AP17&amp;" vs engine £"&amp;BA17,IF(AV17&lt;&gt;IF(AY17="",AC17,AY17),"⚠ backed "&amp;AV17&amp;" but engine pick was "&amp;IF(AY17="",AC17,AY17),IF(AP17&gt;BA17,"⚠ stake over engine £"&amp;BA17,IF(ABS(AO17-IFERROR(INDEX(L17:N17,1,MATCH(AV17,{"H","D","A"},0)),AE17))&gt;0.02,"⚠ odds moved — re-check value","✓ engine bet")))))))</f>
        <v/>
      </c>
      <c r="AV17" s="59">
        <f>IF(Matchday!O19="","",Matchday!O19)</f>
        <v/>
      </c>
      <c r="AW17" s="79" t="n"/>
      <c r="AX17" s="79" t="n"/>
      <c r="AY17" s="79" t="n"/>
      <c r="AZ17" s="79">
        <f>IF(AW17="",AH17,AW17)</f>
        <v/>
      </c>
      <c r="BA17" s="75">
        <f>IF(AX17&lt;&gt;"",AX17,IF(AH17&lt;&gt;"BET",0,IF(AI17*Method!$B$10/100&lt;Method!$B$9,0,ROUND(AI17*Method!$B$10/100,0))))</f>
        <v/>
      </c>
      <c r="BB17" s="77" t="n">
        <v>-9.960000000000001</v>
      </c>
      <c r="BC17" s="77" t="n">
        <v>0.5304636469313264</v>
      </c>
      <c r="BD17" s="77" t="n">
        <v>0.2720062602762468</v>
      </c>
      <c r="BE17" s="77" t="n">
        <v>0.1975300927924268</v>
      </c>
      <c r="BF17" s="14" t="inlineStr">
        <is>
          <t>Iran team-wide: -6 · New Zealand team-wide: -4</t>
        </is>
      </c>
      <c r="BG17" s="77" t="n">
        <v>30</v>
      </c>
      <c r="BH17" s="77" t="inlineStr">
        <is>
          <t>warm_dry_indoor</t>
        </is>
      </c>
      <c r="BI17" s="77" t="n">
        <v>0</v>
      </c>
    </row>
    <row r="18" ht="15" customHeight="1" s="153">
      <c r="A18" s="59" t="n">
        <v>17</v>
      </c>
      <c r="B18" s="58" t="n">
        <v>46189</v>
      </c>
      <c r="C18" s="59" t="inlineStr">
        <is>
          <t>I</t>
        </is>
      </c>
      <c r="D18" s="66" t="inlineStr">
        <is>
          <t>France</t>
        </is>
      </c>
      <c r="E18" s="66" t="inlineStr">
        <is>
          <t>Senegal</t>
        </is>
      </c>
      <c r="F18" s="66" t="inlineStr">
        <is>
          <t>East Rutherford</t>
        </is>
      </c>
      <c r="G18" s="61" t="n">
        <v>0.625</v>
      </c>
      <c r="H18" s="61" t="n">
        <v>0.8333333333333334</v>
      </c>
      <c r="I18" s="64" t="n">
        <v>0.7543140748348006</v>
      </c>
      <c r="J18" s="64" t="n">
        <v>0.1637788699827267</v>
      </c>
      <c r="K18" s="64" t="n">
        <v>0.0819070551824725</v>
      </c>
      <c r="L18" s="63">
        <f>IF(Matchday!E20="","",Matchday!E20)</f>
        <v/>
      </c>
      <c r="M18" s="63">
        <f>IF(Matchday!F20="","",Matchday!F20)</f>
        <v/>
      </c>
      <c r="N18" s="63">
        <f>IF(Matchday!G20="","",Matchday!G20)</f>
        <v/>
      </c>
      <c r="O18" s="64">
        <f>IF(L18="","",1/L18)</f>
        <v/>
      </c>
      <c r="P18" s="64">
        <f>IF(M18="","",1/M18)</f>
        <v/>
      </c>
      <c r="Q18" s="64">
        <f>IF(N18="","",1/N18)</f>
        <v/>
      </c>
      <c r="R18" s="64">
        <f>IF(COUNT(L18:N18)&lt;3,"",O18+P18+Q18)</f>
        <v/>
      </c>
      <c r="S18" s="64">
        <f t="array" ref="S18">IF($R18="","",IF(Method!$B$56="proportional",O18/$R18,IF(Method!$B$56="power",IFERROR(INDEX(power_devig($L18,$M18,$N18),1,1),O18/$R18),IFERROR(INDEX(shin($L18,$M18,$N18),1,1),O18/$R18))))</f>
        <v/>
      </c>
      <c r="T18" s="64">
        <f t="array" ref="T18">IF($R18="","",IF(Method!$B$56="proportional",P18/$R18,IF(Method!$B$56="power",IFERROR(INDEX(power_devig($L18,$M18,$N18),2,1),P18/$R18),IFERROR(INDEX(shin($L18,$M18,$N18),2,1),P18/$R18))))</f>
        <v/>
      </c>
      <c r="U18" s="64">
        <f t="array" ref="U18">IF($R18="","",IF(Method!$B$56="proportional",Q18/$R18,IF(Method!$B$56="power",IFERROR(INDEX(power_devig($L18,$M18,$N18),3,1),Q18/$R18),IFERROR(INDEX(shin($L18,$M18,$N18),3,1),Q18/$R18))))</f>
        <v/>
      </c>
      <c r="V18" s="64">
        <f>IF(S18="","",Method!$B$4*IF(BC18="",I18,BC18)+(1-Method!$B$4)*S18/($S18+$T18+$U18))</f>
        <v/>
      </c>
      <c r="W18" s="64">
        <f>IF(T18="","",Method!$B$4*IF(BD18="",J18,BD18)+(1-Method!$B$4)*T18/($S18+$T18+$U18))</f>
        <v/>
      </c>
      <c r="X18" s="64">
        <f>IF(U18="","",Method!$B$4*IF(BE18="",K18,BE18)+(1-Method!$B$4)*U18/($S18+$T18+$U18))</f>
        <v/>
      </c>
      <c r="Y18" s="65">
        <f>IF(V18="","",V18*L18-1)</f>
        <v/>
      </c>
      <c r="Z18" s="65">
        <f>IF(W18="","",W18*M18-1)</f>
        <v/>
      </c>
      <c r="AA18" s="65">
        <f>IF(X18="","",X18*N18-1)</f>
        <v/>
      </c>
      <c r="AB18" s="66">
        <f>IF(Y18="","",MATCH(MAX(Y18:AA18),Y18:AA18,0))</f>
        <v/>
      </c>
      <c r="AC18" s="66">
        <f>IF(AB18="","",CHOOSE(AB18,"H","D","A"))</f>
        <v/>
      </c>
      <c r="AD18" s="67">
        <f>IF(AB18="","",CHOOSE(AB18,"1  "&amp;D18,"X  Draw","2  "&amp;E18))</f>
        <v/>
      </c>
      <c r="AE18" s="33">
        <f>IF(AB18="","",INDEX(L18:N18,1,AB18))</f>
        <v/>
      </c>
      <c r="AF18" s="65">
        <f>IF(AB18="","",INDEX(Y18:AA18,1,AB18))</f>
        <v/>
      </c>
      <c r="AG18" s="65">
        <f>IF(AB18="","",INDEX(V18:X18,1,AB18)-INDEX(S18:U18,1,AB18))</f>
        <v/>
      </c>
      <c r="AH18" s="68">
        <f>IF(AB18="","· enter odds",IF(OR(AF18&gt;Method!$B$87,IFERROR(INDEX(BC18:BE18,1,AB18)/INDEX(S18:U18,1,AB18),0)&gt;Method!$B$88),"PASS",IF(AND(AF18&gt;=Method!$B$7,AG18&gt;=Method!$B$8),"BET","PASS")))</f>
        <v/>
      </c>
      <c r="AI18" s="69">
        <f>IF(AH18&lt;&gt;"BET",0,ROUND(MIN(Method!$B$6,Method!$B$5*AL18)*100,1))</f>
        <v/>
      </c>
      <c r="AJ18" s="70">
        <f>IF(OR(AH18&lt;&gt;"BET",Method!$B$55=TRUE()),0,IF(AI18*Method!$B$10/100&lt;Method!$B$9,0,ROUND(AI18*Method!$B$10/100,0)))</f>
        <v/>
      </c>
      <c r="AK18" s="64">
        <f>IF(AB18="","",INDEX(V18:X18,1,AB18))</f>
        <v/>
      </c>
      <c r="AL18" s="64">
        <f>IF(AH18&lt;&gt;"BET","",MAX(0,(AK18*AE18-1)/(AE18-1)))</f>
        <v/>
      </c>
      <c r="AM18" s="65">
        <f>IF(AH18="BET",AF18+A18/1000000,"")</f>
        <v/>
      </c>
      <c r="AN18" s="71">
        <f>IF(Matchday!N20="","",Matchday!N20)</f>
        <v/>
      </c>
      <c r="AO18" s="63">
        <f>IF(Matchday!P20="","",Matchday!P20)</f>
        <v/>
      </c>
      <c r="AP18" s="72">
        <f>IF(Matchday!Q20="","",Matchday!Q20)</f>
        <v/>
      </c>
      <c r="AQ18" s="71">
        <f>IF(Matchday!R20="","",Matchday!R20)</f>
        <v/>
      </c>
      <c r="AR18" s="73">
        <f>IF(OR(AN18&lt;&gt;"Y",AQ18="",AV18=""),"",IF(AQ18="Void",0,IF(AQ18=AV18,ROUND(AP18*(AO18-1),2),-AP18)))</f>
        <v/>
      </c>
      <c r="AS18" s="73">
        <f>IF(AR18="","",SUM($AR$2:AR18))</f>
        <v/>
      </c>
      <c r="AT18" s="31">
        <f>IF(AB18="","Type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pauses.")),IF(AH18="BET",IF(AJ18=0,"Edge found but stake rounds under £"&amp;Method!$B$9&amp;" — skip",IF(AND(AE18&gt;=6,AG18&gt;=0.15),"🟡 WAIT — long-shot review: odds "&amp;TEXT(AE18,"0.00")&amp;" + edge "&amp;TEXT(AG18,"0.0%")&amp;" — verify sharp-book + team news + stake comfort before Placed=Y","Value found: EV "&amp;TEXT(AF18,"0.0%")&amp;", edge "&amp;TEXT(AG18,"0.0%"))),IF(OR(AF18&gt;Method!$B$87,IFERROR(INDEX(BC18:BE18,1,AB18)/INDEX(S18:U18,1,AB18),0)&gt;Method!$B$88),"🛑 Tail trap — auto-PASS · EV "&amp;TEXT(AF18,"0.0%")&amp;" (cap "&amp;TEXT(Method!$B$87,"0%")&amp;") · model/market "&amp;TEXT(IFERROR(INDEX(BC18:BE18,1,AB18)/INDEX(S18:U18,1,AB18),0),"0.0")&amp;"× (cap "&amp;TEXT(Method!$B$88,"0.0")&amp;"×)",IF(AF18&lt;Method!$B$7,"Price too short — EV "&amp;TEXT(AF18,"0.0%")&amp;" (need "&amp;TEXT(Method!$B$7,"0.0%")&amp;"+)","Model ≈ market — edge "&amp;TEXT(AG18,"0.0%")&amp;" (need "&amp;TEXT(Method!$B$8,"0.0%")&amp;"+)")))))</f>
        <v/>
      </c>
      <c r="AU18" s="31">
        <f>IF(AN18&lt;&gt;"Y","",IF(AH18="· enter odds","⚠ type the 3 odds (1/X/2) to grade this bet",IF(OR(AV18="",AO18="",AP18=""),"⚠ log backed pick, odds &amp; stake",IF(AZ18&lt;&gt;"BET","⚠ FUN BET — engine said pass · staked £"&amp;AP18&amp;" vs engine £"&amp;BA18,IF(AV18&lt;&gt;IF(AY18="",AC18,AY18),"⚠ backed "&amp;AV18&amp;" but engine pick was "&amp;IF(AY18="",AC18,AY18),IF(AP18&gt;BA18,"⚠ stake over engine £"&amp;BA18,IF(ABS(AO18-IFERROR(INDEX(L18:N18,1,MATCH(AV18,{"H","D","A"},0)),AE18))&gt;0.02,"⚠ odds moved — re-check value","✓ engine bet")))))))</f>
        <v/>
      </c>
      <c r="AV18" s="59">
        <f>IF(Matchday!O20="","",Matchday!O20)</f>
        <v/>
      </c>
      <c r="AW18" s="79" t="n"/>
      <c r="AX18" s="79" t="n"/>
      <c r="AY18" s="79" t="n"/>
      <c r="AZ18" s="79">
        <f>IF(AW18="",AH18,AW18)</f>
        <v/>
      </c>
      <c r="BA18" s="75">
        <f>IF(AX18&lt;&gt;"",AX18,IF(AH18&lt;&gt;"BET",0,IF(AI18*Method!$B$10/100&lt;Method!$B$9,0,ROUND(AI18*Method!$B$10/100,0))))</f>
        <v/>
      </c>
      <c r="BB18" s="77" t="n">
        <v>0.6800000000000015</v>
      </c>
      <c r="BC18" s="77" t="n">
        <v>0.7297847814468451</v>
      </c>
      <c r="BD18" s="77" t="n">
        <v>0.1860941057992083</v>
      </c>
      <c r="BE18" s="77" t="n">
        <v>0.08412111275394656</v>
      </c>
      <c r="BF18" s="14" t="inlineStr">
        <is>
          <t>France team-wide: +16 · France weather: -4 · Senegal team-wide: -12</t>
        </is>
      </c>
      <c r="BG18" s="77" t="n">
        <v>7</v>
      </c>
      <c r="BH18" s="77" t="inlineStr">
        <is>
          <t>warm_humid</t>
        </is>
      </c>
      <c r="BI18" s="77" t="n">
        <v>0</v>
      </c>
    </row>
    <row r="19" ht="15" customHeight="1" s="153">
      <c r="A19" s="59" t="n">
        <v>18</v>
      </c>
      <c r="B19" s="58" t="n">
        <v>46189</v>
      </c>
      <c r="C19" s="59" t="inlineStr">
        <is>
          <t>I</t>
        </is>
      </c>
      <c r="D19" s="66" t="inlineStr">
        <is>
          <t>Iraq</t>
        </is>
      </c>
      <c r="E19" s="66" t="inlineStr">
        <is>
          <t>Norway</t>
        </is>
      </c>
      <c r="F19" s="66" t="inlineStr">
        <is>
          <t>Foxborough</t>
        </is>
      </c>
      <c r="G19" s="61" t="n">
        <v>0.75</v>
      </c>
      <c r="H19" s="61" t="n">
        <v>0.9583333333333334</v>
      </c>
      <c r="I19" s="64" t="n">
        <v>0.1320336109690168</v>
      </c>
      <c r="J19" s="64" t="n">
        <v>0.2644080235971072</v>
      </c>
      <c r="K19" s="64" t="n">
        <v>0.6035583654338762</v>
      </c>
      <c r="L19" s="63">
        <f>IF(Matchday!E21="","",Matchday!E21)</f>
        <v/>
      </c>
      <c r="M19" s="63">
        <f>IF(Matchday!F21="","",Matchday!F21)</f>
        <v/>
      </c>
      <c r="N19" s="63">
        <f>IF(Matchday!G21="","",Matchday!G21)</f>
        <v/>
      </c>
      <c r="O19" s="64">
        <f>IF(L19="","",1/L19)</f>
        <v/>
      </c>
      <c r="P19" s="64">
        <f>IF(M19="","",1/M19)</f>
        <v/>
      </c>
      <c r="Q19" s="64">
        <f>IF(N19="","",1/N19)</f>
        <v/>
      </c>
      <c r="R19" s="64">
        <f>IF(COUNT(L19:N19)&lt;3,"",O19+P19+Q19)</f>
        <v/>
      </c>
      <c r="S19" s="64">
        <f t="array" ref="S19">IF($R19="","",IF(Method!$B$56="proportional",O19/$R19,IF(Method!$B$56="power",IFERROR(INDEX(power_devig($L19,$M19,$N19),1,1),O19/$R19),IFERROR(INDEX(shin($L19,$M19,$N19),1,1),O19/$R19))))</f>
        <v/>
      </c>
      <c r="T19" s="64">
        <f t="array" ref="T19">IF($R19="","",IF(Method!$B$56="proportional",P19/$R19,IF(Method!$B$56="power",IFERROR(INDEX(power_devig($L19,$M19,$N19),2,1),P19/$R19),IFERROR(INDEX(shin($L19,$M19,$N19),2,1),P19/$R19))))</f>
        <v/>
      </c>
      <c r="U19" s="64">
        <f t="array" ref="U19">IF($R19="","",IF(Method!$B$56="proportional",Q19/$R19,IF(Method!$B$56="power",IFERROR(INDEX(power_devig($L19,$M19,$N19),3,1),Q19/$R19),IFERROR(INDEX(shin($L19,$M19,$N19),3,1),Q19/$R19))))</f>
        <v/>
      </c>
      <c r="V19" s="64">
        <f>IF(S19="","",Method!$B$4*IF(BC19="",I19,BC19)+(1-Method!$B$4)*S19/($S19+$T19+$U19))</f>
        <v/>
      </c>
      <c r="W19" s="64">
        <f>IF(T19="","",Method!$B$4*IF(BD19="",J19,BD19)+(1-Method!$B$4)*T19/($S19+$T19+$U19))</f>
        <v/>
      </c>
      <c r="X19" s="64">
        <f>IF(U19="","",Method!$B$4*IF(BE19="",K19,BE19)+(1-Method!$B$4)*U19/($S19+$T19+$U19))</f>
        <v/>
      </c>
      <c r="Y19" s="65">
        <f>IF(V19="","",V19*L19-1)</f>
        <v/>
      </c>
      <c r="Z19" s="65">
        <f>IF(W19="","",W19*M19-1)</f>
        <v/>
      </c>
      <c r="AA19" s="65">
        <f>IF(X19="","",X19*N19-1)</f>
        <v/>
      </c>
      <c r="AB19" s="66">
        <f>IF(Y19="","",MATCH(MAX(Y19:AA19),Y19:AA19,0))</f>
        <v/>
      </c>
      <c r="AC19" s="66">
        <f>IF(AB19="","",CHOOSE(AB19,"H","D","A"))</f>
        <v/>
      </c>
      <c r="AD19" s="67">
        <f>IF(AB19="","",CHOOSE(AB19,"1  "&amp;D19,"X  Draw","2  "&amp;E19))</f>
        <v/>
      </c>
      <c r="AE19" s="33">
        <f>IF(AB19="","",INDEX(L19:N19,1,AB19))</f>
        <v/>
      </c>
      <c r="AF19" s="65">
        <f>IF(AB19="","",INDEX(Y19:AA19,1,AB19))</f>
        <v/>
      </c>
      <c r="AG19" s="65">
        <f>IF(AB19="","",INDEX(V19:X19,1,AB19)-INDEX(S19:U19,1,AB19))</f>
        <v/>
      </c>
      <c r="AH19" s="68">
        <f>IF(AB19="","· enter odds",IF(OR(AF19&gt;Method!$B$87,IFERROR(INDEX(BC19:BE19,1,AB19)/INDEX(S19:U19,1,AB19),0)&gt;Method!$B$88),"PASS",IF(AND(AF19&gt;=Method!$B$7,AG19&gt;=Method!$B$8),"BET","PASS")))</f>
        <v/>
      </c>
      <c r="AI19" s="69">
        <f>IF(AH19&lt;&gt;"BET",0,ROUND(MIN(Method!$B$6,Method!$B$5*AL19)*100,1))</f>
        <v/>
      </c>
      <c r="AJ19" s="70">
        <f>IF(OR(AH19&lt;&gt;"BET",Method!$B$55=TRUE()),0,IF(AI19*Method!$B$10/100&lt;Method!$B$9,0,ROUND(AI19*Method!$B$10/100,0)))</f>
        <v/>
      </c>
      <c r="AK19" s="64">
        <f>IF(AB19="","",INDEX(V19:X19,1,AB19))</f>
        <v/>
      </c>
      <c r="AL19" s="64">
        <f>IF(AH19&lt;&gt;"BET","",MAX(0,(AK19*AE19-1)/(AE19-1)))</f>
        <v/>
      </c>
      <c r="AM19" s="66">
        <f>IF(AH19="BET",AF19+A19/1000000,"")</f>
        <v/>
      </c>
      <c r="AN19" s="71">
        <f>IF(Matchday!N21="","",Matchday!N21)</f>
        <v/>
      </c>
      <c r="AO19" s="63">
        <f>IF(Matchday!P21="","",Matchday!P21)</f>
        <v/>
      </c>
      <c r="AP19" s="72">
        <f>IF(Matchday!Q21="","",Matchday!Q21)</f>
        <v/>
      </c>
      <c r="AQ19" s="71">
        <f>IF(Matchday!R21="","",Matchday!R21)</f>
        <v/>
      </c>
      <c r="AR19" s="73">
        <f>IF(OR(AN19&lt;&gt;"Y",AQ19="",AV19=""),"",IF(AQ19="Void",0,IF(AQ19=AV19,ROUND(AP19*(AO19-1),2),-AP19)))</f>
        <v/>
      </c>
      <c r="AS19" s="73">
        <f>IF(AR19="","",SUM($AR$2:AR19))</f>
        <v/>
      </c>
      <c r="AT19" s="31">
        <f>IF(AB19="","Type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pauses.")),IF(AH19="BET",IF(AJ19=0,"Edge found but stake rounds under £"&amp;Method!$B$9&amp;" — skip",IF(AND(AE19&gt;=6,AG19&gt;=0.15),"🟡 WAIT — long-shot review: odds "&amp;TEXT(AE19,"0.00")&amp;" + edge "&amp;TEXT(AG19,"0.0%")&amp;" — verify sharp-book + team news + stake comfort before Placed=Y","Value found: EV "&amp;TEXT(AF19,"0.0%")&amp;", edge "&amp;TEXT(AG19,"0.0%"))),IF(OR(AF19&gt;Method!$B$87,IFERROR(INDEX(BC19:BE19,1,AB19)/INDEX(S19:U19,1,AB19),0)&gt;Method!$B$88),"🛑 Tail trap — auto-PASS · EV "&amp;TEXT(AF19,"0.0%")&amp;" (cap "&amp;TEXT(Method!$B$87,"0%")&amp;") · model/market "&amp;TEXT(IFERROR(INDEX(BC19:BE19,1,AB19)/INDEX(S19:U19,1,AB19),0),"0.0")&amp;"× (cap "&amp;TEXT(Method!$B$88,"0.0")&amp;"×)",IF(AF19&lt;Method!$B$7,"Price too short — EV "&amp;TEXT(AF19,"0.0%")&amp;" (need "&amp;TEXT(Method!$B$7,"0.0%")&amp;"+)","Model ≈ market — edge "&amp;TEXT(AG19,"0.0%")&amp;" (need "&amp;TEXT(Method!$B$8,"0.0%")&amp;"+)")))))</f>
        <v/>
      </c>
      <c r="AU19" s="31">
        <f>IF(AN19&lt;&gt;"Y","",IF(AH19="· enter odds","⚠ type the 3 odds (1/X/2) to grade this bet",IF(OR(AV19="",AO19="",AP19=""),"⚠ log backed pick, odds &amp; stake",IF(AZ19&lt;&gt;"BET","⚠ FUN BET — engine said pass · staked £"&amp;AP19&amp;" vs engine £"&amp;BA19,IF(AV19&lt;&gt;IF(AY19="",AC19,AY19),"⚠ backed "&amp;AV19&amp;" but engine pick was "&amp;IF(AY19="",AC19,AY19),IF(AP19&gt;BA19,"⚠ stake over engine £"&amp;BA19,IF(ABS(AO19-IFERROR(INDEX(L19:N19,1,MATCH(AV19,{"H","D","A"},0)),AE19))&gt;0.02,"⚠ odds moved — re-check value","✓ engine bet")))))))</f>
        <v/>
      </c>
      <c r="AV19" s="59">
        <f>IF(Matchday!O21="","",Matchday!O21)</f>
        <v/>
      </c>
      <c r="AW19" s="79" t="n"/>
      <c r="AX19" s="79" t="n"/>
      <c r="AY19" s="79" t="n"/>
      <c r="AZ19" s="79">
        <f>IF(AW19="",AH19,AW19)</f>
        <v/>
      </c>
      <c r="BA19" s="75">
        <f>IF(AX19&lt;&gt;"",AX19,IF(AH19&lt;&gt;"BET",0,IF(AI19*Method!$B$10/100&lt;Method!$B$9,0,ROUND(AI19*Method!$B$10/100,0))))</f>
        <v/>
      </c>
      <c r="BB19" s="77" t="n">
        <v>-12.93</v>
      </c>
      <c r="BC19" s="77" t="n">
        <v>0.1156617458385596</v>
      </c>
      <c r="BD19" s="77" t="n">
        <v>0.281770451886223</v>
      </c>
      <c r="BE19" s="77" t="n">
        <v>0.6025678022752173</v>
      </c>
      <c r="BF19" s="14" t="inlineStr">
        <is>
          <t>Iraq team-wide: -12 · Norway team-wide: -1</t>
        </is>
      </c>
      <c r="BG19" s="77" t="n">
        <v>40</v>
      </c>
      <c r="BH19" s="77" t="inlineStr">
        <is>
          <t>warm</t>
        </is>
      </c>
      <c r="BI19" s="77" t="n">
        <v>0</v>
      </c>
    </row>
    <row r="20" ht="15" customHeight="1" s="153">
      <c r="A20" s="59" t="n">
        <v>19</v>
      </c>
      <c r="B20" s="58" t="n">
        <v>46189</v>
      </c>
      <c r="C20" s="59" t="inlineStr">
        <is>
          <t>J</t>
        </is>
      </c>
      <c r="D20" s="66" t="inlineStr">
        <is>
          <t>Argentina</t>
        </is>
      </c>
      <c r="E20" s="66" t="inlineStr">
        <is>
          <t>Algeria</t>
        </is>
      </c>
      <c r="F20" s="66" t="inlineStr">
        <is>
          <t>Kansas City</t>
        </is>
      </c>
      <c r="G20" s="61" t="n">
        <v>0.8333333333333334</v>
      </c>
      <c r="H20" s="59" t="inlineStr">
        <is>
          <t>02:00 +1d</t>
        </is>
      </c>
      <c r="I20" s="64" t="n">
        <v>0.7668655183808393</v>
      </c>
      <c r="J20" s="64" t="n">
        <v>0.163968442671021</v>
      </c>
      <c r="K20" s="64" t="n">
        <v>0.06916603894813959</v>
      </c>
      <c r="L20" s="63">
        <f>IF(Matchday!E22="","",Matchday!E22)</f>
        <v/>
      </c>
      <c r="M20" s="63">
        <f>IF(Matchday!F22="","",Matchday!F22)</f>
        <v/>
      </c>
      <c r="N20" s="63">
        <f>IF(Matchday!G22="","",Matchday!G22)</f>
        <v/>
      </c>
      <c r="O20" s="64">
        <f>IF(L20="","",1/L20)</f>
        <v/>
      </c>
      <c r="P20" s="64">
        <f>IF(M20="","",1/M20)</f>
        <v/>
      </c>
      <c r="Q20" s="64">
        <f>IF(N20="","",1/N20)</f>
        <v/>
      </c>
      <c r="R20" s="64">
        <f>IF(COUNT(L20:N20)&lt;3,"",O20+P20+Q20)</f>
        <v/>
      </c>
      <c r="S20" s="64">
        <f t="array" ref="S20">IF($R20="","",IF(Method!$B$56="proportional",O20/$R20,IF(Method!$B$56="power",IFERROR(INDEX(power_devig($L20,$M20,$N20),1,1),O20/$R20),IFERROR(INDEX(shin($L20,$M20,$N20),1,1),O20/$R20))))</f>
        <v/>
      </c>
      <c r="T20" s="64">
        <f t="array" ref="T20">IF($R20="","",IF(Method!$B$56="proportional",P20/$R20,IF(Method!$B$56="power",IFERROR(INDEX(power_devig($L20,$M20,$N20),2,1),P20/$R20),IFERROR(INDEX(shin($L20,$M20,$N20),2,1),P20/$R20))))</f>
        <v/>
      </c>
      <c r="U20" s="64">
        <f t="array" ref="U20">IF($R20="","",IF(Method!$B$56="proportional",Q20/$R20,IF(Method!$B$56="power",IFERROR(INDEX(power_devig($L20,$M20,$N20),3,1),Q20/$R20),IFERROR(INDEX(shin($L20,$M20,$N20),3,1),Q20/$R20))))</f>
        <v/>
      </c>
      <c r="V20" s="64">
        <f>IF(S20="","",Method!$B$4*IF(BC20="",I20,BC20)+(1-Method!$B$4)*S20/($S20+$T20+$U20))</f>
        <v/>
      </c>
      <c r="W20" s="64">
        <f>IF(T20="","",Method!$B$4*IF(BD20="",J20,BD20)+(1-Method!$B$4)*T20/($S20+$T20+$U20))</f>
        <v/>
      </c>
      <c r="X20" s="64">
        <f>IF(U20="","",Method!$B$4*IF(BE20="",K20,BE20)+(1-Method!$B$4)*U20/($S20+$T20+$U20))</f>
        <v/>
      </c>
      <c r="Y20" s="65">
        <f>IF(V20="","",V20*L20-1)</f>
        <v/>
      </c>
      <c r="Z20" s="65">
        <f>IF(W20="","",W20*M20-1)</f>
        <v/>
      </c>
      <c r="AA20" s="65">
        <f>IF(X20="","",X20*N20-1)</f>
        <v/>
      </c>
      <c r="AB20" s="66">
        <f>IF(Y20="","",MATCH(MAX(Y20:AA20),Y20:AA20,0))</f>
        <v/>
      </c>
      <c r="AC20" s="66">
        <f>IF(AB20="","",CHOOSE(AB20,"H","D","A"))</f>
        <v/>
      </c>
      <c r="AD20" s="67">
        <f>IF(AB20="","",CHOOSE(AB20,"1  "&amp;D20,"X  Draw","2  "&amp;E20))</f>
        <v/>
      </c>
      <c r="AE20" s="33">
        <f>IF(AB20="","",INDEX(L20:N20,1,AB20))</f>
        <v/>
      </c>
      <c r="AF20" s="65">
        <f>IF(AB20="","",INDEX(Y20:AA20,1,AB20))</f>
        <v/>
      </c>
      <c r="AG20" s="65">
        <f>IF(AB20="","",INDEX(V20:X20,1,AB20)-INDEX(S20:U20,1,AB20))</f>
        <v/>
      </c>
      <c r="AH20" s="68">
        <f>IF(AB20="","· enter odds",IF(OR(AF20&gt;Method!$B$87,IFERROR(INDEX(BC20:BE20,1,AB20)/INDEX(S20:U20,1,AB20),0)&gt;Method!$B$88),"PASS",IF(AND(AF20&gt;=Method!$B$7,AG20&gt;=Method!$B$8),"BET","PASS")))</f>
        <v/>
      </c>
      <c r="AI20" s="69">
        <f>IF(AH20&lt;&gt;"BET",0,ROUND(MIN(Method!$B$6,Method!$B$5*AL20)*100,1))</f>
        <v/>
      </c>
      <c r="AJ20" s="70">
        <f>IF(OR(AH20&lt;&gt;"BET",Method!$B$55=TRUE()),0,IF(AI20*Method!$B$10/100&lt;Method!$B$9,0,ROUND(AI20*Method!$B$10/100,0)))</f>
        <v/>
      </c>
      <c r="AK20" s="64">
        <f>IF(AB20="","",INDEX(V20:X20,1,AB20))</f>
        <v/>
      </c>
      <c r="AL20" s="64">
        <f>IF(AH20&lt;&gt;"BET","",MAX(0,(AK20*AE20-1)/(AE20-1)))</f>
        <v/>
      </c>
      <c r="AM20" s="65">
        <f>IF(AH20="BET",AF20+A20/1000000,"")</f>
        <v/>
      </c>
      <c r="AN20" s="71">
        <f>IF(Matchday!N22="","",Matchday!N22)</f>
        <v/>
      </c>
      <c r="AO20" s="63">
        <f>IF(Matchday!P22="","",Matchday!P22)</f>
        <v/>
      </c>
      <c r="AP20" s="72">
        <f>IF(Matchday!Q22="","",Matchday!Q22)</f>
        <v/>
      </c>
      <c r="AQ20" s="71">
        <f>IF(Matchday!R22="","",Matchday!R22)</f>
        <v/>
      </c>
      <c r="AR20" s="73">
        <f>IF(OR(AN20&lt;&gt;"Y",AQ20="",AV20=""),"",IF(AQ20="Void",0,IF(AQ20=AV20,ROUND(AP20*(AO20-1),2),-AP20)))</f>
        <v/>
      </c>
      <c r="AS20" s="73">
        <f>IF(AR20="","",SUM($AR$2:AR20))</f>
        <v/>
      </c>
      <c r="AT20" s="31">
        <f>IF(AB20="","Type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pauses.")),IF(AH20="BET",IF(AJ20=0,"Edge found but stake rounds under £"&amp;Method!$B$9&amp;" — skip",IF(AND(AE20&gt;=6,AG20&gt;=0.15),"🟡 WAIT — long-shot review: odds "&amp;TEXT(AE20,"0.00")&amp;" + edge "&amp;TEXT(AG20,"0.0%")&amp;" — verify sharp-book + team news + stake comfort before Placed=Y","Value found: EV "&amp;TEXT(AF20,"0.0%")&amp;", edge "&amp;TEXT(AG20,"0.0%"))),IF(OR(AF20&gt;Method!$B$87,IFERROR(INDEX(BC20:BE20,1,AB20)/INDEX(S20:U20,1,AB20),0)&gt;Method!$B$88),"🛑 Tail trap — auto-PASS · EV "&amp;TEXT(AF20,"0.0%")&amp;" (cap "&amp;TEXT(Method!$B$87,"0%")&amp;") · model/market "&amp;TEXT(IFERROR(INDEX(BC20:BE20,1,AB20)/INDEX(S20:U20,1,AB20),0),"0.0")&amp;"× (cap "&amp;TEXT(Method!$B$88,"0.0")&amp;"×)",IF(AF20&lt;Method!$B$7,"Price too short — EV "&amp;TEXT(AF20,"0.0%")&amp;" (need "&amp;TEXT(Method!$B$7,"0.0%")&amp;"+)","Model ≈ market — edge "&amp;TEXT(AG20,"0.0%")&amp;" (need "&amp;TEXT(Method!$B$8,"0.0%")&amp;"+)")))))</f>
        <v/>
      </c>
      <c r="AU20" s="31">
        <f>IF(AN20&lt;&gt;"Y","",IF(AH20="· enter odds","⚠ type the 3 odds (1/X/2) to grade this bet",IF(OR(AV20="",AO20="",AP20=""),"⚠ log backed pick, odds &amp; stake",IF(AZ20&lt;&gt;"BET","⚠ FUN BET — engine said pass · staked £"&amp;AP20&amp;" vs engine £"&amp;BA20,IF(AV20&lt;&gt;IF(AY20="",AC20,AY20),"⚠ backed "&amp;AV20&amp;" but engine pick was "&amp;IF(AY20="",AC20,AY20),IF(AP20&gt;BA20,"⚠ stake over engine £"&amp;BA20,IF(ABS(AO20-IFERROR(INDEX(L20:N20,1,MATCH(AV20,{"H","D","A"},0)),AE20))&gt;0.02,"⚠ odds moved — re-check value","✓ engine bet")))))))</f>
        <v/>
      </c>
      <c r="AV20" s="59">
        <f>IF(Matchday!O22="","",Matchday!O22)</f>
        <v/>
      </c>
      <c r="AW20" s="79" t="n"/>
      <c r="AX20" s="79" t="n"/>
      <c r="AY20" s="79" t="n"/>
      <c r="AZ20" s="79">
        <f>IF(AW20="",AH20,AW20)</f>
        <v/>
      </c>
      <c r="BA20" s="75">
        <f>IF(AX20&lt;&gt;"",AX20,IF(AH20&lt;&gt;"BET",0,IF(AI20*Method!$B$10/100&lt;Method!$B$9,0,ROUND(AI20*Method!$B$10/100,0))))</f>
        <v/>
      </c>
      <c r="BB20" s="77" t="n">
        <v>-15.75</v>
      </c>
      <c r="BC20" s="77" t="n">
        <v>0.7449017298348639</v>
      </c>
      <c r="BD20" s="77" t="n">
        <v>0.1851086816366292</v>
      </c>
      <c r="BE20" s="77" t="n">
        <v>0.06998958852850681</v>
      </c>
      <c r="BF20" s="14" t="inlineStr">
        <is>
          <t>Algeria team-wide: -24 · Argentina team-wide: +9</t>
        </is>
      </c>
      <c r="BG20" s="77" t="n">
        <v>270</v>
      </c>
      <c r="BH20" s="77" t="inlineStr">
        <is>
          <t>hot</t>
        </is>
      </c>
      <c r="BI20" s="77" t="n">
        <v>0</v>
      </c>
    </row>
    <row r="21" ht="15" customHeight="1" s="153">
      <c r="A21" s="59" t="n">
        <v>20</v>
      </c>
      <c r="B21" s="58" t="n">
        <v>46189</v>
      </c>
      <c r="C21" s="59" t="inlineStr">
        <is>
          <t>J</t>
        </is>
      </c>
      <c r="D21" s="66" t="inlineStr">
        <is>
          <t>Austria</t>
        </is>
      </c>
      <c r="E21" s="66" t="inlineStr">
        <is>
          <t>Jordan</t>
        </is>
      </c>
      <c r="F21" s="66" t="inlineStr">
        <is>
          <t>Santa Clara</t>
        </is>
      </c>
      <c r="G21" s="61" t="n">
        <v>0.875</v>
      </c>
      <c r="H21" s="59" t="inlineStr">
        <is>
          <t>05:00 +1d</t>
        </is>
      </c>
      <c r="I21" s="64" t="n">
        <v>0.4570030590198697</v>
      </c>
      <c r="J21" s="64" t="n">
        <v>0.3030833112009058</v>
      </c>
      <c r="K21" s="64" t="n">
        <v>0.2399136297792246</v>
      </c>
      <c r="L21" s="63">
        <f>IF(Matchday!E23="","",Matchday!E23)</f>
        <v/>
      </c>
      <c r="M21" s="63">
        <f>IF(Matchday!F23="","",Matchday!F23)</f>
        <v/>
      </c>
      <c r="N21" s="63">
        <f>IF(Matchday!G23="","",Matchday!G23)</f>
        <v/>
      </c>
      <c r="O21" s="64">
        <f>IF(L21="","",1/L21)</f>
        <v/>
      </c>
      <c r="P21" s="64">
        <f>IF(M21="","",1/M21)</f>
        <v/>
      </c>
      <c r="Q21" s="64">
        <f>IF(N21="","",1/N21)</f>
        <v/>
      </c>
      <c r="R21" s="64">
        <f>IF(COUNT(L21:N21)&lt;3,"",O21+P21+Q21)</f>
        <v/>
      </c>
      <c r="S21" s="64">
        <f t="array" ref="S21">IF($R21="","",IF(Method!$B$56="proportional",O21/$R21,IF(Method!$B$56="power",IFERROR(INDEX(power_devig($L21,$M21,$N21),1,1),O21/$R21),IFERROR(INDEX(shin($L21,$M21,$N21),1,1),O21/$R21))))</f>
        <v/>
      </c>
      <c r="T21" s="64">
        <f t="array" ref="T21">IF($R21="","",IF(Method!$B$56="proportional",P21/$R21,IF(Method!$B$56="power",IFERROR(INDEX(power_devig($L21,$M21,$N21),2,1),P21/$R21),IFERROR(INDEX(shin($L21,$M21,$N21),2,1),P21/$R21))))</f>
        <v/>
      </c>
      <c r="U21" s="64">
        <f t="array" ref="U21">IF($R21="","",IF(Method!$B$56="proportional",Q21/$R21,IF(Method!$B$56="power",IFERROR(INDEX(power_devig($L21,$M21,$N21),3,1),Q21/$R21),IFERROR(INDEX(shin($L21,$M21,$N21),3,1),Q21/$R21))))</f>
        <v/>
      </c>
      <c r="V21" s="64">
        <f>IF(S21="","",Method!$B$4*IF(BC21="",I21,BC21)+(1-Method!$B$4)*S21/($S21+$T21+$U21))</f>
        <v/>
      </c>
      <c r="W21" s="64">
        <f>IF(T21="","",Method!$B$4*IF(BD21="",J21,BD21)+(1-Method!$B$4)*T21/($S21+$T21+$U21))</f>
        <v/>
      </c>
      <c r="X21" s="64">
        <f>IF(U21="","",Method!$B$4*IF(BE21="",K21,BE21)+(1-Method!$B$4)*U21/($S21+$T21+$U21))</f>
        <v/>
      </c>
      <c r="Y21" s="65">
        <f>IF(V21="","",V21*L21-1)</f>
        <v/>
      </c>
      <c r="Z21" s="65">
        <f>IF(W21="","",W21*M21-1)</f>
        <v/>
      </c>
      <c r="AA21" s="65">
        <f>IF(X21="","",X21*N21-1)</f>
        <v/>
      </c>
      <c r="AB21" s="66">
        <f>IF(Y21="","",MATCH(MAX(Y21:AA21),Y21:AA21,0))</f>
        <v/>
      </c>
      <c r="AC21" s="66">
        <f>IF(AB21="","",CHOOSE(AB21,"H","D","A"))</f>
        <v/>
      </c>
      <c r="AD21" s="67">
        <f>IF(AB21="","",CHOOSE(AB21,"1  "&amp;D21,"X  Draw","2  "&amp;E21))</f>
        <v/>
      </c>
      <c r="AE21" s="33">
        <f>IF(AB21="","",INDEX(L21:N21,1,AB21))</f>
        <v/>
      </c>
      <c r="AF21" s="65">
        <f>IF(AB21="","",INDEX(Y21:AA21,1,AB21))</f>
        <v/>
      </c>
      <c r="AG21" s="65">
        <f>IF(AB21="","",INDEX(V21:X21,1,AB21)-INDEX(S21:U21,1,AB21))</f>
        <v/>
      </c>
      <c r="AH21" s="68">
        <f>IF(AB21="","· enter odds",IF(OR(AF21&gt;Method!$B$87,IFERROR(INDEX(BC21:BE21,1,AB21)/INDEX(S21:U21,1,AB21),0)&gt;Method!$B$88),"PASS",IF(AND(AF21&gt;=Method!$B$7,AG21&gt;=Method!$B$8),"BET","PASS")))</f>
        <v/>
      </c>
      <c r="AI21" s="69">
        <f>IF(AH21&lt;&gt;"BET",0,ROUND(MIN(Method!$B$6,Method!$B$5*AL21)*100,1))</f>
        <v/>
      </c>
      <c r="AJ21" s="70">
        <f>IF(OR(AH21&lt;&gt;"BET",Method!$B$55=TRUE()),0,IF(AI21*Method!$B$10/100&lt;Method!$B$9,0,ROUND(AI21*Method!$B$10/100,0)))</f>
        <v/>
      </c>
      <c r="AK21" s="64">
        <f>IF(AB21="","",INDEX(V21:X21,1,AB21))</f>
        <v/>
      </c>
      <c r="AL21" s="64">
        <f>IF(AH21&lt;&gt;"BET","",MAX(0,(AK21*AE21-1)/(AE21-1)))</f>
        <v/>
      </c>
      <c r="AM21" s="66">
        <f>IF(AH21="BET",AF21+A21/1000000,"")</f>
        <v/>
      </c>
      <c r="AN21" s="71">
        <f>IF(Matchday!N23="","",Matchday!N23)</f>
        <v/>
      </c>
      <c r="AO21" s="63">
        <f>IF(Matchday!P23="","",Matchday!P23)</f>
        <v/>
      </c>
      <c r="AP21" s="72">
        <f>IF(Matchday!Q23="","",Matchday!Q23)</f>
        <v/>
      </c>
      <c r="AQ21" s="71">
        <f>IF(Matchday!R23="","",Matchday!R23)</f>
        <v/>
      </c>
      <c r="AR21" s="73">
        <f>IF(OR(AN21&lt;&gt;"Y",AQ21="",AV21=""),"",IF(AQ21="Void",0,IF(AQ21=AV21,ROUND(AP21*(AO21-1),2),-AP21)))</f>
        <v/>
      </c>
      <c r="AS21" s="73">
        <f>IF(AR21="","",SUM($AR$2:AR21))</f>
        <v/>
      </c>
      <c r="AT21" s="31">
        <f>IF(AB21="","Type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pauses.")),IF(AH21="BET",IF(AJ21=0,"Edge found but stake rounds under £"&amp;Method!$B$9&amp;" — skip",IF(AND(AE21&gt;=6,AG21&gt;=0.15),"🟡 WAIT — long-shot review: odds "&amp;TEXT(AE21,"0.00")&amp;" + edge "&amp;TEXT(AG21,"0.0%")&amp;" — verify sharp-book + team news + stake comfort before Placed=Y","Value found: EV "&amp;TEXT(AF21,"0.0%")&amp;", edge "&amp;TEXT(AG21,"0.0%"))),IF(OR(AF21&gt;Method!$B$87,IFERROR(INDEX(BC21:BE21,1,AB21)/INDEX(S21:U21,1,AB21),0)&gt;Method!$B$88),"🛑 Tail trap — auto-PASS · EV "&amp;TEXT(AF21,"0.0%")&amp;" (cap "&amp;TEXT(Method!$B$87,"0%")&amp;") · model/market "&amp;TEXT(IFERROR(INDEX(BC21:BE21,1,AB21)/INDEX(S21:U21,1,AB21),0),"0.0")&amp;"× (cap "&amp;TEXT(Method!$B$88,"0.0")&amp;"×)",IF(AF21&lt;Method!$B$7,"Price too short — EV "&amp;TEXT(AF21,"0.0%")&amp;" (need "&amp;TEXT(Method!$B$7,"0.0%")&amp;"+)","Model ≈ market — edge "&amp;TEXT(AG21,"0.0%")&amp;" (need "&amp;TEXT(Method!$B$8,"0.0%")&amp;"+)")))))</f>
        <v/>
      </c>
      <c r="AU21" s="31">
        <f>IF(AN21&lt;&gt;"Y","",IF(AH21="· enter odds","⚠ type the 3 odds (1/X/2) to grade this bet",IF(OR(AV21="",AO21="",AP21=""),"⚠ log backed pick, odds &amp; stake",IF(AZ21&lt;&gt;"BET","⚠ FUN BET — engine said pass · staked £"&amp;AP21&amp;" vs engine £"&amp;BA21,IF(AV21&lt;&gt;IF(AY21="",AC21,AY21),"⚠ backed "&amp;AV21&amp;" but engine pick was "&amp;IF(AY21="",AC21,AY21),IF(AP21&gt;BA21,"⚠ stake over engine £"&amp;BA21,IF(ABS(AO21-IFERROR(INDEX(L21:N21,1,MATCH(AV21,{"H","D","A"},0)),AE21))&gt;0.02,"⚠ odds moved — re-check value","✓ engine bet")))))))</f>
        <v/>
      </c>
      <c r="AV21" s="59">
        <f>IF(Matchday!O23="","",Matchday!O23)</f>
        <v/>
      </c>
      <c r="AW21" s="79" t="n"/>
      <c r="AX21" s="79" t="n"/>
      <c r="AY21" s="79" t="n"/>
      <c r="AZ21" s="79">
        <f>IF(AW21="",AH21,AW21)</f>
        <v/>
      </c>
      <c r="BA21" s="75">
        <f>IF(AX21&lt;&gt;"",AX21,IF(AH21&lt;&gt;"BET",0,IF(AI21*Method!$B$10/100&lt;Method!$B$9,0,ROUND(AI21*Method!$B$10/100,0))))</f>
        <v/>
      </c>
      <c r="BB21" s="77" t="n">
        <v>-16.35</v>
      </c>
      <c r="BC21" s="77" t="n">
        <v>0.4734242373718016</v>
      </c>
      <c r="BD21" s="77" t="n">
        <v>0.2646189753921679</v>
      </c>
      <c r="BE21" s="77" t="n">
        <v>0.2619567872360304</v>
      </c>
      <c r="BF21" s="14" t="inlineStr">
        <is>
          <t>Austria team-wide: -9 · Jordan team-wide: -8</t>
        </is>
      </c>
      <c r="BG21" s="77" t="n">
        <v>8</v>
      </c>
      <c r="BH21" s="77" t="inlineStr">
        <is>
          <t>mild_dry</t>
        </is>
      </c>
      <c r="BI21" s="77" t="n">
        <v>0</v>
      </c>
    </row>
    <row r="22" ht="15" customHeight="1" s="153">
      <c r="A22" s="59" t="n">
        <v>21</v>
      </c>
      <c r="B22" s="58" t="n">
        <v>46190</v>
      </c>
      <c r="C22" s="59" t="inlineStr">
        <is>
          <t>K</t>
        </is>
      </c>
      <c r="D22" s="66" t="inlineStr">
        <is>
          <t>Portugal</t>
        </is>
      </c>
      <c r="E22" s="66" t="inlineStr">
        <is>
          <t>DR Congo</t>
        </is>
      </c>
      <c r="F22" s="66" t="inlineStr">
        <is>
          <t>Houston</t>
        </is>
      </c>
      <c r="G22" s="61" t="n">
        <v>0.5</v>
      </c>
      <c r="H22" s="61" t="n">
        <v>0.75</v>
      </c>
      <c r="I22" s="64" t="n">
        <v>0.6192765282927092</v>
      </c>
      <c r="J22" s="64" t="n">
        <v>0.2480836049403038</v>
      </c>
      <c r="K22" s="64" t="n">
        <v>0.1326398667669871</v>
      </c>
      <c r="L22" s="63">
        <f>IF(Matchday!E24="","",Matchday!E24)</f>
        <v/>
      </c>
      <c r="M22" s="63">
        <f>IF(Matchday!F24="","",Matchday!F24)</f>
        <v/>
      </c>
      <c r="N22" s="63">
        <f>IF(Matchday!G24="","",Matchday!G24)</f>
        <v/>
      </c>
      <c r="O22" s="64">
        <f>IF(L22="","",1/L22)</f>
        <v/>
      </c>
      <c r="P22" s="64">
        <f>IF(M22="","",1/M22)</f>
        <v/>
      </c>
      <c r="Q22" s="64">
        <f>IF(N22="","",1/N22)</f>
        <v/>
      </c>
      <c r="R22" s="64">
        <f>IF(COUNT(L22:N22)&lt;3,"",O22+P22+Q22)</f>
        <v/>
      </c>
      <c r="S22" s="64">
        <f t="array" ref="S22">IF($R22="","",IF(Method!$B$56="proportional",O22/$R22,IF(Method!$B$56="power",IFERROR(INDEX(power_devig($L22,$M22,$N22),1,1),O22/$R22),IFERROR(INDEX(shin($L22,$M22,$N22),1,1),O22/$R22))))</f>
        <v/>
      </c>
      <c r="T22" s="64">
        <f t="array" ref="T22">IF($R22="","",IF(Method!$B$56="proportional",P22/$R22,IF(Method!$B$56="power",IFERROR(INDEX(power_devig($L22,$M22,$N22),2,1),P22/$R22),IFERROR(INDEX(shin($L22,$M22,$N22),2,1),P22/$R22))))</f>
        <v/>
      </c>
      <c r="U22" s="64">
        <f t="array" ref="U22">IF($R22="","",IF(Method!$B$56="proportional",Q22/$R22,IF(Method!$B$56="power",IFERROR(INDEX(power_devig($L22,$M22,$N22),3,1),Q22/$R22),IFERROR(INDEX(shin($L22,$M22,$N22),3,1),Q22/$R22))))</f>
        <v/>
      </c>
      <c r="V22" s="64">
        <f>IF(S22="","",Method!$B$4*IF(BC22="",I22,BC22)+(1-Method!$B$4)*S22/($S22+$T22+$U22))</f>
        <v/>
      </c>
      <c r="W22" s="64">
        <f>IF(T22="","",Method!$B$4*IF(BD22="",J22,BD22)+(1-Method!$B$4)*T22/($S22+$T22+$U22))</f>
        <v/>
      </c>
      <c r="X22" s="64">
        <f>IF(U22="","",Method!$B$4*IF(BE22="",K22,BE22)+(1-Method!$B$4)*U22/($S22+$T22+$U22))</f>
        <v/>
      </c>
      <c r="Y22" s="65">
        <f>IF(V22="","",V22*L22-1)</f>
        <v/>
      </c>
      <c r="Z22" s="65">
        <f>IF(W22="","",W22*M22-1)</f>
        <v/>
      </c>
      <c r="AA22" s="65">
        <f>IF(X22="","",X22*N22-1)</f>
        <v/>
      </c>
      <c r="AB22" s="66">
        <f>IF(Y22="","",MATCH(MAX(Y22:AA22),Y22:AA22,0))</f>
        <v/>
      </c>
      <c r="AC22" s="66">
        <f>IF(AB22="","",CHOOSE(AB22,"H","D","A"))</f>
        <v/>
      </c>
      <c r="AD22" s="67">
        <f>IF(AB22="","",CHOOSE(AB22,"1  "&amp;D22,"X  Draw","2  "&amp;E22))</f>
        <v/>
      </c>
      <c r="AE22" s="33">
        <f>IF(AB22="","",INDEX(L22:N22,1,AB22))</f>
        <v/>
      </c>
      <c r="AF22" s="65">
        <f>IF(AB22="","",INDEX(Y22:AA22,1,AB22))</f>
        <v/>
      </c>
      <c r="AG22" s="65">
        <f>IF(AB22="","",INDEX(V22:X22,1,AB22)-INDEX(S22:U22,1,AB22))</f>
        <v/>
      </c>
      <c r="AH22" s="68">
        <f>IF(AB22="","· enter odds",IF(OR(AF22&gt;Method!$B$87,IFERROR(INDEX(BC22:BE22,1,AB22)/INDEX(S22:U22,1,AB22),0)&gt;Method!$B$88),"PASS",IF(AND(AF22&gt;=Method!$B$7,AG22&gt;=Method!$B$8),"BET","PASS")))</f>
        <v/>
      </c>
      <c r="AI22" s="69">
        <f>IF(AH22&lt;&gt;"BET",0,ROUND(MIN(Method!$B$6,Method!$B$5*AL22)*100,1))</f>
        <v/>
      </c>
      <c r="AJ22" s="70">
        <f>IF(OR(AH22&lt;&gt;"BET",Method!$B$55=TRUE()),0,IF(AI22*Method!$B$10/100&lt;Method!$B$9,0,ROUND(AI22*Method!$B$10/100,0)))</f>
        <v/>
      </c>
      <c r="AK22" s="64">
        <f>IF(AB22="","",INDEX(V22:X22,1,AB22))</f>
        <v/>
      </c>
      <c r="AL22" s="64">
        <f>IF(AH22&lt;&gt;"BET","",MAX(0,(AK22*AE22-1)/(AE22-1)))</f>
        <v/>
      </c>
      <c r="AM22" s="66">
        <f>IF(AH22="BET",AF22+A22/1000000,"")</f>
        <v/>
      </c>
      <c r="AN22" s="71">
        <f>IF(Matchday!N24="","",Matchday!N24)</f>
        <v/>
      </c>
      <c r="AO22" s="63">
        <f>IF(Matchday!P24="","",Matchday!P24)</f>
        <v/>
      </c>
      <c r="AP22" s="72">
        <f>IF(Matchday!Q24="","",Matchday!Q24)</f>
        <v/>
      </c>
      <c r="AQ22" s="71">
        <f>IF(Matchday!R24="","",Matchday!R24)</f>
        <v/>
      </c>
      <c r="AR22" s="73">
        <f>IF(OR(AN22&lt;&gt;"Y",AQ22="",AV22=""),"",IF(AQ22="Void",0,IF(AQ22=AV22,ROUND(AP22*(AO22-1),2),-AP22)))</f>
        <v/>
      </c>
      <c r="AS22" s="73">
        <f>IF(AR22="","",SUM($AR$2:AR22))</f>
        <v/>
      </c>
      <c r="AT22" s="31">
        <f>IF(AB22="","Type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pauses.")),IF(AH22="BET",IF(AJ22=0,"Edge found but stake rounds under £"&amp;Method!$B$9&amp;" — skip",IF(AND(AE22&gt;=6,AG22&gt;=0.15),"🟡 WAIT — long-shot review: odds "&amp;TEXT(AE22,"0.00")&amp;" + edge "&amp;TEXT(AG22,"0.0%")&amp;" — verify sharp-book + team news + stake comfort before Placed=Y","Value found: EV "&amp;TEXT(AF22,"0.0%")&amp;", edge "&amp;TEXT(AG22,"0.0%"))),IF(OR(AF22&gt;Method!$B$87,IFERROR(INDEX(BC22:BE22,1,AB22)/INDEX(S22:U22,1,AB22),0)&gt;Method!$B$88),"🛑 Tail trap — auto-PASS · EV "&amp;TEXT(AF22,"0.0%")&amp;" (cap "&amp;TEXT(Method!$B$87,"0%")&amp;") · model/market "&amp;TEXT(IFERROR(INDEX(BC22:BE22,1,AB22)/INDEX(S22:U22,1,AB22),0),"0.0")&amp;"× (cap "&amp;TEXT(Method!$B$88,"0.0")&amp;"×)",IF(AF22&lt;Method!$B$7,"Price too short — EV "&amp;TEXT(AF22,"0.0%")&amp;" (need "&amp;TEXT(Method!$B$7,"0.0%")&amp;"+)","Model ≈ market — edge "&amp;TEXT(AG22,"0.0%")&amp;" (need "&amp;TEXT(Method!$B$8,"0.0%")&amp;"+)")))))</f>
        <v/>
      </c>
      <c r="AU22" s="31">
        <f>IF(AN22&lt;&gt;"Y","",IF(AH22="· enter odds","⚠ type the 3 odds (1/X/2) to grade this bet",IF(OR(AV22="",AO22="",AP22=""),"⚠ log backed pick, odds &amp; stake",IF(AZ22&lt;&gt;"BET","⚠ FUN BET — engine said pass · staked £"&amp;AP22&amp;" vs engine £"&amp;BA22,IF(AV22&lt;&gt;IF(AY22="",AC22,AY22),"⚠ backed "&amp;AV22&amp;" but engine pick was "&amp;IF(AY22="",AC22,AY22),IF(AP22&gt;BA22,"⚠ stake over engine £"&amp;BA22,IF(ABS(AO22-IFERROR(INDEX(L22:N22,1,MATCH(AV22,{"H","D","A"},0)),AE22))&gt;0.02,"⚠ odds moved — re-check value","✓ engine bet")))))))</f>
        <v/>
      </c>
      <c r="AV22" s="59">
        <f>IF(Matchday!O24="","",Matchday!O24)</f>
        <v/>
      </c>
      <c r="AW22" s="79" t="n"/>
      <c r="AX22" s="79" t="n"/>
      <c r="AY22" s="79" t="n"/>
      <c r="AZ22" s="79">
        <f>IF(AW22="",AH22,AW22)</f>
        <v/>
      </c>
      <c r="BA22" s="75">
        <f>IF(AX22&lt;&gt;"",AX22,IF(AH22&lt;&gt;"BET",0,IF(AI22*Method!$B$10/100&lt;Method!$B$9,0,ROUND(AI22*Method!$B$10/100,0))))</f>
        <v/>
      </c>
      <c r="BB22" s="77" t="n">
        <v>-6.27</v>
      </c>
      <c r="BC22" s="77" t="n">
        <v>0.5882948898915841</v>
      </c>
      <c r="BD22" s="77" t="n">
        <v>0.2763928732712718</v>
      </c>
      <c r="BE22" s="77" t="n">
        <v>0.1353122368371441</v>
      </c>
      <c r="BF22" s="77" t="inlineStr">
        <is>
          <t>DR Congo team-wide: -7 · Portugal team-wide: +1</t>
        </is>
      </c>
      <c r="BG22" s="77" t="n">
        <v>15</v>
      </c>
      <c r="BH22" s="77" t="inlineStr">
        <is>
          <t>very_hot_humid_indoor</t>
        </is>
      </c>
      <c r="BI22" s="77" t="n">
        <v>0</v>
      </c>
    </row>
    <row r="23" ht="15" customHeight="1" s="153">
      <c r="A23" s="59" t="n">
        <v>22</v>
      </c>
      <c r="B23" s="58" t="n">
        <v>46190</v>
      </c>
      <c r="C23" s="59" t="inlineStr">
        <is>
          <t>L</t>
        </is>
      </c>
      <c r="D23" s="66" t="inlineStr">
        <is>
          <t>England</t>
        </is>
      </c>
      <c r="E23" s="66" t="inlineStr">
        <is>
          <t>Croatia</t>
        </is>
      </c>
      <c r="F23" s="66" t="inlineStr">
        <is>
          <t>Arlington</t>
        </is>
      </c>
      <c r="G23" s="61" t="n">
        <v>0.625</v>
      </c>
      <c r="H23" s="61" t="n">
        <v>0.875</v>
      </c>
      <c r="I23" s="64" t="n">
        <v>0.4298370117502421</v>
      </c>
      <c r="J23" s="64" t="n">
        <v>0.2947080852881275</v>
      </c>
      <c r="K23" s="64" t="n">
        <v>0.2754549029616302</v>
      </c>
      <c r="L23" s="63">
        <f>IF(Matchday!E25="","",Matchday!E25)</f>
        <v/>
      </c>
      <c r="M23" s="63">
        <f>IF(Matchday!F25="","",Matchday!F25)</f>
        <v/>
      </c>
      <c r="N23" s="63">
        <f>IF(Matchday!G25="","",Matchday!G25)</f>
        <v/>
      </c>
      <c r="O23" s="64">
        <f>IF(L23="","",1/L23)</f>
        <v/>
      </c>
      <c r="P23" s="64">
        <f>IF(M23="","",1/M23)</f>
        <v/>
      </c>
      <c r="Q23" s="64">
        <f>IF(N23="","",1/N23)</f>
        <v/>
      </c>
      <c r="R23" s="64">
        <f>IF(COUNT(L23:N23)&lt;3,"",O23+P23+Q23)</f>
        <v/>
      </c>
      <c r="S23" s="64">
        <f t="array" ref="S23">IF($R23="","",IF(Method!$B$56="proportional",O23/$R23,IF(Method!$B$56="power",IFERROR(INDEX(power_devig($L23,$M23,$N23),1,1),O23/$R23),IFERROR(INDEX(shin($L23,$M23,$N23),1,1),O23/$R23))))</f>
        <v/>
      </c>
      <c r="T23" s="64">
        <f t="array" ref="T23">IF($R23="","",IF(Method!$B$56="proportional",P23/$R23,IF(Method!$B$56="power",IFERROR(INDEX(power_devig($L23,$M23,$N23),2,1),P23/$R23),IFERROR(INDEX(shin($L23,$M23,$N23),2,1),P23/$R23))))</f>
        <v/>
      </c>
      <c r="U23" s="64">
        <f t="array" ref="U23">IF($R23="","",IF(Method!$B$56="proportional",Q23/$R23,IF(Method!$B$56="power",IFERROR(INDEX(power_devig($L23,$M23,$N23),3,1),Q23/$R23),IFERROR(INDEX(shin($L23,$M23,$N23),3,1),Q23/$R23))))</f>
        <v/>
      </c>
      <c r="V23" s="64">
        <f>IF(S23="","",Method!$B$4*IF(BC23="",I23,BC23)+(1-Method!$B$4)*S23/($S23+$T23+$U23))</f>
        <v/>
      </c>
      <c r="W23" s="64">
        <f>IF(T23="","",Method!$B$4*IF(BD23="",J23,BD23)+(1-Method!$B$4)*T23/($S23+$T23+$U23))</f>
        <v/>
      </c>
      <c r="X23" s="64">
        <f>IF(U23="","",Method!$B$4*IF(BE23="",K23,BE23)+(1-Method!$B$4)*U23/($S23+$T23+$U23))</f>
        <v/>
      </c>
      <c r="Y23" s="65">
        <f>IF(V23="","",V23*L23-1)</f>
        <v/>
      </c>
      <c r="Z23" s="65">
        <f>IF(W23="","",W23*M23-1)</f>
        <v/>
      </c>
      <c r="AA23" s="65">
        <f>IF(X23="","",X23*N23-1)</f>
        <v/>
      </c>
      <c r="AB23" s="66">
        <f>IF(Y23="","",MATCH(MAX(Y23:AA23),Y23:AA23,0))</f>
        <v/>
      </c>
      <c r="AC23" s="66">
        <f>IF(AB23="","",CHOOSE(AB23,"H","D","A"))</f>
        <v/>
      </c>
      <c r="AD23" s="67">
        <f>IF(AB23="","",CHOOSE(AB23,"1  "&amp;D23,"X  Draw","2  "&amp;E23))</f>
        <v/>
      </c>
      <c r="AE23" s="33">
        <f>IF(AB23="","",INDEX(L23:N23,1,AB23))</f>
        <v/>
      </c>
      <c r="AF23" s="65">
        <f>IF(AB23="","",INDEX(Y23:AA23,1,AB23))</f>
        <v/>
      </c>
      <c r="AG23" s="65">
        <f>IF(AB23="","",INDEX(V23:X23,1,AB23)-INDEX(S23:U23,1,AB23))</f>
        <v/>
      </c>
      <c r="AH23" s="68">
        <f>IF(AB23="","· enter odds",IF(OR(AF23&gt;Method!$B$87,IFERROR(INDEX(BC23:BE23,1,AB23)/INDEX(S23:U23,1,AB23),0)&gt;Method!$B$88),"PASS",IF(AND(AF23&gt;=Method!$B$7,AG23&gt;=Method!$B$8),"BET","PASS")))</f>
        <v/>
      </c>
      <c r="AI23" s="69">
        <f>IF(AH23&lt;&gt;"BET",0,ROUND(MIN(Method!$B$6,Method!$B$5*AL23)*100,1))</f>
        <v/>
      </c>
      <c r="AJ23" s="70">
        <f>IF(OR(AH23&lt;&gt;"BET",Method!$B$55=TRUE()),0,IF(AI23*Method!$B$10/100&lt;Method!$B$9,0,ROUND(AI23*Method!$B$10/100,0)))</f>
        <v/>
      </c>
      <c r="AK23" s="64">
        <f>IF(AB23="","",INDEX(V23:X23,1,AB23))</f>
        <v/>
      </c>
      <c r="AL23" s="64">
        <f>IF(AH23&lt;&gt;"BET","",MAX(0,(AK23*AE23-1)/(AE23-1)))</f>
        <v/>
      </c>
      <c r="AM23" s="65">
        <f>IF(AH23="BET",AF23+A23/1000000,"")</f>
        <v/>
      </c>
      <c r="AN23" s="71">
        <f>IF(Matchday!N25="","",Matchday!N25)</f>
        <v/>
      </c>
      <c r="AO23" s="63">
        <f>IF(Matchday!P25="","",Matchday!P25)</f>
        <v/>
      </c>
      <c r="AP23" s="72">
        <f>IF(Matchday!Q25="","",Matchday!Q25)</f>
        <v/>
      </c>
      <c r="AQ23" s="71">
        <f>IF(Matchday!R25="","",Matchday!R25)</f>
        <v/>
      </c>
      <c r="AR23" s="73">
        <f>IF(OR(AN23&lt;&gt;"Y",AQ23="",AV23=""),"",IF(AQ23="Void",0,IF(AQ23=AV23,ROUND(AP23*(AO23-1),2),-AP23)))</f>
        <v/>
      </c>
      <c r="AS23" s="73">
        <f>IF(AR23="","",SUM($AR$2:AR23))</f>
        <v/>
      </c>
      <c r="AT23" s="31">
        <f>IF(AB23="","Type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pauses.")),IF(AH23="BET",IF(AJ23=0,"Edge found but stake rounds under £"&amp;Method!$B$9&amp;" — skip",IF(AND(AE23&gt;=6,AG23&gt;=0.15),"🟡 WAIT — long-shot review: odds "&amp;TEXT(AE23,"0.00")&amp;" + edge "&amp;TEXT(AG23,"0.0%")&amp;" — verify sharp-book + team news + stake comfort before Placed=Y","Value found: EV "&amp;TEXT(AF23,"0.0%")&amp;", edge "&amp;TEXT(AG23,"0.0%"))),IF(OR(AF23&gt;Method!$B$87,IFERROR(INDEX(BC23:BE23,1,AB23)/INDEX(S23:U23,1,AB23),0)&gt;Method!$B$88),"🛑 Tail trap — auto-PASS · EV "&amp;TEXT(AF23,"0.0%")&amp;" (cap "&amp;TEXT(Method!$B$87,"0%")&amp;") · model/market "&amp;TEXT(IFERROR(INDEX(BC23:BE23,1,AB23)/INDEX(S23:U23,1,AB23),0),"0.0")&amp;"× (cap "&amp;TEXT(Method!$B$88,"0.0")&amp;"×)",IF(AF23&lt;Method!$B$7,"Price too short — EV "&amp;TEXT(AF23,"0.0%")&amp;" (need "&amp;TEXT(Method!$B$7,"0.0%")&amp;"+)","Model ≈ market — edge "&amp;TEXT(AG23,"0.0%")&amp;" (need "&amp;TEXT(Method!$B$8,"0.0%")&amp;"+)")))))</f>
        <v/>
      </c>
      <c r="AU23" s="31">
        <f>IF(AN23&lt;&gt;"Y","",IF(AH23="· enter odds","⚠ type the 3 odds (1/X/2) to grade this bet",IF(OR(AV23="",AO23="",AP23=""),"⚠ log backed pick, odds &amp; stake",IF(AZ23&lt;&gt;"BET","⚠ FUN BET — engine said pass · staked £"&amp;AP23&amp;" vs engine £"&amp;BA23,IF(AV23&lt;&gt;IF(AY23="",AC23,AY23),"⚠ backed "&amp;AV23&amp;" but engine pick was "&amp;IF(AY23="",AC23,AY23),IF(AP23&gt;BA23,"⚠ stake over engine £"&amp;BA23,IF(ABS(AO23-IFERROR(INDEX(L23:N23,1,MATCH(AV23,{"H","D","A"},0)),AE23))&gt;0.02,"⚠ odds moved — re-check value","✓ engine bet")))))))</f>
        <v/>
      </c>
      <c r="AV23" s="59">
        <f>IF(Matchday!O25="","",Matchday!O25)</f>
        <v/>
      </c>
      <c r="AW23" s="79" t="n"/>
      <c r="AX23" s="79" t="n"/>
      <c r="AY23" s="79" t="n"/>
      <c r="AZ23" s="79">
        <f>IF(AW23="",AH23,AW23)</f>
        <v/>
      </c>
      <c r="BA23" s="75">
        <f>IF(AX23&lt;&gt;"",AX23,IF(AH23&lt;&gt;"BET",0,IF(AI23*Method!$B$10/100&lt;Method!$B$9,0,ROUND(AI23*Method!$B$10/100,0))))</f>
        <v/>
      </c>
      <c r="BB23" s="77" t="n">
        <v>-11.31</v>
      </c>
      <c r="BC23" s="77" t="n">
        <v>0.4357360292531863</v>
      </c>
      <c r="BD23" s="77" t="n">
        <v>0.2649602231698301</v>
      </c>
      <c r="BE23" s="77" t="n">
        <v>0.2993037475769835</v>
      </c>
      <c r="BF23" s="77" t="inlineStr">
        <is>
          <t>Croatia team-wide: -2 · England team-wide: -10</t>
        </is>
      </c>
      <c r="BG23" s="77" t="n">
        <v>175</v>
      </c>
      <c r="BH23" s="77" t="inlineStr">
        <is>
          <t>very_hot_indoor</t>
        </is>
      </c>
      <c r="BI23" s="77" t="n">
        <v>0</v>
      </c>
    </row>
    <row r="24" ht="15" customHeight="1" s="153">
      <c r="A24" s="59" t="n">
        <v>23</v>
      </c>
      <c r="B24" s="58" t="n">
        <v>46190</v>
      </c>
      <c r="C24" s="59" t="inlineStr">
        <is>
          <t>L</t>
        </is>
      </c>
      <c r="D24" s="66" t="inlineStr">
        <is>
          <t>Ghana</t>
        </is>
      </c>
      <c r="E24" s="66" t="inlineStr">
        <is>
          <t>Panama</t>
        </is>
      </c>
      <c r="F24" s="66" t="inlineStr">
        <is>
          <t>Toronto</t>
        </is>
      </c>
      <c r="G24" s="61" t="n">
        <v>0.7916666666666666</v>
      </c>
      <c r="H24" s="59" t="inlineStr">
        <is>
          <t>00:00 +1d</t>
        </is>
      </c>
      <c r="I24" s="64" t="n">
        <v>0.270729000048323</v>
      </c>
      <c r="J24" s="64" t="n">
        <v>0.2844140046798613</v>
      </c>
      <c r="K24" s="64" t="n">
        <v>0.4448569952718159</v>
      </c>
      <c r="L24" s="63">
        <f>IF(Matchday!E26="","",Matchday!E26)</f>
        <v/>
      </c>
      <c r="M24" s="63">
        <f>IF(Matchday!F26="","",Matchday!F26)</f>
        <v/>
      </c>
      <c r="N24" s="63">
        <f>IF(Matchday!G26="","",Matchday!G26)</f>
        <v/>
      </c>
      <c r="O24" s="64">
        <f>IF(L24="","",1/L24)</f>
        <v/>
      </c>
      <c r="P24" s="64">
        <f>IF(M24="","",1/M24)</f>
        <v/>
      </c>
      <c r="Q24" s="64">
        <f>IF(N24="","",1/N24)</f>
        <v/>
      </c>
      <c r="R24" s="64">
        <f>IF(COUNT(L24:N24)&lt;3,"",O24+P24+Q24)</f>
        <v/>
      </c>
      <c r="S24" s="64">
        <f t="array" ref="S24">IF($R24="","",IF(Method!$B$56="proportional",O24/$R24,IF(Method!$B$56="power",IFERROR(INDEX(power_devig($L24,$M24,$N24),1,1),O24/$R24),IFERROR(INDEX(shin($L24,$M24,$N24),1,1),O24/$R24))))</f>
        <v/>
      </c>
      <c r="T24" s="64">
        <f t="array" ref="T24">IF($R24="","",IF(Method!$B$56="proportional",P24/$R24,IF(Method!$B$56="power",IFERROR(INDEX(power_devig($L24,$M24,$N24),2,1),P24/$R24),IFERROR(INDEX(shin($L24,$M24,$N24),2,1),P24/$R24))))</f>
        <v/>
      </c>
      <c r="U24" s="64">
        <f t="array" ref="U24">IF($R24="","",IF(Method!$B$56="proportional",Q24/$R24,IF(Method!$B$56="power",IFERROR(INDEX(power_devig($L24,$M24,$N24),3,1),Q24/$R24),IFERROR(INDEX(shin($L24,$M24,$N24),3,1),Q24/$R24))))</f>
        <v/>
      </c>
      <c r="V24" s="64">
        <f>IF(S24="","",Method!$B$4*IF(BC24="",I24,BC24)+(1-Method!$B$4)*S24/($S24+$T24+$U24))</f>
        <v/>
      </c>
      <c r="W24" s="64">
        <f>IF(T24="","",Method!$B$4*IF(BD24="",J24,BD24)+(1-Method!$B$4)*T24/($S24+$T24+$U24))</f>
        <v/>
      </c>
      <c r="X24" s="64">
        <f>IF(U24="","",Method!$B$4*IF(BE24="",K24,BE24)+(1-Method!$B$4)*U24/($S24+$T24+$U24))</f>
        <v/>
      </c>
      <c r="Y24" s="65">
        <f>IF(V24="","",V24*L24-1)</f>
        <v/>
      </c>
      <c r="Z24" s="65">
        <f>IF(W24="","",W24*M24-1)</f>
        <v/>
      </c>
      <c r="AA24" s="65">
        <f>IF(X24="","",X24*N24-1)</f>
        <v/>
      </c>
      <c r="AB24" s="66">
        <f>IF(Y24="","",MATCH(MAX(Y24:AA24),Y24:AA24,0))</f>
        <v/>
      </c>
      <c r="AC24" s="66">
        <f>IF(AB24="","",CHOOSE(AB24,"H","D","A"))</f>
        <v/>
      </c>
      <c r="AD24" s="67">
        <f>IF(AB24="","",CHOOSE(AB24,"1  "&amp;D24,"X  Draw","2  "&amp;E24))</f>
        <v/>
      </c>
      <c r="AE24" s="33">
        <f>IF(AB24="","",INDEX(L24:N24,1,AB24))</f>
        <v/>
      </c>
      <c r="AF24" s="65">
        <f>IF(AB24="","",INDEX(Y24:AA24,1,AB24))</f>
        <v/>
      </c>
      <c r="AG24" s="65">
        <f>IF(AB24="","",INDEX(V24:X24,1,AB24)-INDEX(S24:U24,1,AB24))</f>
        <v/>
      </c>
      <c r="AH24" s="68">
        <f>IF(AB24="","· enter odds",IF(OR(AF24&gt;Method!$B$87,IFERROR(INDEX(BC24:BE24,1,AB24)/INDEX(S24:U24,1,AB24),0)&gt;Method!$B$88),"PASS",IF(AND(AF24&gt;=Method!$B$7,AG24&gt;=Method!$B$8),"BET","PASS")))</f>
        <v/>
      </c>
      <c r="AI24" s="69">
        <f>IF(AH24&lt;&gt;"BET",0,ROUND(MIN(Method!$B$6,Method!$B$5*AL24)*100,1))</f>
        <v/>
      </c>
      <c r="AJ24" s="70">
        <f>IF(OR(AH24&lt;&gt;"BET",Method!$B$55=TRUE()),0,IF(AI24*Method!$B$10/100&lt;Method!$B$9,0,ROUND(AI24*Method!$B$10/100,0)))</f>
        <v/>
      </c>
      <c r="AK24" s="64">
        <f>IF(AB24="","",INDEX(V24:X24,1,AB24))</f>
        <v/>
      </c>
      <c r="AL24" s="64">
        <f>IF(AH24&lt;&gt;"BET","",MAX(0,(AK24*AE24-1)/(AE24-1)))</f>
        <v/>
      </c>
      <c r="AM24" s="65">
        <f>IF(AH24="BET",AF24+A24/1000000,"")</f>
        <v/>
      </c>
      <c r="AN24" s="71">
        <f>IF(Matchday!N26="","",Matchday!N26)</f>
        <v/>
      </c>
      <c r="AO24" s="63">
        <f>IF(Matchday!P26="","",Matchday!P26)</f>
        <v/>
      </c>
      <c r="AP24" s="72">
        <f>IF(Matchday!Q26="","",Matchday!Q26)</f>
        <v/>
      </c>
      <c r="AQ24" s="71">
        <f>IF(Matchday!R26="","",Matchday!R26)</f>
        <v/>
      </c>
      <c r="AR24" s="73">
        <f>IF(OR(AN24&lt;&gt;"Y",AQ24="",AV24=""),"",IF(AQ24="Void",0,IF(AQ24=AV24,ROUND(AP24*(AO24-1),2),-AP24)))</f>
        <v/>
      </c>
      <c r="AS24" s="73">
        <f>IF(AR24="","",SUM($AR$2:AR24))</f>
        <v/>
      </c>
      <c r="AT24" s="31">
        <f>IF(AB24="","Type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pauses.")),IF(AH24="BET",IF(AJ24=0,"Edge found but stake rounds under £"&amp;Method!$B$9&amp;" — skip",IF(AND(AE24&gt;=6,AG24&gt;=0.15),"🟡 WAIT — long-shot review: odds "&amp;TEXT(AE24,"0.00")&amp;" + edge "&amp;TEXT(AG24,"0.0%")&amp;" — verify sharp-book + team news + stake comfort before Placed=Y","Value found: EV "&amp;TEXT(AF24,"0.0%")&amp;", edge "&amp;TEXT(AG24,"0.0%"))),IF(OR(AF24&gt;Method!$B$87,IFERROR(INDEX(BC24:BE24,1,AB24)/INDEX(S24:U24,1,AB24),0)&gt;Method!$B$88),"🛑 Tail trap — auto-PASS · EV "&amp;TEXT(AF24,"0.0%")&amp;" (cap "&amp;TEXT(Method!$B$87,"0%")&amp;") · model/market "&amp;TEXT(IFERROR(INDEX(BC24:BE24,1,AB24)/INDEX(S24:U24,1,AB24),0),"0.0")&amp;"× (cap "&amp;TEXT(Method!$B$88,"0.0")&amp;"×)",IF(AF24&lt;Method!$B$7,"Price too short — EV "&amp;TEXT(AF24,"0.0%")&amp;" (need "&amp;TEXT(Method!$B$7,"0.0%")&amp;"+)","Model ≈ market — edge "&amp;TEXT(AG24,"0.0%")&amp;" (need "&amp;TEXT(Method!$B$8,"0.0%")&amp;"+)")))))</f>
        <v/>
      </c>
      <c r="AU24" s="31">
        <f>IF(AN24&lt;&gt;"Y","",IF(AH24="· enter odds","⚠ type the 3 odds (1/X/2) to grade this bet",IF(OR(AV24="",AO24="",AP24=""),"⚠ log backed pick, odds &amp; stake",IF(AZ24&lt;&gt;"BET","⚠ FUN BET — engine said pass · staked £"&amp;AP24&amp;" vs engine £"&amp;BA24,IF(AV24&lt;&gt;IF(AY24="",AC24,AY24),"⚠ backed "&amp;AV24&amp;" but engine pick was "&amp;IF(AY24="",AC24,AY24),IF(AP24&gt;BA24,"⚠ stake over engine £"&amp;BA24,IF(ABS(AO24-IFERROR(INDEX(L24:N24,1,MATCH(AV24,{"H","D","A"},0)),AE24))&gt;0.02,"⚠ odds moved — re-check value","✓ engine bet")))))))</f>
        <v/>
      </c>
      <c r="AV24" s="59">
        <f>IF(Matchday!O26="","",Matchday!O26)</f>
        <v/>
      </c>
      <c r="AW24" s="79" t="n"/>
      <c r="AX24" s="79" t="n"/>
      <c r="AY24" s="79" t="n"/>
      <c r="AZ24" s="79">
        <f>IF(AW24="",AH24,AW24)</f>
        <v/>
      </c>
      <c r="BA24" s="75">
        <f>IF(AX24&lt;&gt;"",AX24,IF(AH24&lt;&gt;"BET",0,IF(AI24*Method!$B$10/100&lt;Method!$B$9,0,ROUND(AI24*Method!$B$10/100,0))))</f>
        <v/>
      </c>
      <c r="BB24" s="77" t="n">
        <v>-8.220000000000001</v>
      </c>
      <c r="BC24" s="77" t="n">
        <v>0.2698765221360281</v>
      </c>
      <c r="BD24" s="77" t="n">
        <v>0.2764551789922019</v>
      </c>
      <c r="BE24" s="77" t="n">
        <v>0.45366829887177</v>
      </c>
      <c r="BF24" s="14" t="inlineStr">
        <is>
          <t>Ghana team-wide: -6 · Panama team-wide: -2</t>
        </is>
      </c>
      <c r="BG24" s="77" t="n">
        <v>76</v>
      </c>
      <c r="BH24" s="77" t="inlineStr">
        <is>
          <t>mild</t>
        </is>
      </c>
      <c r="BI24" s="77" t="n">
        <v>0</v>
      </c>
    </row>
    <row r="25" ht="15" customHeight="1" s="153">
      <c r="A25" s="59" t="n">
        <v>24</v>
      </c>
      <c r="B25" s="58" t="n">
        <v>46190</v>
      </c>
      <c r="C25" s="59" t="inlineStr">
        <is>
          <t>K</t>
        </is>
      </c>
      <c r="D25" s="66" t="inlineStr">
        <is>
          <t>Uzbekistan</t>
        </is>
      </c>
      <c r="E25" s="66" t="inlineStr">
        <is>
          <t>Colombia</t>
        </is>
      </c>
      <c r="F25" s="66" t="inlineStr">
        <is>
          <t>Mexico City</t>
        </is>
      </c>
      <c r="G25" s="61" t="n">
        <v>0.8333333333333334</v>
      </c>
      <c r="H25" s="59" t="inlineStr">
        <is>
          <t>03:00 +1d</t>
        </is>
      </c>
      <c r="I25" s="64" t="n">
        <v>0.1293723187489908</v>
      </c>
      <c r="J25" s="64" t="n">
        <v>0.235188042183005</v>
      </c>
      <c r="K25" s="64" t="n">
        <v>0.6354396390680043</v>
      </c>
      <c r="L25" s="63">
        <f>IF(Matchday!E27="","",Matchday!E27)</f>
        <v/>
      </c>
      <c r="M25" s="63">
        <f>IF(Matchday!F27="","",Matchday!F27)</f>
        <v/>
      </c>
      <c r="N25" s="63">
        <f>IF(Matchday!G27="","",Matchday!G27)</f>
        <v/>
      </c>
      <c r="O25" s="64">
        <f>IF(L25="","",1/L25)</f>
        <v/>
      </c>
      <c r="P25" s="64">
        <f>IF(M25="","",1/M25)</f>
        <v/>
      </c>
      <c r="Q25" s="64">
        <f>IF(N25="","",1/N25)</f>
        <v/>
      </c>
      <c r="R25" s="64">
        <f>IF(COUNT(L25:N25)&lt;3,"",O25+P25+Q25)</f>
        <v/>
      </c>
      <c r="S25" s="64">
        <f t="array" ref="S25">IF($R25="","",IF(Method!$B$56="proportional",O25/$R25,IF(Method!$B$56="power",IFERROR(INDEX(power_devig($L25,$M25,$N25),1,1),O25/$R25),IFERROR(INDEX(shin($L25,$M25,$N25),1,1),O25/$R25))))</f>
        <v/>
      </c>
      <c r="T25" s="64">
        <f t="array" ref="T25">IF($R25="","",IF(Method!$B$56="proportional",P25/$R25,IF(Method!$B$56="power",IFERROR(INDEX(power_devig($L25,$M25,$N25),2,1),P25/$R25),IFERROR(INDEX(shin($L25,$M25,$N25),2,1),P25/$R25))))</f>
        <v/>
      </c>
      <c r="U25" s="64">
        <f t="array" ref="U25">IF($R25="","",IF(Method!$B$56="proportional",Q25/$R25,IF(Method!$B$56="power",IFERROR(INDEX(power_devig($L25,$M25,$N25),3,1),Q25/$R25),IFERROR(INDEX(shin($L25,$M25,$N25),3,1),Q25/$R25))))</f>
        <v/>
      </c>
      <c r="V25" s="64">
        <f>IF(S25="","",Method!$B$4*IF(BC25="",I25,BC25)+(1-Method!$B$4)*S25/($S25+$T25+$U25))</f>
        <v/>
      </c>
      <c r="W25" s="64">
        <f>IF(T25="","",Method!$B$4*IF(BD25="",J25,BD25)+(1-Method!$B$4)*T25/($S25+$T25+$U25))</f>
        <v/>
      </c>
      <c r="X25" s="64">
        <f>IF(U25="","",Method!$B$4*IF(BE25="",K25,BE25)+(1-Method!$B$4)*U25/($S25+$T25+$U25))</f>
        <v/>
      </c>
      <c r="Y25" s="65">
        <f>IF(V25="","",V25*L25-1)</f>
        <v/>
      </c>
      <c r="Z25" s="65">
        <f>IF(W25="","",W25*M25-1)</f>
        <v/>
      </c>
      <c r="AA25" s="65">
        <f>IF(X25="","",X25*N25-1)</f>
        <v/>
      </c>
      <c r="AB25" s="66">
        <f>IF(Y25="","",MATCH(MAX(Y25:AA25),Y25:AA25,0))</f>
        <v/>
      </c>
      <c r="AC25" s="66">
        <f>IF(AB25="","",CHOOSE(AB25,"H","D","A"))</f>
        <v/>
      </c>
      <c r="AD25" s="67">
        <f>IF(AB25="","",CHOOSE(AB25,"1  "&amp;D25,"X  Draw","2  "&amp;E25))</f>
        <v/>
      </c>
      <c r="AE25" s="33">
        <f>IF(AB25="","",INDEX(L25:N25,1,AB25))</f>
        <v/>
      </c>
      <c r="AF25" s="65">
        <f>IF(AB25="","",INDEX(Y25:AA25,1,AB25))</f>
        <v/>
      </c>
      <c r="AG25" s="65">
        <f>IF(AB25="","",INDEX(V25:X25,1,AB25)-INDEX(S25:U25,1,AB25))</f>
        <v/>
      </c>
      <c r="AH25" s="68">
        <f>IF(AB25="","· enter odds",IF(OR(AF25&gt;Method!$B$87,IFERROR(INDEX(BC25:BE25,1,AB25)/INDEX(S25:U25,1,AB25),0)&gt;Method!$B$88),"PASS",IF(AND(AF25&gt;=Method!$B$7,AG25&gt;=Method!$B$8),"BET","PASS")))</f>
        <v/>
      </c>
      <c r="AI25" s="69">
        <f>IF(AH25&lt;&gt;"BET",0,ROUND(MIN(Method!$B$6,Method!$B$5*AL25)*100,1))</f>
        <v/>
      </c>
      <c r="AJ25" s="70">
        <f>IF(OR(AH25&lt;&gt;"BET",Method!$B$55=TRUE()),0,IF(AI25*Method!$B$10/100&lt;Method!$B$9,0,ROUND(AI25*Method!$B$10/100,0)))</f>
        <v/>
      </c>
      <c r="AK25" s="64">
        <f>IF(AB25="","",INDEX(V25:X25,1,AB25))</f>
        <v/>
      </c>
      <c r="AL25" s="64">
        <f>IF(AH25&lt;&gt;"BET","",MAX(0,(AK25*AE25-1)/(AE25-1)))</f>
        <v/>
      </c>
      <c r="AM25" s="66">
        <f>IF(AH25="BET",AF25+A25/1000000,"")</f>
        <v/>
      </c>
      <c r="AN25" s="71">
        <f>IF(Matchday!N27="","",Matchday!N27)</f>
        <v/>
      </c>
      <c r="AO25" s="63">
        <f>IF(Matchday!P27="","",Matchday!P27)</f>
        <v/>
      </c>
      <c r="AP25" s="72">
        <f>IF(Matchday!Q27="","",Matchday!Q27)</f>
        <v/>
      </c>
      <c r="AQ25" s="71">
        <f>IF(Matchday!R27="","",Matchday!R27)</f>
        <v/>
      </c>
      <c r="AR25" s="73">
        <f>IF(OR(AN25&lt;&gt;"Y",AQ25="",AV25=""),"",IF(AQ25="Void",0,IF(AQ25=AV25,ROUND(AP25*(AO25-1),2),-AP25)))</f>
        <v/>
      </c>
      <c r="AS25" s="73">
        <f>IF(AR25="","",SUM($AR$2:AR25))</f>
        <v/>
      </c>
      <c r="AT25" s="31">
        <f>IF(AB25="","Type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pauses.")),IF(AH25="BET",IF(AJ25=0,"Edge found but stake rounds under £"&amp;Method!$B$9&amp;" — skip",IF(AND(AE25&gt;=6,AG25&gt;=0.15),"🟡 WAIT — long-shot review: odds "&amp;TEXT(AE25,"0.00")&amp;" + edge "&amp;TEXT(AG25,"0.0%")&amp;" — verify sharp-book + team news + stake comfort before Placed=Y","Value found: EV "&amp;TEXT(AF25,"0.0%")&amp;", edge "&amp;TEXT(AG25,"0.0%"))),IF(OR(AF25&gt;Method!$B$87,IFERROR(INDEX(BC25:BE25,1,AB25)/INDEX(S25:U25,1,AB25),0)&gt;Method!$B$88),"🛑 Tail trap — auto-PASS · EV "&amp;TEXT(AF25,"0.0%")&amp;" (cap "&amp;TEXT(Method!$B$87,"0%")&amp;") · model/market "&amp;TEXT(IFERROR(INDEX(BC25:BE25,1,AB25)/INDEX(S25:U25,1,AB25),0),"0.0")&amp;"× (cap "&amp;TEXT(Method!$B$88,"0.0")&amp;"×)",IF(AF25&lt;Method!$B$7,"Price too short — EV "&amp;TEXT(AF25,"0.0%")&amp;" (need "&amp;TEXT(Method!$B$7,"0.0%")&amp;"+)","Model ≈ market — edge "&amp;TEXT(AG25,"0.0%")&amp;" (need "&amp;TEXT(Method!$B$8,"0.0%")&amp;"+)")))))</f>
        <v/>
      </c>
      <c r="AU25" s="31">
        <f>IF(AN25&lt;&gt;"Y","",IF(AH25="· enter odds","⚠ type the 3 odds (1/X/2) to grade this bet",IF(OR(AV25="",AO25="",AP25=""),"⚠ log backed pick, odds &amp; stake",IF(AZ25&lt;&gt;"BET","⚠ FUN BET — engine said pass · staked £"&amp;AP25&amp;" vs engine £"&amp;BA25,IF(AV25&lt;&gt;IF(AY25="",AC25,AY25),"⚠ backed "&amp;AV25&amp;" but engine pick was "&amp;IF(AY25="",AC25,AY25),IF(AP25&gt;BA25,"⚠ stake over engine £"&amp;BA25,IF(ABS(AO25-IFERROR(INDEX(L25:N25,1,MATCH(AV25,{"H","D","A"},0)),AE25))&gt;0.02,"⚠ odds moved — re-check value","✓ engine bet")))))))</f>
        <v/>
      </c>
      <c r="AV25" s="59">
        <f>IF(Matchday!O27="","",Matchday!O27)</f>
        <v/>
      </c>
      <c r="AW25" s="79" t="n"/>
      <c r="AX25" s="79" t="n"/>
      <c r="AY25" s="79" t="n"/>
      <c r="AZ25" s="79">
        <f>IF(AW25="",AH25,AW25)</f>
        <v/>
      </c>
      <c r="BA25" s="75">
        <f>IF(AX25&lt;&gt;"",AX25,IF(AH25&lt;&gt;"BET",0,IF(AI25*Method!$B$10/100&lt;Method!$B$9,0,ROUND(AI25*Method!$B$10/100,0))))</f>
        <v/>
      </c>
      <c r="BB25" s="77" t="n">
        <v>1.8</v>
      </c>
      <c r="BC25" s="77" t="n">
        <v>0.1126439723710084</v>
      </c>
      <c r="BD25" s="77" t="n">
        <v>0.2638244214560249</v>
      </c>
      <c r="BE25" s="77" t="n">
        <v>0.6235316061729667</v>
      </c>
      <c r="BF25" s="14" t="inlineStr">
        <is>
          <t>Colombia team-wide: +10 · Uzbekistan team-wide: -8</t>
        </is>
      </c>
      <c r="BG25" s="77" t="n">
        <v>2240</v>
      </c>
      <c r="BH25" s="77" t="inlineStr">
        <is>
          <t>high_altitude_mild</t>
        </is>
      </c>
      <c r="BI25" s="77" t="n">
        <v>0</v>
      </c>
    </row>
    <row r="26" ht="15" customHeight="1" s="153">
      <c r="A26" s="59" t="n">
        <v>25</v>
      </c>
      <c r="B26" s="58" t="n">
        <v>46191</v>
      </c>
      <c r="C26" s="59" t="inlineStr">
        <is>
          <t>A</t>
        </is>
      </c>
      <c r="D26" s="66" t="inlineStr">
        <is>
          <t>Czechia</t>
        </is>
      </c>
      <c r="E26" s="66" t="inlineStr">
        <is>
          <t>South Africa</t>
        </is>
      </c>
      <c r="F26" s="66" t="inlineStr">
        <is>
          <t>Atlanta</t>
        </is>
      </c>
      <c r="G26" s="61" t="n">
        <v>0.5</v>
      </c>
      <c r="H26" s="61" t="n">
        <v>0.7083333333333334</v>
      </c>
      <c r="I26" s="64" t="n">
        <v>0.5028878431025983</v>
      </c>
      <c r="J26" s="64" t="n">
        <v>0.2982096659923212</v>
      </c>
      <c r="K26" s="64" t="n">
        <v>0.1989024909050806</v>
      </c>
      <c r="L26" s="63">
        <f>IF(Matchday!E28="","",Matchday!E28)</f>
        <v/>
      </c>
      <c r="M26" s="63">
        <f>IF(Matchday!F28="","",Matchday!F28)</f>
        <v/>
      </c>
      <c r="N26" s="63">
        <f>IF(Matchday!G28="","",Matchday!G28)</f>
        <v/>
      </c>
      <c r="O26" s="64">
        <f>IF(L26="","",1/L26)</f>
        <v/>
      </c>
      <c r="P26" s="64">
        <f>IF(M26="","",1/M26)</f>
        <v/>
      </c>
      <c r="Q26" s="64">
        <f>IF(N26="","",1/N26)</f>
        <v/>
      </c>
      <c r="R26" s="64">
        <f>IF(COUNT(L26:N26)&lt;3,"",O26+P26+Q26)</f>
        <v/>
      </c>
      <c r="S26" s="64">
        <f t="array" ref="S26">IF($R26="","",IF(Method!$B$56="proportional",O26/$R26,IF(Method!$B$56="power",IFERROR(INDEX(power_devig($L26,$M26,$N26),1,1),O26/$R26),IFERROR(INDEX(shin($L26,$M26,$N26),1,1),O26/$R26))))</f>
        <v/>
      </c>
      <c r="T26" s="64">
        <f t="array" ref="T26">IF($R26="","",IF(Method!$B$56="proportional",P26/$R26,IF(Method!$B$56="power",IFERROR(INDEX(power_devig($L26,$M26,$N26),2,1),P26/$R26),IFERROR(INDEX(shin($L26,$M26,$N26),2,1),P26/$R26))))</f>
        <v/>
      </c>
      <c r="U26" s="64">
        <f t="array" ref="U26">IF($R26="","",IF(Method!$B$56="proportional",Q26/$R26,IF(Method!$B$56="power",IFERROR(INDEX(power_devig($L26,$M26,$N26),3,1),Q26/$R26),IFERROR(INDEX(shin($L26,$M26,$N26),3,1),Q26/$R26))))</f>
        <v/>
      </c>
      <c r="V26" s="64">
        <f>IF(S26="","",Method!$B$4*IF(BC26="",I26,BC26)+(1-Method!$B$4)*S26/($S26+$T26+$U26))</f>
        <v/>
      </c>
      <c r="W26" s="64">
        <f>IF(T26="","",Method!$B$4*IF(BD26="",J26,BD26)+(1-Method!$B$4)*T26/($S26+$T26+$U26))</f>
        <v/>
      </c>
      <c r="X26" s="64">
        <f>IF(U26="","",Method!$B$4*IF(BE26="",K26,BE26)+(1-Method!$B$4)*U26/($S26+$T26+$U26))</f>
        <v/>
      </c>
      <c r="Y26" s="65">
        <f>IF(V26="","",V26*L26-1)</f>
        <v/>
      </c>
      <c r="Z26" s="65">
        <f>IF(W26="","",W26*M26-1)</f>
        <v/>
      </c>
      <c r="AA26" s="65">
        <f>IF(X26="","",X26*N26-1)</f>
        <v/>
      </c>
      <c r="AB26" s="66">
        <f>IF(Y26="","",MATCH(MAX(Y26:AA26),Y26:AA26,0))</f>
        <v/>
      </c>
      <c r="AC26" s="66">
        <f>IF(AB26="","",CHOOSE(AB26,"H","D","A"))</f>
        <v/>
      </c>
      <c r="AD26" s="67">
        <f>IF(AB26="","",CHOOSE(AB26,"1  "&amp;D26,"X  Draw","2  "&amp;E26))</f>
        <v/>
      </c>
      <c r="AE26" s="33">
        <f>IF(AB26="","",INDEX(L26:N26,1,AB26))</f>
        <v/>
      </c>
      <c r="AF26" s="65">
        <f>IF(AB26="","",INDEX(Y26:AA26,1,AB26))</f>
        <v/>
      </c>
      <c r="AG26" s="65">
        <f>IF(AB26="","",INDEX(V26:X26,1,AB26)-INDEX(S26:U26,1,AB26))</f>
        <v/>
      </c>
      <c r="AH26" s="68">
        <f>IF(AB26="","· enter odds",IF(OR(AF26&gt;Method!$B$87,IFERROR(INDEX(BC26:BE26,1,AB26)/INDEX(S26:U26,1,AB26),0)&gt;Method!$B$88),"PASS",IF(AND(AF26&gt;=Method!$B$7,AG26&gt;=Method!$B$8),"BET","PASS")))</f>
        <v/>
      </c>
      <c r="AI26" s="69">
        <f>IF(AH26&lt;&gt;"BET",0,ROUND(MIN(Method!$B$6,Method!$B$5*AL26)*100,1))</f>
        <v/>
      </c>
      <c r="AJ26" s="70">
        <f>IF(OR(AH26&lt;&gt;"BET",Method!$B$55=TRUE()),0,IF(AI26*Method!$B$10/100&lt;Method!$B$9,0,ROUND(AI26*Method!$B$10/100,0)))</f>
        <v/>
      </c>
      <c r="AK26" s="64">
        <f>IF(AB26="","",INDEX(V26:X26,1,AB26))</f>
        <v/>
      </c>
      <c r="AL26" s="64">
        <f>IF(AH26&lt;&gt;"BET","",MAX(0,(AK26*AE26-1)/(AE26-1)))</f>
        <v/>
      </c>
      <c r="AM26" s="66">
        <f>IF(AH26="BET",AF26+A26/1000000,"")</f>
        <v/>
      </c>
      <c r="AN26" s="71">
        <f>IF(Matchday!N28="","",Matchday!N28)</f>
        <v/>
      </c>
      <c r="AO26" s="63">
        <f>IF(Matchday!P28="","",Matchday!P28)</f>
        <v/>
      </c>
      <c r="AP26" s="72">
        <f>IF(Matchday!Q28="","",Matchday!Q28)</f>
        <v/>
      </c>
      <c r="AQ26" s="71">
        <f>IF(Matchday!R28="","",Matchday!R28)</f>
        <v/>
      </c>
      <c r="AR26" s="73">
        <f>IF(OR(AN26&lt;&gt;"Y",AQ26="",AV26=""),"",IF(AQ26="Void",0,IF(AQ26=AV26,ROUND(AP26*(AO26-1),2),-AP26)))</f>
        <v/>
      </c>
      <c r="AS26" s="73">
        <f>IF(AR26="","",SUM($AR$2:AR26))</f>
        <v/>
      </c>
      <c r="AT26" s="31">
        <f>IF(AB26="","Type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pauses.")),IF(AH26="BET",IF(AJ26=0,"Edge found but stake rounds under £"&amp;Method!$B$9&amp;" — skip",IF(AND(AE26&gt;=6,AG26&gt;=0.15),"🟡 WAIT — long-shot review: odds "&amp;TEXT(AE26,"0.00")&amp;" + edge "&amp;TEXT(AG26,"0.0%")&amp;" — verify sharp-book + team news + stake comfort before Placed=Y","Value found: EV "&amp;TEXT(AF26,"0.0%")&amp;", edge "&amp;TEXT(AG26,"0.0%"))),IF(OR(AF26&gt;Method!$B$87,IFERROR(INDEX(BC26:BE26,1,AB26)/INDEX(S26:U26,1,AB26),0)&gt;Method!$B$88),"🛑 Tail trap — auto-PASS · EV "&amp;TEXT(AF26,"0.0%")&amp;" (cap "&amp;TEXT(Method!$B$87,"0%")&amp;") · model/market "&amp;TEXT(IFERROR(INDEX(BC26:BE26,1,AB26)/INDEX(S26:U26,1,AB26),0),"0.0")&amp;"× (cap "&amp;TEXT(Method!$B$88,"0.0")&amp;"×)",IF(AF26&lt;Method!$B$7,"Price too short — EV "&amp;TEXT(AF26,"0.0%")&amp;" (need "&amp;TEXT(Method!$B$7,"0.0%")&amp;"+)","Model ≈ market — edge "&amp;TEXT(AG26,"0.0%")&amp;" (need "&amp;TEXT(Method!$B$8,"0.0%")&amp;"+)")))))</f>
        <v/>
      </c>
      <c r="AU26" s="31">
        <f>IF(AN26&lt;&gt;"Y","",IF(AH26="· enter odds","⚠ type the 3 odds (1/X/2) to grade this bet",IF(OR(AV26="",AO26="",AP26=""),"⚠ log backed pick, odds &amp; stake",IF(AZ26&lt;&gt;"BET","⚠ FUN BET — engine said pass · staked £"&amp;AP26&amp;" vs engine £"&amp;BA26,IF(AV26&lt;&gt;IF(AY26="",AC26,AY26),"⚠ backed "&amp;AV26&amp;" but engine pick was "&amp;IF(AY26="",AC26,AY26),IF(AP26&gt;BA26,"⚠ stake over engine £"&amp;BA26,IF(ABS(AO26-IFERROR(INDEX(L26:N26,1,MATCH(AV26,{"H","D","A"},0)),AE26))&gt;0.02,"⚠ odds moved — re-check value","✓ engine bet")))))))</f>
        <v/>
      </c>
      <c r="AV26" s="59">
        <f>IF(Matchday!O28="","",Matchday!O28)</f>
        <v/>
      </c>
      <c r="AW26" s="79" t="n"/>
      <c r="AX26" s="79" t="n"/>
      <c r="AY26" s="79" t="n"/>
      <c r="AZ26" s="79">
        <f>IF(AW26="",AH26,AW26)</f>
        <v/>
      </c>
      <c r="BA26" s="75">
        <f>IF(AX26&lt;&gt;"",AX26,IF(AH26&lt;&gt;"BET",0,IF(AI26*Method!$B$10/100&lt;Method!$B$9,0,ROUND(AI26*Method!$B$10/100,0))))</f>
        <v/>
      </c>
      <c r="BB26" s="77" t="n">
        <v>-50.79</v>
      </c>
      <c r="BC26" s="77" t="n">
        <v>0.517094295383982</v>
      </c>
      <c r="BD26" s="77" t="n">
        <v>0.2671676776821199</v>
      </c>
      <c r="BE26" s="77" t="n">
        <v>0.2157380269338982</v>
      </c>
      <c r="BF26" s="14" t="inlineStr">
        <is>
          <t>Czechia team-wide: -16 · South Africa team-wide: -29 · South Africa suspension: -3 · South Africa suspension: -3</t>
        </is>
      </c>
      <c r="BG26" s="77" t="n">
        <v>320</v>
      </c>
      <c r="BH26" s="77" t="inlineStr">
        <is>
          <t>hot_humid_indoor</t>
        </is>
      </c>
      <c r="BI26" s="77" t="n">
        <v>2373.1</v>
      </c>
    </row>
    <row r="27" ht="15" customHeight="1" s="153">
      <c r="A27" s="59" t="n">
        <v>26</v>
      </c>
      <c r="B27" s="58" t="n">
        <v>46191</v>
      </c>
      <c r="C27" s="59" t="inlineStr">
        <is>
          <t>B</t>
        </is>
      </c>
      <c r="D27" s="66" t="inlineStr">
        <is>
          <t>Switzerland</t>
        </is>
      </c>
      <c r="E27" s="66" t="inlineStr">
        <is>
          <t>Bosnia and Herzegovina</t>
        </is>
      </c>
      <c r="F27" s="66" t="inlineStr">
        <is>
          <t>Inglewood</t>
        </is>
      </c>
      <c r="G27" s="61" t="n">
        <v>0.625</v>
      </c>
      <c r="H27" s="61" t="n">
        <v>0.9583333333333334</v>
      </c>
      <c r="I27" s="64" t="n">
        <v>0.6767992974802521</v>
      </c>
      <c r="J27" s="64" t="n">
        <v>0.2180442788781422</v>
      </c>
      <c r="K27" s="64" t="n">
        <v>0.1051564236416056</v>
      </c>
      <c r="L27" s="63">
        <f>IF(Matchday!E29="","",Matchday!E29)</f>
        <v/>
      </c>
      <c r="M27" s="63">
        <f>IF(Matchday!F29="","",Matchday!F29)</f>
        <v/>
      </c>
      <c r="N27" s="63">
        <f>IF(Matchday!G29="","",Matchday!G29)</f>
        <v/>
      </c>
      <c r="O27" s="64">
        <f>IF(L27="","",1/L27)</f>
        <v/>
      </c>
      <c r="P27" s="64">
        <f>IF(M27="","",1/M27)</f>
        <v/>
      </c>
      <c r="Q27" s="64">
        <f>IF(N27="","",1/N27)</f>
        <v/>
      </c>
      <c r="R27" s="64">
        <f>IF(COUNT(L27:N27)&lt;3,"",O27+P27+Q27)</f>
        <v/>
      </c>
      <c r="S27" s="64">
        <f t="array" ref="S27">IF($R27="","",IF(Method!$B$56="proportional",O27/$R27,IF(Method!$B$56="power",IFERROR(INDEX(power_devig($L27,$M27,$N27),1,1),O27/$R27),IFERROR(INDEX(shin($L27,$M27,$N27),1,1),O27/$R27))))</f>
        <v/>
      </c>
      <c r="T27" s="64">
        <f t="array" ref="T27">IF($R27="","",IF(Method!$B$56="proportional",P27/$R27,IF(Method!$B$56="power",IFERROR(INDEX(power_devig($L27,$M27,$N27),2,1),P27/$R27),IFERROR(INDEX(shin($L27,$M27,$N27),2,1),P27/$R27))))</f>
        <v/>
      </c>
      <c r="U27" s="64">
        <f t="array" ref="U27">IF($R27="","",IF(Method!$B$56="proportional",Q27/$R27,IF(Method!$B$56="power",IFERROR(INDEX(power_devig($L27,$M27,$N27),3,1),Q27/$R27),IFERROR(INDEX(shin($L27,$M27,$N27),3,1),Q27/$R27))))</f>
        <v/>
      </c>
      <c r="V27" s="64">
        <f>IF(S27="","",Method!$B$4*IF(BC27="",I27,BC27)+(1-Method!$B$4)*S27/($S27+$T27+$U27))</f>
        <v/>
      </c>
      <c r="W27" s="64">
        <f>IF(T27="","",Method!$B$4*IF(BD27="",J27,BD27)+(1-Method!$B$4)*T27/($S27+$T27+$U27))</f>
        <v/>
      </c>
      <c r="X27" s="64">
        <f>IF(U27="","",Method!$B$4*IF(BE27="",K27,BE27)+(1-Method!$B$4)*U27/($S27+$T27+$U27))</f>
        <v/>
      </c>
      <c r="Y27" s="65">
        <f>IF(V27="","",V27*L27-1)</f>
        <v/>
      </c>
      <c r="Z27" s="65">
        <f>IF(W27="","",W27*M27-1)</f>
        <v/>
      </c>
      <c r="AA27" s="65">
        <f>IF(X27="","",X27*N27-1)</f>
        <v/>
      </c>
      <c r="AB27" s="66">
        <f>IF(Y27="","",MATCH(MAX(Y27:AA27),Y27:AA27,0))</f>
        <v/>
      </c>
      <c r="AC27" s="66">
        <f>IF(AB27="","",CHOOSE(AB27,"H","D","A"))</f>
        <v/>
      </c>
      <c r="AD27" s="67">
        <f>IF(AB27="","",CHOOSE(AB27,"1  "&amp;D27,"X  Draw","2  "&amp;E27))</f>
        <v/>
      </c>
      <c r="AE27" s="33">
        <f>IF(AB27="","",INDEX(L27:N27,1,AB27))</f>
        <v/>
      </c>
      <c r="AF27" s="65">
        <f>IF(AB27="","",INDEX(Y27:AA27,1,AB27))</f>
        <v/>
      </c>
      <c r="AG27" s="65">
        <f>IF(AB27="","",INDEX(V27:X27,1,AB27)-INDEX(S27:U27,1,AB27))</f>
        <v/>
      </c>
      <c r="AH27" s="68">
        <f>IF(AB27="","· enter odds",IF(OR(AF27&gt;Method!$B$87,IFERROR(INDEX(BC27:BE27,1,AB27)/INDEX(S27:U27,1,AB27),0)&gt;Method!$B$88),"PASS",IF(AND(AF27&gt;=Method!$B$7,AG27&gt;=Method!$B$8),"BET","PASS")))</f>
        <v/>
      </c>
      <c r="AI27" s="69">
        <f>IF(AH27&lt;&gt;"BET",0,ROUND(MIN(Method!$B$6,Method!$B$5*AL27)*100,1))</f>
        <v/>
      </c>
      <c r="AJ27" s="70">
        <f>IF(OR(AH27&lt;&gt;"BET",Method!$B$55=TRUE()),0,IF(AI27*Method!$B$10/100&lt;Method!$B$9,0,ROUND(AI27*Method!$B$10/100,0)))</f>
        <v/>
      </c>
      <c r="AK27" s="64">
        <f>IF(AB27="","",INDEX(V27:X27,1,AB27))</f>
        <v/>
      </c>
      <c r="AL27" s="64">
        <f>IF(AH27&lt;&gt;"BET","",MAX(0,(AK27*AE27-1)/(AE27-1)))</f>
        <v/>
      </c>
      <c r="AM27" s="66">
        <f>IF(AH27="BET",AF27+A27/1000000,"")</f>
        <v/>
      </c>
      <c r="AN27" s="71">
        <f>IF(Matchday!N29="","",Matchday!N29)</f>
        <v/>
      </c>
      <c r="AO27" s="63">
        <f>IF(Matchday!P29="","",Matchday!P29)</f>
        <v/>
      </c>
      <c r="AP27" s="72">
        <f>IF(Matchday!Q29="","",Matchday!Q29)</f>
        <v/>
      </c>
      <c r="AQ27" s="71">
        <f>IF(Matchday!R29="","",Matchday!R29)</f>
        <v/>
      </c>
      <c r="AR27" s="73">
        <f>IF(OR(AN27&lt;&gt;"Y",AQ27="",AV27=""),"",IF(AQ27="Void",0,IF(AQ27=AV27,ROUND(AP27*(AO27-1),2),-AP27)))</f>
        <v/>
      </c>
      <c r="AS27" s="73">
        <f>IF(AR27="","",SUM($AR$2:AR27))</f>
        <v/>
      </c>
      <c r="AT27" s="31">
        <f>IF(AB27="","Type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pauses.")),IF(AH27="BET",IF(AJ27=0,"Edge found but stake rounds under £"&amp;Method!$B$9&amp;" — skip",IF(AND(AE27&gt;=6,AG27&gt;=0.15),"🟡 WAIT — long-shot review: odds "&amp;TEXT(AE27,"0.00")&amp;" + edge "&amp;TEXT(AG27,"0.0%")&amp;" — verify sharp-book + team news + stake comfort before Placed=Y","Value found: EV "&amp;TEXT(AF27,"0.0%")&amp;", edge "&amp;TEXT(AG27,"0.0%"))),IF(OR(AF27&gt;Method!$B$87,IFERROR(INDEX(BC27:BE27,1,AB27)/INDEX(S27:U27,1,AB27),0)&gt;Method!$B$88),"🛑 Tail trap — auto-PASS · EV "&amp;TEXT(AF27,"0.0%")&amp;" (cap "&amp;TEXT(Method!$B$87,"0%")&amp;") · model/market "&amp;TEXT(IFERROR(INDEX(BC27:BE27,1,AB27)/INDEX(S27:U27,1,AB27),0),"0.0")&amp;"× (cap "&amp;TEXT(Method!$B$88,"0.0")&amp;"×)",IF(AF27&lt;Method!$B$7,"Price too short — EV "&amp;TEXT(AF27,"0.0%")&amp;" (need "&amp;TEXT(Method!$B$7,"0.0%")&amp;"+)","Model ≈ market — edge "&amp;TEXT(AG27,"0.0%")&amp;" (need "&amp;TEXT(Method!$B$8,"0.0%")&amp;"+)")))))</f>
        <v/>
      </c>
      <c r="AU27" s="31">
        <f>IF(AN27&lt;&gt;"Y","",IF(AH27="· enter odds","⚠ type the 3 odds (1/X/2) to grade this bet",IF(OR(AV27="",AO27="",AP27=""),"⚠ log backed pick, odds &amp; stake",IF(AZ27&lt;&gt;"BET","⚠ FUN BET — engine said pass · staked £"&amp;AP27&amp;" vs engine £"&amp;BA27,IF(AV27&lt;&gt;IF(AY27="",AC27,AY27),"⚠ backed "&amp;AV27&amp;" but engine pick was "&amp;IF(AY27="",AC27,AY27),IF(AP27&gt;BA27,"⚠ stake over engine £"&amp;BA27,IF(ABS(AO27-IFERROR(INDEX(L27:N27,1,MATCH(AV27,{"H","D","A"},0)),AE27))&gt;0.02,"⚠ odds moved — re-check value","✓ engine bet")))))))</f>
        <v/>
      </c>
      <c r="AV27" s="59">
        <f>IF(Matchday!O29="","",Matchday!O29)</f>
        <v/>
      </c>
      <c r="AW27" s="79" t="n"/>
      <c r="AX27" s="79" t="n"/>
      <c r="AY27" s="79" t="n"/>
      <c r="AZ27" s="79">
        <f>IF(AW27="",AH27,AW27)</f>
        <v/>
      </c>
      <c r="BA27" s="75">
        <f>IF(AX27&lt;&gt;"",AX27,IF(AH27&lt;&gt;"BET",0,IF(AI27*Method!$B$10/100&lt;Method!$B$9,0,ROUND(AI27*Method!$B$10/100,0))))</f>
        <v/>
      </c>
      <c r="BB27" s="77" t="n">
        <v>-32.48999999999999</v>
      </c>
      <c r="BC27" s="77" t="n">
        <v>0.6459576016938143</v>
      </c>
      <c r="BD27" s="77" t="n">
        <v>0.2460471017740375</v>
      </c>
      <c r="BE27" s="77" t="n">
        <v>0.1079952965321482</v>
      </c>
      <c r="BF27" s="14" t="inlineStr">
        <is>
          <t>Bosnia and Herzegovina team-wide: -15 · Switzerland team-wide: -17</t>
        </is>
      </c>
      <c r="BG27" s="77" t="n">
        <v>30</v>
      </c>
      <c r="BH27" s="77" t="inlineStr">
        <is>
          <t>warm_dry_indoor</t>
        </is>
      </c>
      <c r="BI27" s="77" t="n">
        <v>504.6</v>
      </c>
    </row>
    <row r="28" ht="15" customHeight="1" s="153">
      <c r="A28" s="59" t="n">
        <v>27</v>
      </c>
      <c r="B28" s="58" t="n">
        <v>46191</v>
      </c>
      <c r="C28" s="59" t="inlineStr">
        <is>
          <t>B</t>
        </is>
      </c>
      <c r="D28" s="66" t="inlineStr">
        <is>
          <t>Canada</t>
        </is>
      </c>
      <c r="E28" s="66" t="inlineStr">
        <is>
          <t>Qatar</t>
        </is>
      </c>
      <c r="F28" s="66" t="inlineStr">
        <is>
          <t>Vancouver</t>
        </is>
      </c>
      <c r="G28" s="61" t="n">
        <v>0.75</v>
      </c>
      <c r="H28" s="59" t="inlineStr">
        <is>
          <t>02:00 +1d</t>
        </is>
      </c>
      <c r="I28" s="64" t="n">
        <v>0.7917787245253288</v>
      </c>
      <c r="J28" s="64" t="n">
        <v>0.1645713549078108</v>
      </c>
      <c r="K28" s="64" t="n">
        <v>0.04364992056686041</v>
      </c>
      <c r="L28" s="63">
        <f>IF(Matchday!E30="","",Matchday!E30)</f>
        <v/>
      </c>
      <c r="M28" s="63">
        <f>IF(Matchday!F30="","",Matchday!F30)</f>
        <v/>
      </c>
      <c r="N28" s="63">
        <f>IF(Matchday!G30="","",Matchday!G30)</f>
        <v/>
      </c>
      <c r="O28" s="64">
        <f>IF(L28="","",1/L28)</f>
        <v/>
      </c>
      <c r="P28" s="64">
        <f>IF(M28="","",1/M28)</f>
        <v/>
      </c>
      <c r="Q28" s="64">
        <f>IF(N28="","",1/N28)</f>
        <v/>
      </c>
      <c r="R28" s="64">
        <f>IF(COUNT(L28:N28)&lt;3,"",O28+P28+Q28)</f>
        <v/>
      </c>
      <c r="S28" s="64">
        <f t="array" ref="S28">IF($R28="","",IF(Method!$B$56="proportional",O28/$R28,IF(Method!$B$56="power",IFERROR(INDEX(power_devig($L28,$M28,$N28),1,1),O28/$R28),IFERROR(INDEX(shin($L28,$M28,$N28),1,1),O28/$R28))))</f>
        <v/>
      </c>
      <c r="T28" s="64">
        <f t="array" ref="T28">IF($R28="","",IF(Method!$B$56="proportional",P28/$R28,IF(Method!$B$56="power",IFERROR(INDEX(power_devig($L28,$M28,$N28),2,1),P28/$R28),IFERROR(INDEX(shin($L28,$M28,$N28),2,1),P28/$R28))))</f>
        <v/>
      </c>
      <c r="U28" s="64">
        <f t="array" ref="U28">IF($R28="","",IF(Method!$B$56="proportional",Q28/$R28,IF(Method!$B$56="power",IFERROR(INDEX(power_devig($L28,$M28,$N28),3,1),Q28/$R28),IFERROR(INDEX(shin($L28,$M28,$N28),3,1),Q28/$R28))))</f>
        <v/>
      </c>
      <c r="V28" s="64">
        <f>IF(S28="","",Method!$B$4*IF(BC28="",I28,BC28)+(1-Method!$B$4)*S28/($S28+$T28+$U28))</f>
        <v/>
      </c>
      <c r="W28" s="64">
        <f>IF(T28="","",Method!$B$4*IF(BD28="",J28,BD28)+(1-Method!$B$4)*T28/($S28+$T28+$U28))</f>
        <v/>
      </c>
      <c r="X28" s="64">
        <f>IF(U28="","",Method!$B$4*IF(BE28="",K28,BE28)+(1-Method!$B$4)*U28/($S28+$T28+$U28))</f>
        <v/>
      </c>
      <c r="Y28" s="65">
        <f>IF(V28="","",V28*L28-1)</f>
        <v/>
      </c>
      <c r="Z28" s="65">
        <f>IF(W28="","",W28*M28-1)</f>
        <v/>
      </c>
      <c r="AA28" s="65">
        <f>IF(X28="","",X28*N28-1)</f>
        <v/>
      </c>
      <c r="AB28" s="66">
        <f>IF(Y28="","",MATCH(MAX(Y28:AA28),Y28:AA28,0))</f>
        <v/>
      </c>
      <c r="AC28" s="66">
        <f>IF(AB28="","",CHOOSE(AB28,"H","D","A"))</f>
        <v/>
      </c>
      <c r="AD28" s="67">
        <f>IF(AB28="","",CHOOSE(AB28,"1  "&amp;D28,"X  Draw","2  "&amp;E28))</f>
        <v/>
      </c>
      <c r="AE28" s="33">
        <f>IF(AB28="","",INDEX(L28:N28,1,AB28))</f>
        <v/>
      </c>
      <c r="AF28" s="65">
        <f>IF(AB28="","",INDEX(Y28:AA28,1,AB28))</f>
        <v/>
      </c>
      <c r="AG28" s="65">
        <f>IF(AB28="","",INDEX(V28:X28,1,AB28)-INDEX(S28:U28,1,AB28))</f>
        <v/>
      </c>
      <c r="AH28" s="68">
        <f>IF(AB28="","· enter odds",IF(OR(AF28&gt;Method!$B$87,IFERROR(INDEX(BC28:BE28,1,AB28)/INDEX(S28:U28,1,AB28),0)&gt;Method!$B$88),"PASS",IF(AND(AF28&gt;=Method!$B$7,AG28&gt;=Method!$B$8),"BET","PASS")))</f>
        <v/>
      </c>
      <c r="AI28" s="69">
        <f>IF(AH28&lt;&gt;"BET",0,ROUND(MIN(Method!$B$6,Method!$B$5*AL28)*100,1))</f>
        <v/>
      </c>
      <c r="AJ28" s="70">
        <f>IF(OR(AH28&lt;&gt;"BET",Method!$B$55=TRUE()),0,IF(AI28*Method!$B$10/100&lt;Method!$B$9,0,ROUND(AI28*Method!$B$10/100,0)))</f>
        <v/>
      </c>
      <c r="AK28" s="64">
        <f>IF(AB28="","",INDEX(V28:X28,1,AB28))</f>
        <v/>
      </c>
      <c r="AL28" s="64">
        <f>IF(AH28&lt;&gt;"BET","",MAX(0,(AK28*AE28-1)/(AE28-1)))</f>
        <v/>
      </c>
      <c r="AM28" s="66">
        <f>IF(AH28="BET",AF28+A28/1000000,"")</f>
        <v/>
      </c>
      <c r="AN28" s="71">
        <f>IF(Matchday!N30="","",Matchday!N30)</f>
        <v/>
      </c>
      <c r="AO28" s="63">
        <f>IF(Matchday!P30="","",Matchday!P30)</f>
        <v/>
      </c>
      <c r="AP28" s="72">
        <f>IF(Matchday!Q30="","",Matchday!Q30)</f>
        <v/>
      </c>
      <c r="AQ28" s="71">
        <f>IF(Matchday!R30="","",Matchday!R30)</f>
        <v/>
      </c>
      <c r="AR28" s="73">
        <f>IF(OR(AN28&lt;&gt;"Y",AQ28="",AV28=""),"",IF(AQ28="Void",0,IF(AQ28=AV28,ROUND(AP28*(AO28-1),2),-AP28)))</f>
        <v/>
      </c>
      <c r="AS28" s="73">
        <f>IF(AR28="","",SUM($AR$2:AR28))</f>
        <v/>
      </c>
      <c r="AT28" s="31">
        <f>IF(AB28="","Type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pauses.")),IF(AH28="BET",IF(AJ28=0,"Edge found but stake rounds under £"&amp;Method!$B$9&amp;" — skip",IF(AND(AE28&gt;=6,AG28&gt;=0.15),"🟡 WAIT — long-shot review: odds "&amp;TEXT(AE28,"0.00")&amp;" + edge "&amp;TEXT(AG28,"0.0%")&amp;" — verify sharp-book + team news + stake comfort before Placed=Y","Value found: EV "&amp;TEXT(AF28,"0.0%")&amp;", edge "&amp;TEXT(AG28,"0.0%"))),IF(OR(AF28&gt;Method!$B$87,IFERROR(INDEX(BC28:BE28,1,AB28)/INDEX(S28:U28,1,AB28),0)&gt;Method!$B$88),"🛑 Tail trap — auto-PASS · EV "&amp;TEXT(AF28,"0.0%")&amp;" (cap "&amp;TEXT(Method!$B$87,"0%")&amp;") · model/market "&amp;TEXT(IFERROR(INDEX(BC28:BE28,1,AB28)/INDEX(S28:U28,1,AB28),0),"0.0")&amp;"× (cap "&amp;TEXT(Method!$B$88,"0.0")&amp;"×)",IF(AF28&lt;Method!$B$7,"Price too short — EV "&amp;TEXT(AF28,"0.0%")&amp;" (need "&amp;TEXT(Method!$B$7,"0.0%")&amp;"+)","Model ≈ market — edge "&amp;TEXT(AG28,"0.0%")&amp;" (need "&amp;TEXT(Method!$B$8,"0.0%")&amp;"+)")))))</f>
        <v/>
      </c>
      <c r="AU28" s="31">
        <f>IF(AN28&lt;&gt;"Y","",IF(AH28="· enter odds","⚠ type the 3 odds (1/X/2) to grade this bet",IF(OR(AV28="",AO28="",AP28=""),"⚠ log backed pick, odds &amp; stake",IF(AZ28&lt;&gt;"BET","⚠ FUN BET — engine said pass · staked £"&amp;AP28&amp;" vs engine £"&amp;BA28,IF(AV28&lt;&gt;IF(AY28="",AC28,AY28),"⚠ backed "&amp;AV28&amp;" but engine pick was "&amp;IF(AY28="",AC28,AY28),IF(AP28&gt;BA28,"⚠ stake over engine £"&amp;BA28,IF(ABS(AO28-IFERROR(INDEX(L28:N28,1,MATCH(AV28,{"H","D","A"},0)),AE28))&gt;0.02,"⚠ odds moved — re-check value","✓ engine bet")))))))</f>
        <v/>
      </c>
      <c r="AV28" s="59">
        <f>IF(Matchday!O30="","",Matchday!O30)</f>
        <v/>
      </c>
      <c r="AW28" s="79" t="n"/>
      <c r="AX28" s="79" t="n"/>
      <c r="AY28" s="79" t="n"/>
      <c r="AZ28" s="79">
        <f>IF(AW28="",AH28,AW28)</f>
        <v/>
      </c>
      <c r="BA28" s="75">
        <f>IF(AX28&lt;&gt;"",AX28,IF(AH28&lt;&gt;"BET",0,IF(AI28*Method!$B$10/100&lt;Method!$B$9,0,ROUND(AI28*Method!$B$10/100,0))))</f>
        <v/>
      </c>
      <c r="BB28" s="77" t="n">
        <v>-44.96</v>
      </c>
      <c r="BC28" s="77" t="n">
        <v>0.7694439369864903</v>
      </c>
      <c r="BD28" s="77" t="n">
        <v>0.182286723071541</v>
      </c>
      <c r="BE28" s="77" t="n">
        <v>0.04826933994196871</v>
      </c>
      <c r="BF28" s="14" t="inlineStr">
        <is>
          <t>Canada team-wide: -10 · Qatar team-wide: -35</t>
        </is>
      </c>
      <c r="BG28" s="77" t="n">
        <v>0</v>
      </c>
      <c r="BH28" s="77" t="inlineStr">
        <is>
          <t>mild_indoor</t>
        </is>
      </c>
      <c r="BI28" s="77" t="n">
        <v>3356.8</v>
      </c>
    </row>
    <row r="29" ht="15" customHeight="1" s="153">
      <c r="A29" s="59" t="n">
        <v>28</v>
      </c>
      <c r="B29" s="58" t="n">
        <v>46191</v>
      </c>
      <c r="C29" s="59" t="inlineStr">
        <is>
          <t>A</t>
        </is>
      </c>
      <c r="D29" s="66" t="inlineStr">
        <is>
          <t>Mexico</t>
        </is>
      </c>
      <c r="E29" s="66" t="inlineStr">
        <is>
          <t>South Korea</t>
        </is>
      </c>
      <c r="F29" s="66" t="inlineStr">
        <is>
          <t>Zapopan</t>
        </is>
      </c>
      <c r="G29" s="61" t="n">
        <v>0.9583333333333334</v>
      </c>
      <c r="H29" s="59" t="inlineStr">
        <is>
          <t>06:00 +1d</t>
        </is>
      </c>
      <c r="I29" s="64" t="n">
        <v>0.6177780729944851</v>
      </c>
      <c r="J29" s="64" t="n">
        <v>0.2459998137366554</v>
      </c>
      <c r="K29" s="64" t="n">
        <v>0.1362221132688595</v>
      </c>
      <c r="L29" s="63">
        <f>IF(Matchday!E31="","",Matchday!E31)</f>
        <v/>
      </c>
      <c r="M29" s="63">
        <f>IF(Matchday!F31="","",Matchday!F31)</f>
        <v/>
      </c>
      <c r="N29" s="63">
        <f>IF(Matchday!G31="","",Matchday!G31)</f>
        <v/>
      </c>
      <c r="O29" s="64">
        <f>IF(L29="","",1/L29)</f>
        <v/>
      </c>
      <c r="P29" s="64">
        <f>IF(M29="","",1/M29)</f>
        <v/>
      </c>
      <c r="Q29" s="64">
        <f>IF(N29="","",1/N29)</f>
        <v/>
      </c>
      <c r="R29" s="64">
        <f>IF(COUNT(L29:N29)&lt;3,"",O29+P29+Q29)</f>
        <v/>
      </c>
      <c r="S29" s="64">
        <f t="array" ref="S29">IF($R29="","",IF(Method!$B$56="proportional",O29/$R29,IF(Method!$B$56="power",IFERROR(INDEX(power_devig($L29,$M29,$N29),1,1),O29/$R29),IFERROR(INDEX(shin($L29,$M29,$N29),1,1),O29/$R29))))</f>
        <v/>
      </c>
      <c r="T29" s="64">
        <f t="array" ref="T29">IF($R29="","",IF(Method!$B$56="proportional",P29/$R29,IF(Method!$B$56="power",IFERROR(INDEX(power_devig($L29,$M29,$N29),2,1),P29/$R29),IFERROR(INDEX(shin($L29,$M29,$N29),2,1),P29/$R29))))</f>
        <v/>
      </c>
      <c r="U29" s="64">
        <f t="array" ref="U29">IF($R29="","",IF(Method!$B$56="proportional",Q29/$R29,IF(Method!$B$56="power",IFERROR(INDEX(power_devig($L29,$M29,$N29),3,1),Q29/$R29),IFERROR(INDEX(shin($L29,$M29,$N29),3,1),Q29/$R29))))</f>
        <v/>
      </c>
      <c r="V29" s="64">
        <f>IF(S29="","",Method!$B$4*IF(BC29="",I29,BC29)+(1-Method!$B$4)*S29/($S29+$T29+$U29))</f>
        <v/>
      </c>
      <c r="W29" s="64">
        <f>IF(T29="","",Method!$B$4*IF(BD29="",J29,BD29)+(1-Method!$B$4)*T29/($S29+$T29+$U29))</f>
        <v/>
      </c>
      <c r="X29" s="64">
        <f>IF(U29="","",Method!$B$4*IF(BE29="",K29,BE29)+(1-Method!$B$4)*U29/($S29+$T29+$U29))</f>
        <v/>
      </c>
      <c r="Y29" s="65">
        <f>IF(V29="","",V29*L29-1)</f>
        <v/>
      </c>
      <c r="Z29" s="65">
        <f>IF(W29="","",W29*M29-1)</f>
        <v/>
      </c>
      <c r="AA29" s="65">
        <f>IF(X29="","",X29*N29-1)</f>
        <v/>
      </c>
      <c r="AB29" s="66">
        <f>IF(Y29="","",MATCH(MAX(Y29:AA29),Y29:AA29,0))</f>
        <v/>
      </c>
      <c r="AC29" s="66">
        <f>IF(AB29="","",CHOOSE(AB29,"H","D","A"))</f>
        <v/>
      </c>
      <c r="AD29" s="67">
        <f>IF(AB29="","",CHOOSE(AB29,"1  "&amp;D29,"X  Draw","2  "&amp;E29))</f>
        <v/>
      </c>
      <c r="AE29" s="33">
        <f>IF(AB29="","",INDEX(L29:N29,1,AB29))</f>
        <v/>
      </c>
      <c r="AF29" s="65">
        <f>IF(AB29="","",INDEX(Y29:AA29,1,AB29))</f>
        <v/>
      </c>
      <c r="AG29" s="65">
        <f>IF(AB29="","",INDEX(V29:X29,1,AB29)-INDEX(S29:U29,1,AB29))</f>
        <v/>
      </c>
      <c r="AH29" s="68">
        <f>IF(AB29="","· enter odds",IF(OR(AF29&gt;Method!$B$87,IFERROR(INDEX(BC29:BE29,1,AB29)/INDEX(S29:U29,1,AB29),0)&gt;Method!$B$88),"PASS",IF(AND(AF29&gt;=Method!$B$7,AG29&gt;=Method!$B$8),"BET","PASS")))</f>
        <v/>
      </c>
      <c r="AI29" s="69">
        <f>IF(AH29&lt;&gt;"BET",0,ROUND(MIN(Method!$B$6,Method!$B$5*AL29)*100,1))</f>
        <v/>
      </c>
      <c r="AJ29" s="70">
        <f>IF(OR(AH29&lt;&gt;"BET",Method!$B$55=TRUE()),0,IF(AI29*Method!$B$10/100&lt;Method!$B$9,0,ROUND(AI29*Method!$B$10/100,0)))</f>
        <v/>
      </c>
      <c r="AK29" s="64">
        <f>IF(AB29="","",INDEX(V29:X29,1,AB29))</f>
        <v/>
      </c>
      <c r="AL29" s="64">
        <f>IF(AH29&lt;&gt;"BET","",MAX(0,(AK29*AE29-1)/(AE29-1)))</f>
        <v/>
      </c>
      <c r="AM29" s="65">
        <f>IF(AH29="BET",AF29+A29/1000000,"")</f>
        <v/>
      </c>
      <c r="AN29" s="71">
        <f>IF(Matchday!N31="","",Matchday!N31)</f>
        <v/>
      </c>
      <c r="AO29" s="63">
        <f>IF(Matchday!P31="","",Matchday!P31)</f>
        <v/>
      </c>
      <c r="AP29" s="72">
        <f>IF(Matchday!Q31="","",Matchday!Q31)</f>
        <v/>
      </c>
      <c r="AQ29" s="71">
        <f>IF(Matchday!R31="","",Matchday!R31)</f>
        <v/>
      </c>
      <c r="AR29" s="73">
        <f>IF(OR(AN29&lt;&gt;"Y",AQ29="",AV29=""),"",IF(AQ29="Void",0,IF(AQ29=AV29,ROUND(AP29*(AO29-1),2),-AP29)))</f>
        <v/>
      </c>
      <c r="AS29" s="73">
        <f>IF(AR29="","",SUM($AR$2:AR29))</f>
        <v/>
      </c>
      <c r="AT29" s="31">
        <f>IF(AB29="","Type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pauses.")),IF(AH29="BET",IF(AJ29=0,"Edge found but stake rounds under £"&amp;Method!$B$9&amp;" — skip",IF(AND(AE29&gt;=6,AG29&gt;=0.15),"🟡 WAIT — long-shot review: odds "&amp;TEXT(AE29,"0.00")&amp;" + edge "&amp;TEXT(AG29,"0.0%")&amp;" — verify sharp-book + team news + stake comfort before Placed=Y","Value found: EV "&amp;TEXT(AF29,"0.0%")&amp;", edge "&amp;TEXT(AG29,"0.0%"))),IF(OR(AF29&gt;Method!$B$87,IFERROR(INDEX(BC29:BE29,1,AB29)/INDEX(S29:U29,1,AB29),0)&gt;Method!$B$88),"🛑 Tail trap — auto-PASS · EV "&amp;TEXT(AF29,"0.0%")&amp;" (cap "&amp;TEXT(Method!$B$87,"0%")&amp;") · model/market "&amp;TEXT(IFERROR(INDEX(BC29:BE29,1,AB29)/INDEX(S29:U29,1,AB29),0),"0.0")&amp;"× (cap "&amp;TEXT(Method!$B$88,"0.0")&amp;"×)",IF(AF29&lt;Method!$B$7,"Price too short — EV "&amp;TEXT(AF29,"0.0%")&amp;" (need "&amp;TEXT(Method!$B$7,"0.0%")&amp;"+)","Model ≈ market — edge "&amp;TEXT(AG29,"0.0%")&amp;" (need "&amp;TEXT(Method!$B$8,"0.0%")&amp;"+)")))))</f>
        <v/>
      </c>
      <c r="AU29" s="31">
        <f>IF(AN29&lt;&gt;"Y","",IF(AH29="· enter odds","⚠ type the 3 odds (1/X/2) to grade this bet",IF(OR(AV29="",AO29="",AP29=""),"⚠ log backed pick, odds &amp; stake",IF(AZ29&lt;&gt;"BET","⚠ FUN BET — engine said pass · staked £"&amp;AP29&amp;" vs engine £"&amp;BA29,IF(AV29&lt;&gt;IF(AY29="",AC29,AY29),"⚠ backed "&amp;AV29&amp;" but engine pick was "&amp;IF(AY29="",AC29,AY29),IF(AP29&gt;BA29,"⚠ stake over engine £"&amp;BA29,IF(ABS(AO29-IFERROR(INDEX(L29:N29,1,MATCH(AV29,{"H","D","A"},0)),AE29))&gt;0.02,"⚠ odds moved — re-check value","✓ engine bet")))))))</f>
        <v/>
      </c>
      <c r="AV29" s="59">
        <f>IF(Matchday!O31="","",Matchday!O31)</f>
        <v/>
      </c>
      <c r="AW29" s="79" t="n"/>
      <c r="AX29" s="79" t="n"/>
      <c r="AY29" s="79" t="n"/>
      <c r="AZ29" s="79">
        <f>IF(AW29="",AH29,AW29)</f>
        <v/>
      </c>
      <c r="BA29" s="75">
        <f>IF(AX29&lt;&gt;"",AX29,IF(AH29&lt;&gt;"BET",0,IF(AI29*Method!$B$10/100&lt;Method!$B$9,0,ROUND(AI29*Method!$B$10/100,0))))</f>
        <v/>
      </c>
      <c r="BB29" s="77" t="n">
        <v>1.22</v>
      </c>
      <c r="BC29" s="77" t="n">
        <v>0.5869850616133847</v>
      </c>
      <c r="BD29" s="77" t="n">
        <v>0.2739832302471403</v>
      </c>
      <c r="BE29" s="77" t="n">
        <v>0.1390317081394751</v>
      </c>
      <c r="BF29" s="14" t="inlineStr">
        <is>
          <t>Mexico team-wide: +5 · Mexico suspension: -3 · South Korea team-wide: +1 · South Korea weather: -1</t>
        </is>
      </c>
      <c r="BG29" s="77" t="n">
        <v>1560</v>
      </c>
      <c r="BH29" s="77" t="inlineStr">
        <is>
          <t>warm_humid</t>
        </is>
      </c>
      <c r="BI29" s="77" t="n">
        <v>475.9</v>
      </c>
    </row>
    <row r="30" ht="15" customHeight="1" s="153">
      <c r="A30" s="59" t="n">
        <v>29</v>
      </c>
      <c r="B30" s="58" t="n">
        <v>46192</v>
      </c>
      <c r="C30" s="59" t="inlineStr">
        <is>
          <t>D</t>
        </is>
      </c>
      <c r="D30" s="66" t="inlineStr">
        <is>
          <t>United States</t>
        </is>
      </c>
      <c r="E30" s="66" t="inlineStr">
        <is>
          <t>Australia</t>
        </is>
      </c>
      <c r="F30" s="66" t="inlineStr">
        <is>
          <t>Seattle</t>
        </is>
      </c>
      <c r="G30" s="61" t="n">
        <v>0.625</v>
      </c>
      <c r="H30" s="61" t="n">
        <v>0.9583333333333334</v>
      </c>
      <c r="I30" s="64" t="n">
        <v>0.4948300308645437</v>
      </c>
      <c r="J30" s="64" t="n">
        <v>0.279823341770376</v>
      </c>
      <c r="K30" s="64" t="n">
        <v>0.2253466273650801</v>
      </c>
      <c r="L30" s="63">
        <f>IF(Matchday!E32="","",Matchday!E32)</f>
        <v/>
      </c>
      <c r="M30" s="63">
        <f>IF(Matchday!F32="","",Matchday!F32)</f>
        <v/>
      </c>
      <c r="N30" s="63">
        <f>IF(Matchday!G32="","",Matchday!G32)</f>
        <v/>
      </c>
      <c r="O30" s="64">
        <f>IF(L30="","",1/L30)</f>
        <v/>
      </c>
      <c r="P30" s="64">
        <f>IF(M30="","",1/M30)</f>
        <v/>
      </c>
      <c r="Q30" s="64">
        <f>IF(N30="","",1/N30)</f>
        <v/>
      </c>
      <c r="R30" s="64">
        <f>IF(COUNT(L30:N30)&lt;3,"",O30+P30+Q30)</f>
        <v/>
      </c>
      <c r="S30" s="64">
        <f t="array" ref="S30">IF($R30="","",IF(Method!$B$56="proportional",O30/$R30,IF(Method!$B$56="power",IFERROR(INDEX(power_devig($L30,$M30,$N30),1,1),O30/$R30),IFERROR(INDEX(shin($L30,$M30,$N30),1,1),O30/$R30))))</f>
        <v/>
      </c>
      <c r="T30" s="64">
        <f t="array" ref="T30">IF($R30="","",IF(Method!$B$56="proportional",P30/$R30,IF(Method!$B$56="power",IFERROR(INDEX(power_devig($L30,$M30,$N30),2,1),P30/$R30),IFERROR(INDEX(shin($L30,$M30,$N30),2,1),P30/$R30))))</f>
        <v/>
      </c>
      <c r="U30" s="64">
        <f t="array" ref="U30">IF($R30="","",IF(Method!$B$56="proportional",Q30/$R30,IF(Method!$B$56="power",IFERROR(INDEX(power_devig($L30,$M30,$N30),3,1),Q30/$R30),IFERROR(INDEX(shin($L30,$M30,$N30),3,1),Q30/$R30))))</f>
        <v/>
      </c>
      <c r="V30" s="64">
        <f>IF(S30="","",Method!$B$4*IF(BC30="",I30,BC30)+(1-Method!$B$4)*S30/($S30+$T30+$U30))</f>
        <v/>
      </c>
      <c r="W30" s="64">
        <f>IF(T30="","",Method!$B$4*IF(BD30="",J30,BD30)+(1-Method!$B$4)*T30/($S30+$T30+$U30))</f>
        <v/>
      </c>
      <c r="X30" s="64">
        <f>IF(U30="","",Method!$B$4*IF(BE30="",K30,BE30)+(1-Method!$B$4)*U30/($S30+$T30+$U30))</f>
        <v/>
      </c>
      <c r="Y30" s="65">
        <f>IF(V30="","",V30*L30-1)</f>
        <v/>
      </c>
      <c r="Z30" s="65">
        <f>IF(W30="","",W30*M30-1)</f>
        <v/>
      </c>
      <c r="AA30" s="65">
        <f>IF(X30="","",X30*N30-1)</f>
        <v/>
      </c>
      <c r="AB30" s="66">
        <f>IF(Y30="","",MATCH(MAX(Y30:AA30),Y30:AA30,0))</f>
        <v/>
      </c>
      <c r="AC30" s="66">
        <f>IF(AB30="","",CHOOSE(AB30,"H","D","A"))</f>
        <v/>
      </c>
      <c r="AD30" s="67">
        <f>IF(AB30="","",CHOOSE(AB30,"1  "&amp;D30,"X  Draw","2  "&amp;E30))</f>
        <v/>
      </c>
      <c r="AE30" s="33">
        <f>IF(AB30="","",INDEX(L30:N30,1,AB30))</f>
        <v/>
      </c>
      <c r="AF30" s="65">
        <f>IF(AB30="","",INDEX(Y30:AA30,1,AB30))</f>
        <v/>
      </c>
      <c r="AG30" s="65">
        <f>IF(AB30="","",INDEX(V30:X30,1,AB30)-INDEX(S30:U30,1,AB30))</f>
        <v/>
      </c>
      <c r="AH30" s="68">
        <f>IF(AB30="","· enter odds",IF(OR(AF30&gt;Method!$B$87,IFERROR(INDEX(BC30:BE30,1,AB30)/INDEX(S30:U30,1,AB30),0)&gt;Method!$B$88),"PASS",IF(AND(AF30&gt;=Method!$B$7,AG30&gt;=Method!$B$8),"BET","PASS")))</f>
        <v/>
      </c>
      <c r="AI30" s="69">
        <f>IF(AH30&lt;&gt;"BET",0,ROUND(MIN(Method!$B$6,Method!$B$5*AL30)*100,1))</f>
        <v/>
      </c>
      <c r="AJ30" s="70">
        <f>IF(OR(AH30&lt;&gt;"BET",Method!$B$55=TRUE()),0,IF(AI30*Method!$B$10/100&lt;Method!$B$9,0,ROUND(AI30*Method!$B$10/100,0)))</f>
        <v/>
      </c>
      <c r="AK30" s="64">
        <f>IF(AB30="","",INDEX(V30:X30,1,AB30))</f>
        <v/>
      </c>
      <c r="AL30" s="64">
        <f>IF(AH30&lt;&gt;"BET","",MAX(0,(AK30*AE30-1)/(AE30-1)))</f>
        <v/>
      </c>
      <c r="AM30" s="65">
        <f>IF(AH30="BET",AF30+A30/1000000,"")</f>
        <v/>
      </c>
      <c r="AN30" s="71">
        <f>IF(Matchday!N32="","",Matchday!N32)</f>
        <v/>
      </c>
      <c r="AO30" s="63">
        <f>IF(Matchday!P32="","",Matchday!P32)</f>
        <v/>
      </c>
      <c r="AP30" s="72">
        <f>IF(Matchday!Q32="","",Matchday!Q32)</f>
        <v/>
      </c>
      <c r="AQ30" s="71">
        <f>IF(Matchday!R32="","",Matchday!R32)</f>
        <v/>
      </c>
      <c r="AR30" s="73">
        <f>IF(OR(AN30&lt;&gt;"Y",AQ30="",AV30=""),"",IF(AQ30="Void",0,IF(AQ30=AV30,ROUND(AP30*(AO30-1),2),-AP30)))</f>
        <v/>
      </c>
      <c r="AS30" s="73">
        <f>IF(AR30="","",SUM($AR$2:AR30))</f>
        <v/>
      </c>
      <c r="AT30" s="31">
        <f>IF(AB30="","Type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pauses.")),IF(AH30="BET",IF(AJ30=0,"Edge found but stake rounds under £"&amp;Method!$B$9&amp;" — skip",IF(AND(AE30&gt;=6,AG30&gt;=0.15),"🟡 WAIT — long-shot review: odds "&amp;TEXT(AE30,"0.00")&amp;" + edge "&amp;TEXT(AG30,"0.0%")&amp;" — verify sharp-book + team news + stake comfort before Placed=Y","Value found: EV "&amp;TEXT(AF30,"0.0%")&amp;", edge "&amp;TEXT(AG30,"0.0%"))),IF(OR(AF30&gt;Method!$B$87,IFERROR(INDEX(BC30:BE30,1,AB30)/INDEX(S30:U30,1,AB30),0)&gt;Method!$B$88),"🛑 Tail trap — auto-PASS · EV "&amp;TEXT(AF30,"0.0%")&amp;" (cap "&amp;TEXT(Method!$B$87,"0%")&amp;") · model/market "&amp;TEXT(IFERROR(INDEX(BC30:BE30,1,AB30)/INDEX(S30:U30,1,AB30),0),"0.0")&amp;"× (cap "&amp;TEXT(Method!$B$88,"0.0")&amp;"×)",IF(AF30&lt;Method!$B$7,"Price too short — EV "&amp;TEXT(AF30,"0.0%")&amp;" (need "&amp;TEXT(Method!$B$7,"0.0%")&amp;"+)","Model ≈ market — edge "&amp;TEXT(AG30,"0.0%")&amp;" (need "&amp;TEXT(Method!$B$8,"0.0%")&amp;"+)")))))</f>
        <v/>
      </c>
      <c r="AU30" s="31">
        <f>IF(AN30&lt;&gt;"Y","",IF(AH30="· enter odds","⚠ type the 3 odds (1/X/2) to grade this bet",IF(OR(AV30="",AO30="",AP30=""),"⚠ log backed pick, odds &amp; stake",IF(AZ30&lt;&gt;"BET","⚠ FUN BET — engine said pass · staked £"&amp;AP30&amp;" vs engine £"&amp;BA30,IF(AV30&lt;&gt;IF(AY30="",AC30,AY30),"⚠ backed "&amp;AV30&amp;" but engine pick was "&amp;IF(AY30="",AC30,AY30),IF(AP30&gt;BA30,"⚠ stake over engine £"&amp;BA30,IF(ABS(AO30-IFERROR(INDEX(L30:N30,1,MATCH(AV30,{"H","D","A"},0)),AE30))&gt;0.02,"⚠ odds moved — re-check value","✓ engine bet")))))))</f>
        <v/>
      </c>
      <c r="AV30" s="59">
        <f>IF(Matchday!O32="","",Matchday!O32)</f>
        <v/>
      </c>
      <c r="AW30" s="79" t="n"/>
      <c r="AX30" s="79" t="n"/>
      <c r="AY30" s="79" t="n"/>
      <c r="AZ30" s="79">
        <f>IF(AW30="",AH30,AW30)</f>
        <v/>
      </c>
      <c r="BA30" s="75">
        <f>IF(AX30&lt;&gt;"",AX30,IF(AH30&lt;&gt;"BET",0,IF(AI30*Method!$B$10/100&lt;Method!$B$9,0,ROUND(AI30*Method!$B$10/100,0))))</f>
        <v/>
      </c>
      <c r="BB30" s="77" t="n">
        <v>-43.63</v>
      </c>
      <c r="BC30" s="77" t="n">
        <v>0.4921219908707399</v>
      </c>
      <c r="BD30" s="77" t="n">
        <v>0.2711424613444137</v>
      </c>
      <c r="BE30" s="77" t="n">
        <v>0.2367355477848464</v>
      </c>
      <c r="BF30" s="14" t="inlineStr">
        <is>
          <t>Australia team-wide: -26 · United States team-wide: -18</t>
        </is>
      </c>
      <c r="BG30" s="77" t="n">
        <v>5</v>
      </c>
      <c r="BH30" s="77" t="inlineStr">
        <is>
          <t>mild</t>
        </is>
      </c>
      <c r="BI30" s="77" t="n">
        <v>1553.1</v>
      </c>
    </row>
    <row r="31" ht="15" customHeight="1" s="153">
      <c r="A31" s="59" t="n">
        <v>30</v>
      </c>
      <c r="B31" s="58" t="n">
        <v>46192</v>
      </c>
      <c r="C31" s="59" t="inlineStr">
        <is>
          <t>C</t>
        </is>
      </c>
      <c r="D31" s="66" t="inlineStr">
        <is>
          <t>Scotland</t>
        </is>
      </c>
      <c r="E31" s="66" t="inlineStr">
        <is>
          <t>Morocco</t>
        </is>
      </c>
      <c r="F31" s="66" t="inlineStr">
        <is>
          <t>Foxborough</t>
        </is>
      </c>
      <c r="G31" s="61" t="n">
        <v>0.75</v>
      </c>
      <c r="H31" s="61" t="n">
        <v>0.9583333333333334</v>
      </c>
      <c r="I31" s="64" t="n">
        <v>0.1933546582274037</v>
      </c>
      <c r="J31" s="64" t="n">
        <v>0.2808656893157253</v>
      </c>
      <c r="K31" s="64" t="n">
        <v>0.525779652456871</v>
      </c>
      <c r="L31" s="63">
        <f>IF(Matchday!E33="","",Matchday!E33)</f>
        <v/>
      </c>
      <c r="M31" s="63">
        <f>IF(Matchday!F33="","",Matchday!F33)</f>
        <v/>
      </c>
      <c r="N31" s="63">
        <f>IF(Matchday!G33="","",Matchday!G33)</f>
        <v/>
      </c>
      <c r="O31" s="64">
        <f>IF(L31="","",1/L31)</f>
        <v/>
      </c>
      <c r="P31" s="64">
        <f>IF(M31="","",1/M31)</f>
        <v/>
      </c>
      <c r="Q31" s="64">
        <f>IF(N31="","",1/N31)</f>
        <v/>
      </c>
      <c r="R31" s="64">
        <f>IF(COUNT(L31:N31)&lt;3,"",O31+P31+Q31)</f>
        <v/>
      </c>
      <c r="S31" s="64">
        <f t="array" ref="S31">IF($R31="","",IF(Method!$B$56="proportional",O31/$R31,IF(Method!$B$56="power",IFERROR(INDEX(power_devig($L31,$M31,$N31),1,1),O31/$R31),IFERROR(INDEX(shin($L31,$M31,$N31),1,1),O31/$R31))))</f>
        <v/>
      </c>
      <c r="T31" s="64">
        <f t="array" ref="T31">IF($R31="","",IF(Method!$B$56="proportional",P31/$R31,IF(Method!$B$56="power",IFERROR(INDEX(power_devig($L31,$M31,$N31),2,1),P31/$R31),IFERROR(INDEX(shin($L31,$M31,$N31),2,1),P31/$R31))))</f>
        <v/>
      </c>
      <c r="U31" s="64">
        <f t="array" ref="U31">IF($R31="","",IF(Method!$B$56="proportional",Q31/$R31,IF(Method!$B$56="power",IFERROR(INDEX(power_devig($L31,$M31,$N31),3,1),Q31/$R31),IFERROR(INDEX(shin($L31,$M31,$N31),3,1),Q31/$R31))))</f>
        <v/>
      </c>
      <c r="V31" s="64">
        <f>IF(S31="","",Method!$B$4*IF(BC31="",I31,BC31)+(1-Method!$B$4)*S31/($S31+$T31+$U31))</f>
        <v/>
      </c>
      <c r="W31" s="64">
        <f>IF(T31="","",Method!$B$4*IF(BD31="",J31,BD31)+(1-Method!$B$4)*T31/($S31+$T31+$U31))</f>
        <v/>
      </c>
      <c r="X31" s="64">
        <f>IF(U31="","",Method!$B$4*IF(BE31="",K31,BE31)+(1-Method!$B$4)*U31/($S31+$T31+$U31))</f>
        <v/>
      </c>
      <c r="Y31" s="65">
        <f>IF(V31="","",V31*L31-1)</f>
        <v/>
      </c>
      <c r="Z31" s="65">
        <f>IF(W31="","",W31*M31-1)</f>
        <v/>
      </c>
      <c r="AA31" s="65">
        <f>IF(X31="","",X31*N31-1)</f>
        <v/>
      </c>
      <c r="AB31" s="66">
        <f>IF(Y31="","",MATCH(MAX(Y31:AA31),Y31:AA31,0))</f>
        <v/>
      </c>
      <c r="AC31" s="66">
        <f>IF(AB31="","",CHOOSE(AB31,"H","D","A"))</f>
        <v/>
      </c>
      <c r="AD31" s="67">
        <f>IF(AB31="","",CHOOSE(AB31,"1  "&amp;D31,"X  Draw","2  "&amp;E31))</f>
        <v/>
      </c>
      <c r="AE31" s="33">
        <f>IF(AB31="","",INDEX(L31:N31,1,AB31))</f>
        <v/>
      </c>
      <c r="AF31" s="65">
        <f>IF(AB31="","",INDEX(Y31:AA31,1,AB31))</f>
        <v/>
      </c>
      <c r="AG31" s="65">
        <f>IF(AB31="","",INDEX(V31:X31,1,AB31)-INDEX(S31:U31,1,AB31))</f>
        <v/>
      </c>
      <c r="AH31" s="68">
        <f>IF(AB31="","· enter odds",IF(OR(AF31&gt;Method!$B$87,IFERROR(INDEX(BC31:BE31,1,AB31)/INDEX(S31:U31,1,AB31),0)&gt;Method!$B$88),"PASS",IF(AND(AF31&gt;=Method!$B$7,AG31&gt;=Method!$B$8),"BET","PASS")))</f>
        <v/>
      </c>
      <c r="AI31" s="69">
        <f>IF(AH31&lt;&gt;"BET",0,ROUND(MIN(Method!$B$6,Method!$B$5*AL31)*100,1))</f>
        <v/>
      </c>
      <c r="AJ31" s="70">
        <f>IF(OR(AH31&lt;&gt;"BET",Method!$B$55=TRUE()),0,IF(AI31*Method!$B$10/100&lt;Method!$B$9,0,ROUND(AI31*Method!$B$10/100,0)))</f>
        <v/>
      </c>
      <c r="AK31" s="64">
        <f>IF(AB31="","",INDEX(V31:X31,1,AB31))</f>
        <v/>
      </c>
      <c r="AL31" s="64">
        <f>IF(AH31&lt;&gt;"BET","",MAX(0,(AK31*AE31-1)/(AE31-1)))</f>
        <v/>
      </c>
      <c r="AM31" s="66">
        <f>IF(AH31="BET",AF31+A31/1000000,"")</f>
        <v/>
      </c>
      <c r="AN31" s="71">
        <f>IF(Matchday!N33="","",Matchday!N33)</f>
        <v/>
      </c>
      <c r="AO31" s="63">
        <f>IF(Matchday!P33="","",Matchday!P33)</f>
        <v/>
      </c>
      <c r="AP31" s="72">
        <f>IF(Matchday!Q33="","",Matchday!Q33)</f>
        <v/>
      </c>
      <c r="AQ31" s="71">
        <f>IF(Matchday!R33="","",Matchday!R33)</f>
        <v/>
      </c>
      <c r="AR31" s="73">
        <f>IF(OR(AN31&lt;&gt;"Y",AQ31="",AV31=""),"",IF(AQ31="Void",0,IF(AQ31=AV31,ROUND(AP31*(AO31-1),2),-AP31)))</f>
        <v/>
      </c>
      <c r="AS31" s="73">
        <f>IF(AR31="","",SUM($AR$2:AR31))</f>
        <v/>
      </c>
      <c r="AT31" s="31">
        <f>IF(AB31="","Type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pauses.")),IF(AH31="BET",IF(AJ31=0,"Edge found but stake rounds under £"&amp;Method!$B$9&amp;" — skip",IF(AND(AE31&gt;=6,AG31&gt;=0.15),"🟡 WAIT — long-shot review: odds "&amp;TEXT(AE31,"0.00")&amp;" + edge "&amp;TEXT(AG31,"0.0%")&amp;" — verify sharp-book + team news + stake comfort before Placed=Y","Value found: EV "&amp;TEXT(AF31,"0.0%")&amp;", edge "&amp;TEXT(AG31,"0.0%"))),IF(OR(AF31&gt;Method!$B$87,IFERROR(INDEX(BC31:BE31,1,AB31)/INDEX(S31:U31,1,AB31),0)&gt;Method!$B$88),"🛑 Tail trap — auto-PASS · EV "&amp;TEXT(AF31,"0.0%")&amp;" (cap "&amp;TEXT(Method!$B$87,"0%")&amp;") · model/market "&amp;TEXT(IFERROR(INDEX(BC31:BE31,1,AB31)/INDEX(S31:U31,1,AB31),0),"0.0")&amp;"× (cap "&amp;TEXT(Method!$B$88,"0.0")&amp;"×)",IF(AF31&lt;Method!$B$7,"Price too short — EV "&amp;TEXT(AF31,"0.0%")&amp;" (need "&amp;TEXT(Method!$B$7,"0.0%")&amp;"+)","Model ≈ market — edge "&amp;TEXT(AG31,"0.0%")&amp;" (need "&amp;TEXT(Method!$B$8,"0.0%")&amp;"+)")))))</f>
        <v/>
      </c>
      <c r="AU31" s="31">
        <f>IF(AN31&lt;&gt;"Y","",IF(AH31="· enter odds","⚠ type the 3 odds (1/X/2) to grade this bet",IF(OR(AV31="",AO31="",AP31=""),"⚠ log backed pick, odds &amp; stake",IF(AZ31&lt;&gt;"BET","⚠ FUN BET — engine said pass · staked £"&amp;AP31&amp;" vs engine £"&amp;BA31,IF(AV31&lt;&gt;IF(AY31="",AC31,AY31),"⚠ backed "&amp;AV31&amp;" but engine pick was "&amp;IF(AY31="",AC31,AY31),IF(AP31&gt;BA31,"⚠ stake over engine £"&amp;BA31,IF(ABS(AO31-IFERROR(INDEX(L31:N31,1,MATCH(AV31,{"H","D","A"},0)),AE31))&gt;0.02,"⚠ odds moved — re-check value","✓ engine bet")))))))</f>
        <v/>
      </c>
      <c r="AV31" s="59">
        <f>IF(Matchday!O33="","",Matchday!O33)</f>
        <v/>
      </c>
      <c r="AW31" s="79" t="n"/>
      <c r="AX31" s="79" t="n"/>
      <c r="AY31" s="79" t="n"/>
      <c r="AZ31" s="79">
        <f>IF(AW31="",AH31,AW31)</f>
        <v/>
      </c>
      <c r="BA31" s="75">
        <f>IF(AX31&lt;&gt;"",AX31,IF(AH31&lt;&gt;"BET",0,IF(AI31*Method!$B$10/100&lt;Method!$B$9,0,ROUND(AI31*Method!$B$10/100,0))))</f>
        <v/>
      </c>
      <c r="BB31" s="77" t="n">
        <v>1.8</v>
      </c>
      <c r="BC31" s="77" t="n">
        <v>0.1798243329531699</v>
      </c>
      <c r="BD31" s="77" t="n">
        <v>0.2770475288623104</v>
      </c>
      <c r="BE31" s="77" t="n">
        <v>0.5431281381845197</v>
      </c>
      <c r="BF31" s="14" t="inlineStr">
        <is>
          <t>Morocco team-wide: +6 · Scotland team-wide: -4</t>
        </is>
      </c>
      <c r="BG31" s="77" t="n">
        <v>40</v>
      </c>
      <c r="BH31" s="77" t="inlineStr">
        <is>
          <t>warm</t>
        </is>
      </c>
      <c r="BI31" s="77" t="n">
        <v>0</v>
      </c>
    </row>
    <row r="32" ht="15" customHeight="1" s="153">
      <c r="A32" s="59" t="n">
        <v>31</v>
      </c>
      <c r="B32" s="58" t="n">
        <v>46192</v>
      </c>
      <c r="C32" s="59" t="inlineStr">
        <is>
          <t>C</t>
        </is>
      </c>
      <c r="D32" s="66" t="inlineStr">
        <is>
          <t>Brazil</t>
        </is>
      </c>
      <c r="E32" s="66" t="inlineStr">
        <is>
          <t>Haiti</t>
        </is>
      </c>
      <c r="F32" s="66" t="inlineStr">
        <is>
          <t>Philadelphia</t>
        </is>
      </c>
      <c r="G32" s="61" t="n">
        <v>0.875</v>
      </c>
      <c r="H32" s="59" t="inlineStr">
        <is>
          <t>02:00 +1d</t>
        </is>
      </c>
      <c r="I32" s="64" t="n">
        <v>0.7457917545779577</v>
      </c>
      <c r="J32" s="64" t="n">
        <v>0.1752793426168108</v>
      </c>
      <c r="K32" s="64" t="n">
        <v>0.07892890280523146</v>
      </c>
      <c r="L32" s="63">
        <f>IF(Matchday!E34="","",Matchday!E34)</f>
        <v/>
      </c>
      <c r="M32" s="63">
        <f>IF(Matchday!F34="","",Matchday!F34)</f>
        <v/>
      </c>
      <c r="N32" s="63">
        <f>IF(Matchday!G34="","",Matchday!G34)</f>
        <v/>
      </c>
      <c r="O32" s="64">
        <f>IF(L32="","",1/L32)</f>
        <v/>
      </c>
      <c r="P32" s="64">
        <f>IF(M32="","",1/M32)</f>
        <v/>
      </c>
      <c r="Q32" s="64">
        <f>IF(N32="","",1/N32)</f>
        <v/>
      </c>
      <c r="R32" s="64">
        <f>IF(COUNT(L32:N32)&lt;3,"",O32+P32+Q32)</f>
        <v/>
      </c>
      <c r="S32" s="64">
        <f t="array" ref="S32">IF($R32="","",IF(Method!$B$56="proportional",O32/$R32,IF(Method!$B$56="power",IFERROR(INDEX(power_devig($L32,$M32,$N32),1,1),O32/$R32),IFERROR(INDEX(shin($L32,$M32,$N32),1,1),O32/$R32))))</f>
        <v/>
      </c>
      <c r="T32" s="64">
        <f t="array" ref="T32">IF($R32="","",IF(Method!$B$56="proportional",P32/$R32,IF(Method!$B$56="power",IFERROR(INDEX(power_devig($L32,$M32,$N32),2,1),P32/$R32),IFERROR(INDEX(shin($L32,$M32,$N32),2,1),P32/$R32))))</f>
        <v/>
      </c>
      <c r="U32" s="64">
        <f t="array" ref="U32">IF($R32="","",IF(Method!$B$56="proportional",Q32/$R32,IF(Method!$B$56="power",IFERROR(INDEX(power_devig($L32,$M32,$N32),3,1),Q32/$R32),IFERROR(INDEX(shin($L32,$M32,$N32),3,1),Q32/$R32))))</f>
        <v/>
      </c>
      <c r="V32" s="64">
        <f>IF(S32="","",Method!$B$4*IF(BC32="",I32,BC32)+(1-Method!$B$4)*S32/($S32+$T32+$U32))</f>
        <v/>
      </c>
      <c r="W32" s="64">
        <f>IF(T32="","",Method!$B$4*IF(BD32="",J32,BD32)+(1-Method!$B$4)*T32/($S32+$T32+$U32))</f>
        <v/>
      </c>
      <c r="X32" s="64">
        <f>IF(U32="","",Method!$B$4*IF(BE32="",K32,BE32)+(1-Method!$B$4)*U32/($S32+$T32+$U32))</f>
        <v/>
      </c>
      <c r="Y32" s="65">
        <f>IF(V32="","",V32*L32-1)</f>
        <v/>
      </c>
      <c r="Z32" s="65">
        <f>IF(W32="","",W32*M32-1)</f>
        <v/>
      </c>
      <c r="AA32" s="65">
        <f>IF(X32="","",X32*N32-1)</f>
        <v/>
      </c>
      <c r="AB32" s="66">
        <f>IF(Y32="","",MATCH(MAX(Y32:AA32),Y32:AA32,0))</f>
        <v/>
      </c>
      <c r="AC32" s="66">
        <f>IF(AB32="","",CHOOSE(AB32,"H","D","A"))</f>
        <v/>
      </c>
      <c r="AD32" s="67">
        <f>IF(AB32="","",CHOOSE(AB32,"1  "&amp;D32,"X  Draw","2  "&amp;E32))</f>
        <v/>
      </c>
      <c r="AE32" s="33">
        <f>IF(AB32="","",INDEX(L32:N32,1,AB32))</f>
        <v/>
      </c>
      <c r="AF32" s="65">
        <f>IF(AB32="","",INDEX(Y32:AA32,1,AB32))</f>
        <v/>
      </c>
      <c r="AG32" s="65">
        <f>IF(AB32="","",INDEX(V32:X32,1,AB32)-INDEX(S32:U32,1,AB32))</f>
        <v/>
      </c>
      <c r="AH32" s="68">
        <f>IF(AB32="","· enter odds",IF(OR(AF32&gt;Method!$B$87,IFERROR(INDEX(BC32:BE32,1,AB32)/INDEX(S32:U32,1,AB32),0)&gt;Method!$B$88),"PASS",IF(AND(AF32&gt;=Method!$B$7,AG32&gt;=Method!$B$8),"BET","PASS")))</f>
        <v/>
      </c>
      <c r="AI32" s="69">
        <f>IF(AH32&lt;&gt;"BET",0,ROUND(MIN(Method!$B$6,Method!$B$5*AL32)*100,1))</f>
        <v/>
      </c>
      <c r="AJ32" s="70">
        <f>IF(OR(AH32&lt;&gt;"BET",Method!$B$55=TRUE()),0,IF(AI32*Method!$B$10/100&lt;Method!$B$9,0,ROUND(AI32*Method!$B$10/100,0)))</f>
        <v/>
      </c>
      <c r="AK32" s="64">
        <f>IF(AB32="","",INDEX(V32:X32,1,AB32))</f>
        <v/>
      </c>
      <c r="AL32" s="64">
        <f>IF(AH32&lt;&gt;"BET","",MAX(0,(AK32*AE32-1)/(AE32-1)))</f>
        <v/>
      </c>
      <c r="AM32" s="66">
        <f>IF(AH32="BET",AF32+A32/1000000,"")</f>
        <v/>
      </c>
      <c r="AN32" s="71">
        <f>IF(Matchday!N34="","",Matchday!N34)</f>
        <v/>
      </c>
      <c r="AO32" s="63">
        <f>IF(Matchday!P34="","",Matchday!P34)</f>
        <v/>
      </c>
      <c r="AP32" s="72">
        <f>IF(Matchday!Q34="","",Matchday!Q34)</f>
        <v/>
      </c>
      <c r="AQ32" s="71">
        <f>IF(Matchday!R34="","",Matchday!R34)</f>
        <v/>
      </c>
      <c r="AR32" s="73">
        <f>IF(OR(AN32&lt;&gt;"Y",AQ32="",AV32=""),"",IF(AQ32="Void",0,IF(AQ32=AV32,ROUND(AP32*(AO32-1),2),-AP32)))</f>
        <v/>
      </c>
      <c r="AS32" s="73">
        <f>IF(AR32="","",SUM($AR$2:AR32))</f>
        <v/>
      </c>
      <c r="AT32" s="31">
        <f>IF(AB32="","Type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pauses.")),IF(AH32="BET",IF(AJ32=0,"Edge found but stake rounds under £"&amp;Method!$B$9&amp;" — skip",IF(AND(AE32&gt;=6,AG32&gt;=0.15),"🟡 WAIT — long-shot review: odds "&amp;TEXT(AE32,"0.00")&amp;" + edge "&amp;TEXT(AG32,"0.0%")&amp;" — verify sharp-book + team news + stake comfort before Placed=Y","Value found: EV "&amp;TEXT(AF32,"0.0%")&amp;", edge "&amp;TEXT(AG32,"0.0%"))),IF(OR(AF32&gt;Method!$B$87,IFERROR(INDEX(BC32:BE32,1,AB32)/INDEX(S32:U32,1,AB32),0)&gt;Method!$B$88),"🛑 Tail trap — auto-PASS · EV "&amp;TEXT(AF32,"0.0%")&amp;" (cap "&amp;TEXT(Method!$B$87,"0%")&amp;") · model/market "&amp;TEXT(IFERROR(INDEX(BC32:BE32,1,AB32)/INDEX(S32:U32,1,AB32),0),"0.0")&amp;"× (cap "&amp;TEXT(Method!$B$88,"0.0")&amp;"×)",IF(AF32&lt;Method!$B$7,"Price too short — EV "&amp;TEXT(AF32,"0.0%")&amp;" (need "&amp;TEXT(Method!$B$7,"0.0%")&amp;"+)","Model ≈ market — edge "&amp;TEXT(AG32,"0.0%")&amp;" (need "&amp;TEXT(Method!$B$8,"0.0%")&amp;"+)")))))</f>
        <v/>
      </c>
      <c r="AU32" s="31">
        <f>IF(AN32&lt;&gt;"Y","",IF(AH32="· enter odds","⚠ type the 3 odds (1/X/2) to grade this bet",IF(OR(AV32="",AO32="",AP32=""),"⚠ log backed pick, odds &amp; stake",IF(AZ32&lt;&gt;"BET","⚠ FUN BET — engine said pass · staked £"&amp;AP32&amp;" vs engine £"&amp;BA32,IF(AV32&lt;&gt;IF(AY32="",AC32,AY32),"⚠ backed "&amp;AV32&amp;" but engine pick was "&amp;IF(AY32="",AC32,AY32),IF(AP32&gt;BA32,"⚠ stake over engine £"&amp;BA32,IF(ABS(AO32-IFERROR(INDEX(L32:N32,1,MATCH(AV32,{"H","D","A"},0)),AE32))&gt;0.02,"⚠ odds moved — re-check value","✓ engine bet")))))))</f>
        <v/>
      </c>
      <c r="AV32" s="59">
        <f>IF(Matchday!O34="","",Matchday!O34)</f>
        <v/>
      </c>
      <c r="AW32" s="79" t="n"/>
      <c r="AX32" s="79" t="n"/>
      <c r="AY32" s="79" t="n"/>
      <c r="AZ32" s="79">
        <f>IF(AW32="",AH32,AW32)</f>
        <v/>
      </c>
      <c r="BA32" s="75">
        <f>IF(AX32&lt;&gt;"",AX32,IF(AH32&lt;&gt;"BET",0,IF(AI32*Method!$B$10/100&lt;Method!$B$9,0,ROUND(AI32*Method!$B$10/100,0))))</f>
        <v/>
      </c>
      <c r="BB32" s="77" t="n">
        <v>-22.78</v>
      </c>
      <c r="BC32" s="77" t="n">
        <v>0.7191828283084329</v>
      </c>
      <c r="BD32" s="77" t="n">
        <v>0.1997281671957447</v>
      </c>
      <c r="BE32" s="77" t="n">
        <v>0.08108900449582236</v>
      </c>
      <c r="BF32" s="14" t="inlineStr">
        <is>
          <t>Brazil team-wide: -16 · Haiti team-wide: -7</t>
        </is>
      </c>
      <c r="BG32" s="77" t="n">
        <v>12</v>
      </c>
      <c r="BH32" s="77" t="inlineStr">
        <is>
          <t>warm_humid</t>
        </is>
      </c>
      <c r="BI32" s="77" t="n">
        <v>137.4</v>
      </c>
    </row>
    <row r="33" ht="15" customHeight="1" s="153">
      <c r="A33" s="59" t="n">
        <v>32</v>
      </c>
      <c r="B33" s="58" t="n">
        <v>46192</v>
      </c>
      <c r="C33" s="59" t="inlineStr">
        <is>
          <t>D</t>
        </is>
      </c>
      <c r="D33" s="66" t="inlineStr">
        <is>
          <t>Turkey</t>
        </is>
      </c>
      <c r="E33" s="66" t="inlineStr">
        <is>
          <t>Paraguay</t>
        </is>
      </c>
      <c r="F33" s="66" t="inlineStr">
        <is>
          <t>Santa Clara</t>
        </is>
      </c>
      <c r="G33" s="61" t="n">
        <v>0.875</v>
      </c>
      <c r="H33" s="59" t="inlineStr">
        <is>
          <t>05:00 +1d</t>
        </is>
      </c>
      <c r="I33" s="64" t="n">
        <v>0.4438547078823199</v>
      </c>
      <c r="J33" s="64" t="n">
        <v>0.2905357261657557</v>
      </c>
      <c r="K33" s="64" t="n">
        <v>0.2656095659519243</v>
      </c>
      <c r="L33" s="63">
        <f>IF(Matchday!E35="","",Matchday!E35)</f>
        <v/>
      </c>
      <c r="M33" s="63">
        <f>IF(Matchday!F35="","",Matchday!F35)</f>
        <v/>
      </c>
      <c r="N33" s="63">
        <f>IF(Matchday!G35="","",Matchday!G35)</f>
        <v/>
      </c>
      <c r="O33" s="64">
        <f>IF(L33="","",1/L33)</f>
        <v/>
      </c>
      <c r="P33" s="64">
        <f>IF(M33="","",1/M33)</f>
        <v/>
      </c>
      <c r="Q33" s="64">
        <f>IF(N33="","",1/N33)</f>
        <v/>
      </c>
      <c r="R33" s="64">
        <f>IF(COUNT(L33:N33)&lt;3,"",O33+P33+Q33)</f>
        <v/>
      </c>
      <c r="S33" s="64">
        <f t="array" ref="S33">IF($R33="","",IF(Method!$B$56="proportional",O33/$R33,IF(Method!$B$56="power",IFERROR(INDEX(power_devig($L33,$M33,$N33),1,1),O33/$R33),IFERROR(INDEX(shin($L33,$M33,$N33),1,1),O33/$R33))))</f>
        <v/>
      </c>
      <c r="T33" s="64">
        <f t="array" ref="T33">IF($R33="","",IF(Method!$B$56="proportional",P33/$R33,IF(Method!$B$56="power",IFERROR(INDEX(power_devig($L33,$M33,$N33),2,1),P33/$R33),IFERROR(INDEX(shin($L33,$M33,$N33),2,1),P33/$R33))))</f>
        <v/>
      </c>
      <c r="U33" s="64">
        <f t="array" ref="U33">IF($R33="","",IF(Method!$B$56="proportional",Q33/$R33,IF(Method!$B$56="power",IFERROR(INDEX(power_devig($L33,$M33,$N33),3,1),Q33/$R33),IFERROR(INDEX(shin($L33,$M33,$N33),3,1),Q33/$R33))))</f>
        <v/>
      </c>
      <c r="V33" s="64">
        <f>IF(S33="","",Method!$B$4*IF(BC33="",I33,BC33)+(1-Method!$B$4)*S33/($S33+$T33+$U33))</f>
        <v/>
      </c>
      <c r="W33" s="64">
        <f>IF(T33="","",Method!$B$4*IF(BD33="",J33,BD33)+(1-Method!$B$4)*T33/($S33+$T33+$U33))</f>
        <v/>
      </c>
      <c r="X33" s="64">
        <f>IF(U33="","",Method!$B$4*IF(BE33="",K33,BE33)+(1-Method!$B$4)*U33/($S33+$T33+$U33))</f>
        <v/>
      </c>
      <c r="Y33" s="65">
        <f>IF(V33="","",V33*L33-1)</f>
        <v/>
      </c>
      <c r="Z33" s="65">
        <f>IF(W33="","",W33*M33-1)</f>
        <v/>
      </c>
      <c r="AA33" s="65">
        <f>IF(X33="","",X33*N33-1)</f>
        <v/>
      </c>
      <c r="AB33" s="66">
        <f>IF(Y33="","",MATCH(MAX(Y33:AA33),Y33:AA33,0))</f>
        <v/>
      </c>
      <c r="AC33" s="66">
        <f>IF(AB33="","",CHOOSE(AB33,"H","D","A"))</f>
        <v/>
      </c>
      <c r="AD33" s="67">
        <f>IF(AB33="","",CHOOSE(AB33,"1  "&amp;D33,"X  Draw","2  "&amp;E33))</f>
        <v/>
      </c>
      <c r="AE33" s="33">
        <f>IF(AB33="","",INDEX(L33:N33,1,AB33))</f>
        <v/>
      </c>
      <c r="AF33" s="65">
        <f>IF(AB33="","",INDEX(Y33:AA33,1,AB33))</f>
        <v/>
      </c>
      <c r="AG33" s="65">
        <f>IF(AB33="","",INDEX(V33:X33,1,AB33)-INDEX(S33:U33,1,AB33))</f>
        <v/>
      </c>
      <c r="AH33" s="68">
        <f>IF(AB33="","· enter odds",IF(OR(AF33&gt;Method!$B$87,IFERROR(INDEX(BC33:BE33,1,AB33)/INDEX(S33:U33,1,AB33),0)&gt;Method!$B$88),"PASS",IF(AND(AF33&gt;=Method!$B$7,AG33&gt;=Method!$B$8),"BET","PASS")))</f>
        <v/>
      </c>
      <c r="AI33" s="69">
        <f>IF(AH33&lt;&gt;"BET",0,ROUND(MIN(Method!$B$6,Method!$B$5*AL33)*100,1))</f>
        <v/>
      </c>
      <c r="AJ33" s="70">
        <f>IF(OR(AH33&lt;&gt;"BET",Method!$B$55=TRUE()),0,IF(AI33*Method!$B$10/100&lt;Method!$B$9,0,ROUND(AI33*Method!$B$10/100,0)))</f>
        <v/>
      </c>
      <c r="AK33" s="64">
        <f>IF(AB33="","",INDEX(V33:X33,1,AB33))</f>
        <v/>
      </c>
      <c r="AL33" s="64">
        <f>IF(AH33&lt;&gt;"BET","",MAX(0,(AK33*AE33-1)/(AE33-1)))</f>
        <v/>
      </c>
      <c r="AM33" s="66">
        <f>IF(AH33="BET",AF33+A33/1000000,"")</f>
        <v/>
      </c>
      <c r="AN33" s="71">
        <f>IF(Matchday!N35="","",Matchday!N35)</f>
        <v/>
      </c>
      <c r="AO33" s="63">
        <f>IF(Matchday!P35="","",Matchday!P35)</f>
        <v/>
      </c>
      <c r="AP33" s="72">
        <f>IF(Matchday!Q35="","",Matchday!Q35)</f>
        <v/>
      </c>
      <c r="AQ33" s="71">
        <f>IF(Matchday!R35="","",Matchday!R35)</f>
        <v/>
      </c>
      <c r="AR33" s="73">
        <f>IF(OR(AN33&lt;&gt;"Y",AQ33="",AV33=""),"",IF(AQ33="Void",0,IF(AQ33=AV33,ROUND(AP33*(AO33-1),2),-AP33)))</f>
        <v/>
      </c>
      <c r="AS33" s="73">
        <f>IF(AR33="","",SUM($AR$2:AR33))</f>
        <v/>
      </c>
      <c r="AT33" s="31">
        <f>IF(AB33="","Type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pauses.")),IF(AH33="BET",IF(AJ33=0,"Edge found but stake rounds under £"&amp;Method!$B$9&amp;" — skip",IF(AND(AE33&gt;=6,AG33&gt;=0.15),"🟡 WAIT — long-shot review: odds "&amp;TEXT(AE33,"0.00")&amp;" + edge "&amp;TEXT(AG33,"0.0%")&amp;" — verify sharp-book + team news + stake comfort before Placed=Y","Value found: EV "&amp;TEXT(AF33,"0.0%")&amp;", edge "&amp;TEXT(AG33,"0.0%"))),IF(OR(AF33&gt;Method!$B$87,IFERROR(INDEX(BC33:BE33,1,AB33)/INDEX(S33:U33,1,AB33),0)&gt;Method!$B$88),"🛑 Tail trap — auto-PASS · EV "&amp;TEXT(AF33,"0.0%")&amp;" (cap "&amp;TEXT(Method!$B$87,"0%")&amp;") · model/market "&amp;TEXT(IFERROR(INDEX(BC33:BE33,1,AB33)/INDEX(S33:U33,1,AB33),0),"0.0")&amp;"× (cap "&amp;TEXT(Method!$B$88,"0.0")&amp;"×)",IF(AF33&lt;Method!$B$7,"Price too short — EV "&amp;TEXT(AF33,"0.0%")&amp;" (need "&amp;TEXT(Method!$B$7,"0.0%")&amp;"+)","Model ≈ market — edge "&amp;TEXT(AG33,"0.0%")&amp;" (need "&amp;TEXT(Method!$B$8,"0.0%")&amp;"+)")))))</f>
        <v/>
      </c>
      <c r="AU33" s="31">
        <f>IF(AN33&lt;&gt;"Y","",IF(AH33="· enter odds","⚠ type the 3 odds (1/X/2) to grade this bet",IF(OR(AV33="",AO33="",AP33=""),"⚠ log backed pick, odds &amp; stake",IF(AZ33&lt;&gt;"BET","⚠ FUN BET — engine said pass · staked £"&amp;AP33&amp;" vs engine £"&amp;BA33,IF(AV33&lt;&gt;IF(AY33="",AC33,AY33),"⚠ backed "&amp;AV33&amp;" but engine pick was "&amp;IF(AY33="",AC33,AY33),IF(AP33&gt;BA33,"⚠ stake over engine £"&amp;BA33,IF(ABS(AO33-IFERROR(INDEX(L33:N33,1,MATCH(AV33,{"H","D","A"},0)),AE33))&gt;0.02,"⚠ odds moved — re-check value","✓ engine bet")))))))</f>
        <v/>
      </c>
      <c r="AV33" s="59">
        <f>IF(Matchday!O35="","",Matchday!O35)</f>
        <v/>
      </c>
      <c r="AW33" s="79" t="n"/>
      <c r="AX33" s="79" t="n"/>
      <c r="AY33" s="79" t="n"/>
      <c r="AZ33" s="79">
        <f>IF(AW33="",AH33,AW33)</f>
        <v/>
      </c>
      <c r="BA33" s="75">
        <f>IF(AX33&lt;&gt;"",AX33,IF(AH33&lt;&gt;"BET",0,IF(AI33*Method!$B$10/100&lt;Method!$B$9,0,ROUND(AI33*Method!$B$10/100,0))))</f>
        <v/>
      </c>
      <c r="BB33" s="77" t="n">
        <v>-30.77</v>
      </c>
      <c r="BC33" s="77" t="n">
        <v>0.4479845949427576</v>
      </c>
      <c r="BD33" s="77" t="n">
        <v>0.2665933455803083</v>
      </c>
      <c r="BE33" s="77" t="n">
        <v>0.2854220594769341</v>
      </c>
      <c r="BF33" s="14" t="inlineStr">
        <is>
          <t>Paraguay team-wide: -35 · Turkey team-wide: +4</t>
        </is>
      </c>
      <c r="BG33" s="77" t="n">
        <v>8</v>
      </c>
      <c r="BH33" s="77" t="inlineStr">
        <is>
          <t>mild_dry</t>
        </is>
      </c>
      <c r="BI33" s="77" t="n">
        <v>1323.5</v>
      </c>
    </row>
    <row r="34" ht="15" customHeight="1" s="153">
      <c r="A34" s="59" t="n">
        <v>33</v>
      </c>
      <c r="B34" s="58" t="n">
        <v>46193</v>
      </c>
      <c r="C34" s="59" t="inlineStr">
        <is>
          <t>F</t>
        </is>
      </c>
      <c r="D34" s="66" t="inlineStr">
        <is>
          <t>Netherlands</t>
        </is>
      </c>
      <c r="E34" s="66" t="inlineStr">
        <is>
          <t>Sweden</t>
        </is>
      </c>
      <c r="F34" s="66" t="inlineStr">
        <is>
          <t>Houston</t>
        </is>
      </c>
      <c r="G34" s="61" t="n">
        <v>0.5416666666666666</v>
      </c>
      <c r="H34" s="61" t="n">
        <v>0.7916666666666666</v>
      </c>
      <c r="I34" s="64" t="n">
        <v>0.694829679372528</v>
      </c>
      <c r="J34" s="64" t="n">
        <v>0.1869552938682706</v>
      </c>
      <c r="K34" s="64" t="n">
        <v>0.1182150267592013</v>
      </c>
      <c r="L34" s="63">
        <f>IF(Matchday!E36="","",Matchday!E36)</f>
        <v/>
      </c>
      <c r="M34" s="63">
        <f>IF(Matchday!F36="","",Matchday!F36)</f>
        <v/>
      </c>
      <c r="N34" s="63">
        <f>IF(Matchday!G36="","",Matchday!G36)</f>
        <v/>
      </c>
      <c r="O34" s="64">
        <f>IF(L34="","",1/L34)</f>
        <v/>
      </c>
      <c r="P34" s="64">
        <f>IF(M34="","",1/M34)</f>
        <v/>
      </c>
      <c r="Q34" s="64">
        <f>IF(N34="","",1/N34)</f>
        <v/>
      </c>
      <c r="R34" s="64">
        <f>IF(COUNT(L34:N34)&lt;3,"",O34+P34+Q34)</f>
        <v/>
      </c>
      <c r="S34" s="64">
        <f t="array" ref="S34">IF($R34="","",IF(Method!$B$56="proportional",O34/$R34,IF(Method!$B$56="power",IFERROR(INDEX(power_devig($L34,$M34,$N34),1,1),O34/$R34),IFERROR(INDEX(shin($L34,$M34,$N34),1,1),O34/$R34))))</f>
        <v/>
      </c>
      <c r="T34" s="64">
        <f t="array" ref="T34">IF($R34="","",IF(Method!$B$56="proportional",P34/$R34,IF(Method!$B$56="power",IFERROR(INDEX(power_devig($L34,$M34,$N34),2,1),P34/$R34),IFERROR(INDEX(shin($L34,$M34,$N34),2,1),P34/$R34))))</f>
        <v/>
      </c>
      <c r="U34" s="64">
        <f t="array" ref="U34">IF($R34="","",IF(Method!$B$56="proportional",Q34/$R34,IF(Method!$B$56="power",IFERROR(INDEX(power_devig($L34,$M34,$N34),3,1),Q34/$R34),IFERROR(INDEX(shin($L34,$M34,$N34),3,1),Q34/$R34))))</f>
        <v/>
      </c>
      <c r="V34" s="64">
        <f>IF(S34="","",Method!$B$4*IF(BC34="",I34,BC34)+(1-Method!$B$4)*S34/($S34+$T34+$U34))</f>
        <v/>
      </c>
      <c r="W34" s="64">
        <f>IF(T34="","",Method!$B$4*IF(BD34="",J34,BD34)+(1-Method!$B$4)*T34/($S34+$T34+$U34))</f>
        <v/>
      </c>
      <c r="X34" s="64">
        <f>IF(U34="","",Method!$B$4*IF(BE34="",K34,BE34)+(1-Method!$B$4)*U34/($S34+$T34+$U34))</f>
        <v/>
      </c>
      <c r="Y34" s="65">
        <f>IF(V34="","",V34*L34-1)</f>
        <v/>
      </c>
      <c r="Z34" s="65">
        <f>IF(W34="","",W34*M34-1)</f>
        <v/>
      </c>
      <c r="AA34" s="65">
        <f>IF(X34="","",X34*N34-1)</f>
        <v/>
      </c>
      <c r="AB34" s="66">
        <f>IF(Y34="","",MATCH(MAX(Y34:AA34),Y34:AA34,0))</f>
        <v/>
      </c>
      <c r="AC34" s="66">
        <f>IF(AB34="","",CHOOSE(AB34,"H","D","A"))</f>
        <v/>
      </c>
      <c r="AD34" s="67">
        <f>IF(AB34="","",CHOOSE(AB34,"1  "&amp;D34,"X  Draw","2  "&amp;E34))</f>
        <v/>
      </c>
      <c r="AE34" s="33">
        <f>IF(AB34="","",INDEX(L34:N34,1,AB34))</f>
        <v/>
      </c>
      <c r="AF34" s="65">
        <f>IF(AB34="","",INDEX(Y34:AA34,1,AB34))</f>
        <v/>
      </c>
      <c r="AG34" s="65">
        <f>IF(AB34="","",INDEX(V34:X34,1,AB34)-INDEX(S34:U34,1,AB34))</f>
        <v/>
      </c>
      <c r="AH34" s="68">
        <f>IF(AB34="","· enter odds",IF(OR(AF34&gt;Method!$B$87,IFERROR(INDEX(BC34:BE34,1,AB34)/INDEX(S34:U34,1,AB34),0)&gt;Method!$B$88),"PASS",IF(AND(AF34&gt;=Method!$B$7,AG34&gt;=Method!$B$8),"BET","PASS")))</f>
        <v/>
      </c>
      <c r="AI34" s="69">
        <f>IF(AH34&lt;&gt;"BET",0,ROUND(MIN(Method!$B$6,Method!$B$5*AL34)*100,1))</f>
        <v/>
      </c>
      <c r="AJ34" s="70">
        <f>IF(OR(AH34&lt;&gt;"BET",Method!$B$55=TRUE()),0,IF(AI34*Method!$B$10/100&lt;Method!$B$9,0,ROUND(AI34*Method!$B$10/100,0)))</f>
        <v/>
      </c>
      <c r="AK34" s="64">
        <f>IF(AB34="","",INDEX(V34:X34,1,AB34))</f>
        <v/>
      </c>
      <c r="AL34" s="64">
        <f>IF(AH34&lt;&gt;"BET","",MAX(0,(AK34*AE34-1)/(AE34-1)))</f>
        <v/>
      </c>
      <c r="AM34" s="65">
        <f>IF(AH34="BET",AF34+A34/1000000,"")</f>
        <v/>
      </c>
      <c r="AN34" s="71">
        <f>IF(Matchday!N36="","",Matchday!N36)</f>
        <v/>
      </c>
      <c r="AO34" s="63">
        <f>IF(Matchday!P36="","",Matchday!P36)</f>
        <v/>
      </c>
      <c r="AP34" s="72">
        <f>IF(Matchday!Q36="","",Matchday!Q36)</f>
        <v/>
      </c>
      <c r="AQ34" s="71">
        <f>IF(Matchday!R36="","",Matchday!R36)</f>
        <v/>
      </c>
      <c r="AR34" s="73">
        <f>IF(OR(AN34&lt;&gt;"Y",AQ34="",AV34=""),"",IF(AQ34="Void",0,IF(AQ34=AV34,ROUND(AP34*(AO34-1),2),-AP34)))</f>
        <v/>
      </c>
      <c r="AS34" s="73">
        <f>IF(AR34="","",SUM($AR$2:AR34))</f>
        <v/>
      </c>
      <c r="AT34" s="31">
        <f>IF(AB34="","Type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pauses.")),IF(AH34="BET",IF(AJ34=0,"Edge found but stake rounds under £"&amp;Method!$B$9&amp;" — skip",IF(AND(AE34&gt;=6,AG34&gt;=0.15),"🟡 WAIT — long-shot review: odds "&amp;TEXT(AE34,"0.00")&amp;" + edge "&amp;TEXT(AG34,"0.0%")&amp;" — verify sharp-book + team news + stake comfort before Placed=Y","Value found: EV "&amp;TEXT(AF34,"0.0%")&amp;", edge "&amp;TEXT(AG34,"0.0%"))),IF(OR(AF34&gt;Method!$B$87,IFERROR(INDEX(BC34:BE34,1,AB34)/INDEX(S34:U34,1,AB34),0)&gt;Method!$B$88),"🛑 Tail trap — auto-PASS · EV "&amp;TEXT(AF34,"0.0%")&amp;" (cap "&amp;TEXT(Method!$B$87,"0%")&amp;") · model/market "&amp;TEXT(IFERROR(INDEX(BC34:BE34,1,AB34)/INDEX(S34:U34,1,AB34),0),"0.0")&amp;"× (cap "&amp;TEXT(Method!$B$88,"0.0")&amp;"×)",IF(AF34&lt;Method!$B$7,"Price too short — EV "&amp;TEXT(AF34,"0.0%")&amp;" (need "&amp;TEXT(Method!$B$7,"0.0%")&amp;"+)","Model ≈ market — edge "&amp;TEXT(AG34,"0.0%")&amp;" (need "&amp;TEXT(Method!$B$8,"0.0%")&amp;"+)")))))</f>
        <v/>
      </c>
      <c r="AU34" s="31">
        <f>IF(AN34&lt;&gt;"Y","",IF(AH34="· enter odds","⚠ type the 3 odds (1/X/2) to grade this bet",IF(OR(AV34="",AO34="",AP34=""),"⚠ log backed pick, odds &amp; stake",IF(AZ34&lt;&gt;"BET","⚠ FUN BET — engine said pass · staked £"&amp;AP34&amp;" vs engine £"&amp;BA34,IF(AV34&lt;&gt;IF(AY34="",AC34,AY34),"⚠ backed "&amp;AV34&amp;" but engine pick was "&amp;IF(AY34="",AC34,AY34),IF(AP34&gt;BA34,"⚠ stake over engine £"&amp;BA34,IF(ABS(AO34-IFERROR(INDEX(L34:N34,1,MATCH(AV34,{"H","D","A"},0)),AE34))&gt;0.02,"⚠ odds moved — re-check value","✓ engine bet")))))))</f>
        <v/>
      </c>
      <c r="AV34" s="59">
        <f>IF(Matchday!O36="","",Matchday!O36)</f>
        <v/>
      </c>
      <c r="AW34" s="79" t="n"/>
      <c r="AX34" s="79" t="n"/>
      <c r="AY34" s="79" t="n"/>
      <c r="AZ34" s="79">
        <f>IF(AW34="",AH34,AW34)</f>
        <v/>
      </c>
      <c r="BA34" s="75">
        <f>IF(AX34&lt;&gt;"",AX34,IF(AH34&lt;&gt;"BET",0,IF(AI34*Method!$B$10/100&lt;Method!$B$9,0,ROUND(AI34*Method!$B$10/100,0))))</f>
        <v/>
      </c>
      <c r="BB34" s="77" t="n">
        <v>-7.920000000000001</v>
      </c>
      <c r="BC34" s="77" t="n">
        <v>0.6659367634193913</v>
      </c>
      <c r="BD34" s="77" t="n">
        <v>0.2116223479442932</v>
      </c>
      <c r="BE34" s="77" t="n">
        <v>0.1224408886363155</v>
      </c>
      <c r="BF34" s="77" t="inlineStr">
        <is>
          <t>Netherlands team-wide: +4 · Sweden team-wide: -12</t>
        </is>
      </c>
      <c r="BG34" s="77" t="n">
        <v>15</v>
      </c>
      <c r="BH34" s="77" t="inlineStr">
        <is>
          <t>very_hot_humid_indoor</t>
        </is>
      </c>
      <c r="BI34" s="77" t="n">
        <v>376.3</v>
      </c>
    </row>
    <row r="35" ht="15" customHeight="1" s="153">
      <c r="A35" s="59" t="n">
        <v>34</v>
      </c>
      <c r="B35" s="58" t="n">
        <v>46193</v>
      </c>
      <c r="C35" s="59" t="inlineStr">
        <is>
          <t>E</t>
        </is>
      </c>
      <c r="D35" s="66" t="inlineStr">
        <is>
          <t>Germany</t>
        </is>
      </c>
      <c r="E35" s="66" t="inlineStr">
        <is>
          <t>Ivory Coast</t>
        </is>
      </c>
      <c r="F35" s="66" t="inlineStr">
        <is>
          <t>Toronto</t>
        </is>
      </c>
      <c r="G35" s="61" t="n">
        <v>0.6666666666666666</v>
      </c>
      <c r="H35" s="61" t="n">
        <v>0.875</v>
      </c>
      <c r="I35" s="64" t="n">
        <v>0.5643228782492324</v>
      </c>
      <c r="J35" s="64" t="n">
        <v>0.2683471519289594</v>
      </c>
      <c r="K35" s="64" t="n">
        <v>0.1673299698218081</v>
      </c>
      <c r="L35" s="63">
        <f>IF(Matchday!E37="","",Matchday!E37)</f>
        <v/>
      </c>
      <c r="M35" s="63">
        <f>IF(Matchday!F37="","",Matchday!F37)</f>
        <v/>
      </c>
      <c r="N35" s="63">
        <f>IF(Matchday!G37="","",Matchday!G37)</f>
        <v/>
      </c>
      <c r="O35" s="64">
        <f>IF(L35="","",1/L35)</f>
        <v/>
      </c>
      <c r="P35" s="64">
        <f>IF(M35="","",1/M35)</f>
        <v/>
      </c>
      <c r="Q35" s="64">
        <f>IF(N35="","",1/N35)</f>
        <v/>
      </c>
      <c r="R35" s="64">
        <f>IF(COUNT(L35:N35)&lt;3,"",O35+P35+Q35)</f>
        <v/>
      </c>
      <c r="S35" s="64">
        <f t="array" ref="S35">IF($R35="","",IF(Method!$B$56="proportional",O35/$R35,IF(Method!$B$56="power",IFERROR(INDEX(power_devig($L35,$M35,$N35),1,1),O35/$R35),IFERROR(INDEX(shin($L35,$M35,$N35),1,1),O35/$R35))))</f>
        <v/>
      </c>
      <c r="T35" s="64">
        <f t="array" ref="T35">IF($R35="","",IF(Method!$B$56="proportional",P35/$R35,IF(Method!$B$56="power",IFERROR(INDEX(power_devig($L35,$M35,$N35),2,1),P35/$R35),IFERROR(INDEX(shin($L35,$M35,$N35),2,1),P35/$R35))))</f>
        <v/>
      </c>
      <c r="U35" s="64">
        <f t="array" ref="U35">IF($R35="","",IF(Method!$B$56="proportional",Q35/$R35,IF(Method!$B$56="power",IFERROR(INDEX(power_devig($L35,$M35,$N35),3,1),Q35/$R35),IFERROR(INDEX(shin($L35,$M35,$N35),3,1),Q35/$R35))))</f>
        <v/>
      </c>
      <c r="V35" s="64">
        <f>IF(S35="","",Method!$B$4*IF(BC35="",I35,BC35)+(1-Method!$B$4)*S35/($S35+$T35+$U35))</f>
        <v/>
      </c>
      <c r="W35" s="64">
        <f>IF(T35="","",Method!$B$4*IF(BD35="",J35,BD35)+(1-Method!$B$4)*T35/($S35+$T35+$U35))</f>
        <v/>
      </c>
      <c r="X35" s="64">
        <f>IF(U35="","",Method!$B$4*IF(BE35="",K35,BE35)+(1-Method!$B$4)*U35/($S35+$T35+$U35))</f>
        <v/>
      </c>
      <c r="Y35" s="65">
        <f>IF(V35="","",V35*L35-1)</f>
        <v/>
      </c>
      <c r="Z35" s="65">
        <f>IF(W35="","",W35*M35-1)</f>
        <v/>
      </c>
      <c r="AA35" s="65">
        <f>IF(X35="","",X35*N35-1)</f>
        <v/>
      </c>
      <c r="AB35" s="66">
        <f>IF(Y35="","",MATCH(MAX(Y35:AA35),Y35:AA35,0))</f>
        <v/>
      </c>
      <c r="AC35" s="66">
        <f>IF(AB35="","",CHOOSE(AB35,"H","D","A"))</f>
        <v/>
      </c>
      <c r="AD35" s="67">
        <f>IF(AB35="","",CHOOSE(AB35,"1  "&amp;D35,"X  Draw","2  "&amp;E35))</f>
        <v/>
      </c>
      <c r="AE35" s="33">
        <f>IF(AB35="","",INDEX(L35:N35,1,AB35))</f>
        <v/>
      </c>
      <c r="AF35" s="65">
        <f>IF(AB35="","",INDEX(Y35:AA35,1,AB35))</f>
        <v/>
      </c>
      <c r="AG35" s="65">
        <f>IF(AB35="","",INDEX(V35:X35,1,AB35)-INDEX(S35:U35,1,AB35))</f>
        <v/>
      </c>
      <c r="AH35" s="68">
        <f>IF(AB35="","· enter odds",IF(OR(AF35&gt;Method!$B$87,IFERROR(INDEX(BC35:BE35,1,AB35)/INDEX(S35:U35,1,AB35),0)&gt;Method!$B$88),"PASS",IF(AND(AF35&gt;=Method!$B$7,AG35&gt;=Method!$B$8),"BET","PASS")))</f>
        <v/>
      </c>
      <c r="AI35" s="69">
        <f>IF(AH35&lt;&gt;"BET",0,ROUND(MIN(Method!$B$6,Method!$B$5*AL35)*100,1))</f>
        <v/>
      </c>
      <c r="AJ35" s="70">
        <f>IF(OR(AH35&lt;&gt;"BET",Method!$B$55=TRUE()),0,IF(AI35*Method!$B$10/100&lt;Method!$B$9,0,ROUND(AI35*Method!$B$10/100,0)))</f>
        <v/>
      </c>
      <c r="AK35" s="64">
        <f>IF(AB35="","",INDEX(V35:X35,1,AB35))</f>
        <v/>
      </c>
      <c r="AL35" s="64">
        <f>IF(AH35&lt;&gt;"BET","",MAX(0,(AK35*AE35-1)/(AE35-1)))</f>
        <v/>
      </c>
      <c r="AM35" s="66">
        <f>IF(AH35="BET",AF35+A35/1000000,"")</f>
        <v/>
      </c>
      <c r="AN35" s="71">
        <f>IF(Matchday!N37="","",Matchday!N37)</f>
        <v/>
      </c>
      <c r="AO35" s="63">
        <f>IF(Matchday!P37="","",Matchday!P37)</f>
        <v/>
      </c>
      <c r="AP35" s="72">
        <f>IF(Matchday!Q37="","",Matchday!Q37)</f>
        <v/>
      </c>
      <c r="AQ35" s="71">
        <f>IF(Matchday!R37="","",Matchday!R37)</f>
        <v/>
      </c>
      <c r="AR35" s="73">
        <f>IF(OR(AN35&lt;&gt;"Y",AQ35="",AV35=""),"",IF(AQ35="Void",0,IF(AQ35=AV35,ROUND(AP35*(AO35-1),2),-AP35)))</f>
        <v/>
      </c>
      <c r="AS35" s="73">
        <f>IF(AR35="","",SUM($AR$2:AR35))</f>
        <v/>
      </c>
      <c r="AT35" s="31">
        <f>IF(AB35="","Type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pauses.")),IF(AH35="BET",IF(AJ35=0,"Edge found but stake rounds under £"&amp;Method!$B$9&amp;" — skip",IF(AND(AE35&gt;=6,AG35&gt;=0.15),"🟡 WAIT — long-shot review: odds "&amp;TEXT(AE35,"0.00")&amp;" + edge "&amp;TEXT(AG35,"0.0%")&amp;" — verify sharp-book + team news + stake comfort before Placed=Y","Value found: EV "&amp;TEXT(AF35,"0.0%")&amp;", edge "&amp;TEXT(AG35,"0.0%"))),IF(OR(AF35&gt;Method!$B$87,IFERROR(INDEX(BC35:BE35,1,AB35)/INDEX(S35:U35,1,AB35),0)&gt;Method!$B$88),"🛑 Tail trap — auto-PASS · EV "&amp;TEXT(AF35,"0.0%")&amp;" (cap "&amp;TEXT(Method!$B$87,"0%")&amp;") · model/market "&amp;TEXT(IFERROR(INDEX(BC35:BE35,1,AB35)/INDEX(S35:U35,1,AB35),0),"0.0")&amp;"× (cap "&amp;TEXT(Method!$B$88,"0.0")&amp;"×)",IF(AF35&lt;Method!$B$7,"Price too short — EV "&amp;TEXT(AF35,"0.0%")&amp;" (need "&amp;TEXT(Method!$B$7,"0.0%")&amp;"+)","Model ≈ market — edge "&amp;TEXT(AG35,"0.0%")&amp;" (need "&amp;TEXT(Method!$B$8,"0.0%")&amp;"+)")))))</f>
        <v/>
      </c>
      <c r="AU35" s="31">
        <f>IF(AN35&lt;&gt;"Y","",IF(AH35="· enter odds","⚠ type the 3 odds (1/X/2) to grade this bet",IF(OR(AV35="",AO35="",AP35=""),"⚠ log backed pick, odds &amp; stake",IF(AZ35&lt;&gt;"BET","⚠ FUN BET — engine said pass · staked £"&amp;AP35&amp;" vs engine £"&amp;BA35,IF(AV35&lt;&gt;IF(AY35="",AC35,AY35),"⚠ backed "&amp;AV35&amp;" but engine pick was "&amp;IF(AY35="",AC35,AY35),IF(AP35&gt;BA35,"⚠ stake over engine £"&amp;BA35,IF(ABS(AO35-IFERROR(INDEX(L35:N35,1,MATCH(AV35,{"H","D","A"},0)),AE35))&gt;0.02,"⚠ odds moved — re-check value","✓ engine bet")))))))</f>
        <v/>
      </c>
      <c r="AV35" s="59">
        <f>IF(Matchday!O37="","",Matchday!O37)</f>
        <v/>
      </c>
      <c r="AW35" s="79" t="n"/>
      <c r="AX35" s="79" t="n"/>
      <c r="AY35" s="79" t="n"/>
      <c r="AZ35" s="79">
        <f>IF(AW35="",AH35,AW35)</f>
        <v/>
      </c>
      <c r="BA35" s="75">
        <f>IF(AX35&lt;&gt;"",AX35,IF(AH35&lt;&gt;"BET",0,IF(AI35*Method!$B$10/100&lt;Method!$B$9,0,ROUND(AI35*Method!$B$10/100,0))))</f>
        <v/>
      </c>
      <c r="BB35" s="77" t="n">
        <v>-13.08</v>
      </c>
      <c r="BC35" s="77" t="n">
        <v>0.5504462900160388</v>
      </c>
      <c r="BD35" s="77" t="n">
        <v>0.27641904445572</v>
      </c>
      <c r="BE35" s="77" t="n">
        <v>0.1731346655282411</v>
      </c>
      <c r="BF35" s="14" t="inlineStr">
        <is>
          <t>Germany team-wide: -14 · Ivory Coast team-wide: +1</t>
        </is>
      </c>
      <c r="BG35" s="77" t="n">
        <v>76</v>
      </c>
      <c r="BH35" s="77" t="inlineStr">
        <is>
          <t>mild</t>
        </is>
      </c>
      <c r="BI35" s="77" t="n">
        <v>2099.8</v>
      </c>
    </row>
    <row r="36" ht="15" customHeight="1" s="153">
      <c r="A36" s="59" t="n">
        <v>35</v>
      </c>
      <c r="B36" s="58" t="n">
        <v>46193</v>
      </c>
      <c r="C36" s="59" t="inlineStr">
        <is>
          <t>E</t>
        </is>
      </c>
      <c r="D36" s="66" t="inlineStr">
        <is>
          <t>Ecuador</t>
        </is>
      </c>
      <c r="E36" s="66" t="inlineStr">
        <is>
          <t>Curacao</t>
        </is>
      </c>
      <c r="F36" s="66" t="inlineStr">
        <is>
          <t>Kansas City</t>
        </is>
      </c>
      <c r="G36" s="61" t="n">
        <v>0.7916666666666666</v>
      </c>
      <c r="H36" s="59" t="inlineStr">
        <is>
          <t>01:00 +1d</t>
        </is>
      </c>
      <c r="I36" s="64" t="n">
        <v>0.7337038405684125</v>
      </c>
      <c r="J36" s="64" t="n">
        <v>0.1865380643920034</v>
      </c>
      <c r="K36" s="64" t="n">
        <v>0.07975809503958395</v>
      </c>
      <c r="L36" s="63">
        <f>IF(Matchday!E38="","",Matchday!E38)</f>
        <v/>
      </c>
      <c r="M36" s="63">
        <f>IF(Matchday!F38="","",Matchday!F38)</f>
        <v/>
      </c>
      <c r="N36" s="63">
        <f>IF(Matchday!G38="","",Matchday!G38)</f>
        <v/>
      </c>
      <c r="O36" s="64">
        <f>IF(L36="","",1/L36)</f>
        <v/>
      </c>
      <c r="P36" s="64">
        <f>IF(M36="","",1/M36)</f>
        <v/>
      </c>
      <c r="Q36" s="64">
        <f>IF(N36="","",1/N36)</f>
        <v/>
      </c>
      <c r="R36" s="64">
        <f>IF(COUNT(L36:N36)&lt;3,"",O36+P36+Q36)</f>
        <v/>
      </c>
      <c r="S36" s="64">
        <f t="array" ref="S36">IF($R36="","",IF(Method!$B$56="proportional",O36/$R36,IF(Method!$B$56="power",IFERROR(INDEX(power_devig($L36,$M36,$N36),1,1),O36/$R36),IFERROR(INDEX(shin($L36,$M36,$N36),1,1),O36/$R36))))</f>
        <v/>
      </c>
      <c r="T36" s="64">
        <f t="array" ref="T36">IF($R36="","",IF(Method!$B$56="proportional",P36/$R36,IF(Method!$B$56="power",IFERROR(INDEX(power_devig($L36,$M36,$N36),2,1),P36/$R36),IFERROR(INDEX(shin($L36,$M36,$N36),2,1),P36/$R36))))</f>
        <v/>
      </c>
      <c r="U36" s="64">
        <f t="array" ref="U36">IF($R36="","",IF(Method!$B$56="proportional",Q36/$R36,IF(Method!$B$56="power",IFERROR(INDEX(power_devig($L36,$M36,$N36),3,1),Q36/$R36),IFERROR(INDEX(shin($L36,$M36,$N36),3,1),Q36/$R36))))</f>
        <v/>
      </c>
      <c r="V36" s="64">
        <f>IF(S36="","",Method!$B$4*IF(BC36="",I36,BC36)+(1-Method!$B$4)*S36/($S36+$T36+$U36))</f>
        <v/>
      </c>
      <c r="W36" s="64">
        <f>IF(T36="","",Method!$B$4*IF(BD36="",J36,BD36)+(1-Method!$B$4)*T36/($S36+$T36+$U36))</f>
        <v/>
      </c>
      <c r="X36" s="64">
        <f>IF(U36="","",Method!$B$4*IF(BE36="",K36,BE36)+(1-Method!$B$4)*U36/($S36+$T36+$U36))</f>
        <v/>
      </c>
      <c r="Y36" s="65">
        <f>IF(V36="","",V36*L36-1)</f>
        <v/>
      </c>
      <c r="Z36" s="65">
        <f>IF(W36="","",W36*M36-1)</f>
        <v/>
      </c>
      <c r="AA36" s="65">
        <f>IF(X36="","",X36*N36-1)</f>
        <v/>
      </c>
      <c r="AB36" s="66">
        <f>IF(Y36="","",MATCH(MAX(Y36:AA36),Y36:AA36,0))</f>
        <v/>
      </c>
      <c r="AC36" s="66">
        <f>IF(AB36="","",CHOOSE(AB36,"H","D","A"))</f>
        <v/>
      </c>
      <c r="AD36" s="67">
        <f>IF(AB36="","",CHOOSE(AB36,"1  "&amp;D36,"X  Draw","2  "&amp;E36))</f>
        <v/>
      </c>
      <c r="AE36" s="33">
        <f>IF(AB36="","",INDEX(L36:N36,1,AB36))</f>
        <v/>
      </c>
      <c r="AF36" s="65">
        <f>IF(AB36="","",INDEX(Y36:AA36,1,AB36))</f>
        <v/>
      </c>
      <c r="AG36" s="65">
        <f>IF(AB36="","",INDEX(V36:X36,1,AB36)-INDEX(S36:U36,1,AB36))</f>
        <v/>
      </c>
      <c r="AH36" s="68">
        <f>IF(AB36="","· enter odds",IF(OR(AF36&gt;Method!$B$87,IFERROR(INDEX(BC36:BE36,1,AB36)/INDEX(S36:U36,1,AB36),0)&gt;Method!$B$88),"PASS",IF(AND(AF36&gt;=Method!$B$7,AG36&gt;=Method!$B$8),"BET","PASS")))</f>
        <v/>
      </c>
      <c r="AI36" s="69">
        <f>IF(AH36&lt;&gt;"BET",0,ROUND(MIN(Method!$B$6,Method!$B$5*AL36)*100,1))</f>
        <v/>
      </c>
      <c r="AJ36" s="70">
        <f>IF(OR(AH36&lt;&gt;"BET",Method!$B$55=TRUE()),0,IF(AI36*Method!$B$10/100&lt;Method!$B$9,0,ROUND(AI36*Method!$B$10/100,0)))</f>
        <v/>
      </c>
      <c r="AK36" s="64">
        <f>IF(AB36="","",INDEX(V36:X36,1,AB36))</f>
        <v/>
      </c>
      <c r="AL36" s="64">
        <f>IF(AH36&lt;&gt;"BET","",MAX(0,(AK36*AE36-1)/(AE36-1)))</f>
        <v/>
      </c>
      <c r="AM36" s="65">
        <f>IF(AH36="BET",AF36+A36/1000000,"")</f>
        <v/>
      </c>
      <c r="AN36" s="71">
        <f>IF(Matchday!N38="","",Matchday!N38)</f>
        <v/>
      </c>
      <c r="AO36" s="63">
        <f>IF(Matchday!P38="","",Matchday!P38)</f>
        <v/>
      </c>
      <c r="AP36" s="72">
        <f>IF(Matchday!Q38="","",Matchday!Q38)</f>
        <v/>
      </c>
      <c r="AQ36" s="71">
        <f>IF(Matchday!R38="","",Matchday!R38)</f>
        <v/>
      </c>
      <c r="AR36" s="73">
        <f>IF(OR(AN36&lt;&gt;"Y",AQ36="",AV36=""),"",IF(AQ36="Void",0,IF(AQ36=AV36,ROUND(AP36*(AO36-1),2),-AP36)))</f>
        <v/>
      </c>
      <c r="AS36" s="73">
        <f>IF(AR36="","",SUM($AR$2:AR36))</f>
        <v/>
      </c>
      <c r="AT36" s="31">
        <f>IF(AB36="","Type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pauses.")),IF(AH36="BET",IF(AJ36=0,"Edge found but stake rounds under £"&amp;Method!$B$9&amp;" — skip",IF(AND(AE36&gt;=6,AG36&gt;=0.15),"🟡 WAIT — long-shot review: odds "&amp;TEXT(AE36,"0.00")&amp;" + edge "&amp;TEXT(AG36,"0.0%")&amp;" — verify sharp-book + team news + stake comfort before Placed=Y","Value found: EV "&amp;TEXT(AF36,"0.0%")&amp;", edge "&amp;TEXT(AG36,"0.0%"))),IF(OR(AF36&gt;Method!$B$87,IFERROR(INDEX(BC36:BE36,1,AB36)/INDEX(S36:U36,1,AB36),0)&gt;Method!$B$88),"🛑 Tail trap — auto-PASS · EV "&amp;TEXT(AF36,"0.0%")&amp;" (cap "&amp;TEXT(Method!$B$87,"0%")&amp;") · model/market "&amp;TEXT(IFERROR(INDEX(BC36:BE36,1,AB36)/INDEX(S36:U36,1,AB36),0),"0.0")&amp;"× (cap "&amp;TEXT(Method!$B$88,"0.0")&amp;"×)",IF(AF36&lt;Method!$B$7,"Price too short — EV "&amp;TEXT(AF36,"0.0%")&amp;" (need "&amp;TEXT(Method!$B$7,"0.0%")&amp;"+)","Model ≈ market — edge "&amp;TEXT(AG36,"0.0%")&amp;" (need "&amp;TEXT(Method!$B$8,"0.0%")&amp;"+)")))))</f>
        <v/>
      </c>
      <c r="AU36" s="31">
        <f>IF(AN36&lt;&gt;"Y","",IF(AH36="· enter odds","⚠ type the 3 odds (1/X/2) to grade this bet",IF(OR(AV36="",AO36="",AP36=""),"⚠ log backed pick, odds &amp; stake",IF(AZ36&lt;&gt;"BET","⚠ FUN BET — engine said pass · staked £"&amp;AP36&amp;" vs engine £"&amp;BA36,IF(AV36&lt;&gt;IF(AY36="",AC36,AY36),"⚠ backed "&amp;AV36&amp;" but engine pick was "&amp;IF(AY36="",AC36,AY36),IF(AP36&gt;BA36,"⚠ stake over engine £"&amp;BA36,IF(ABS(AO36-IFERROR(INDEX(L36:N36,1,MATCH(AV36,{"H","D","A"},0)),AE36))&gt;0.02,"⚠ odds moved — re-check value","✓ engine bet")))))))</f>
        <v/>
      </c>
      <c r="AV36" s="59">
        <f>IF(Matchday!O38="","",Matchday!O38)</f>
        <v/>
      </c>
      <c r="AW36" s="79" t="n"/>
      <c r="AX36" s="79" t="n"/>
      <c r="AY36" s="79" t="n"/>
      <c r="AZ36" s="79">
        <f>IF(AW36="",AH36,AW36)</f>
        <v/>
      </c>
      <c r="BA36" s="75">
        <f>IF(AX36&lt;&gt;"",AX36,IF(AH36&lt;&gt;"BET",0,IF(AI36*Method!$B$10/100&lt;Method!$B$9,0,ROUND(AI36*Method!$B$10/100,0))))</f>
        <v/>
      </c>
      <c r="BB36" s="77" t="n">
        <v>-9.06</v>
      </c>
      <c r="BC36" s="77" t="n">
        <v>0.706021533892729</v>
      </c>
      <c r="BD36" s="77" t="n">
        <v>0.2121943328550841</v>
      </c>
      <c r="BE36" s="77" t="n">
        <v>0.08178413325218679</v>
      </c>
      <c r="BF36" s="14" t="inlineStr">
        <is>
          <t>Curacao team-wide: -13 · Ecuador team-wide: +4</t>
        </is>
      </c>
      <c r="BG36" s="77" t="n">
        <v>270</v>
      </c>
      <c r="BH36" s="77" t="inlineStr">
        <is>
          <t>hot</t>
        </is>
      </c>
      <c r="BI36" s="77" t="n">
        <v>1657.4</v>
      </c>
    </row>
    <row r="37" ht="15" customHeight="1" s="153">
      <c r="A37" s="59" t="n">
        <v>36</v>
      </c>
      <c r="B37" s="58" t="n">
        <v>46193</v>
      </c>
      <c r="C37" s="59" t="inlineStr">
        <is>
          <t>F</t>
        </is>
      </c>
      <c r="D37" s="66" t="inlineStr">
        <is>
          <t>Tunisia</t>
        </is>
      </c>
      <c r="E37" s="66" t="inlineStr">
        <is>
          <t>Japan</t>
        </is>
      </c>
      <c r="F37" s="66" t="inlineStr">
        <is>
          <t>Guadalupe</t>
        </is>
      </c>
      <c r="G37" s="61" t="n">
        <v>0.9166666666666666</v>
      </c>
      <c r="H37" s="59" t="inlineStr">
        <is>
          <t>05:00 +1d</t>
        </is>
      </c>
      <c r="I37" s="64" t="n">
        <v>0.1539247587209203</v>
      </c>
      <c r="J37" s="64" t="n">
        <v>0.2611087610171194</v>
      </c>
      <c r="K37" s="64" t="n">
        <v>0.5849664802619601</v>
      </c>
      <c r="L37" s="63">
        <f>IF(Matchday!E39="","",Matchday!E39)</f>
        <v/>
      </c>
      <c r="M37" s="63">
        <f>IF(Matchday!F39="","",Matchday!F39)</f>
        <v/>
      </c>
      <c r="N37" s="63">
        <f>IF(Matchday!G39="","",Matchday!G39)</f>
        <v/>
      </c>
      <c r="O37" s="64">
        <f>IF(L37="","",1/L37)</f>
        <v/>
      </c>
      <c r="P37" s="64">
        <f>IF(M37="","",1/M37)</f>
        <v/>
      </c>
      <c r="Q37" s="64">
        <f>IF(N37="","",1/N37)</f>
        <v/>
      </c>
      <c r="R37" s="64">
        <f>IF(COUNT(L37:N37)&lt;3,"",O37+P37+Q37)</f>
        <v/>
      </c>
      <c r="S37" s="64">
        <f t="array" ref="S37">IF($R37="","",IF(Method!$B$56="proportional",O37/$R37,IF(Method!$B$56="power",IFERROR(INDEX(power_devig($L37,$M37,$N37),1,1),O37/$R37),IFERROR(INDEX(shin($L37,$M37,$N37),1,1),O37/$R37))))</f>
        <v/>
      </c>
      <c r="T37" s="64">
        <f t="array" ref="T37">IF($R37="","",IF(Method!$B$56="proportional",P37/$R37,IF(Method!$B$56="power",IFERROR(INDEX(power_devig($L37,$M37,$N37),2,1),P37/$R37),IFERROR(INDEX(shin($L37,$M37,$N37),2,1),P37/$R37))))</f>
        <v/>
      </c>
      <c r="U37" s="64">
        <f t="array" ref="U37">IF($R37="","",IF(Method!$B$56="proportional",Q37/$R37,IF(Method!$B$56="power",IFERROR(INDEX(power_devig($L37,$M37,$N37),3,1),Q37/$R37),IFERROR(INDEX(shin($L37,$M37,$N37),3,1),Q37/$R37))))</f>
        <v/>
      </c>
      <c r="V37" s="64">
        <f>IF(S37="","",Method!$B$4*IF(BC37="",I37,BC37)+(1-Method!$B$4)*S37/($S37+$T37+$U37))</f>
        <v/>
      </c>
      <c r="W37" s="64">
        <f>IF(T37="","",Method!$B$4*IF(BD37="",J37,BD37)+(1-Method!$B$4)*T37/($S37+$T37+$U37))</f>
        <v/>
      </c>
      <c r="X37" s="64">
        <f>IF(U37="","",Method!$B$4*IF(BE37="",K37,BE37)+(1-Method!$B$4)*U37/($S37+$T37+$U37))</f>
        <v/>
      </c>
      <c r="Y37" s="65">
        <f>IF(V37="","",V37*L37-1)</f>
        <v/>
      </c>
      <c r="Z37" s="65">
        <f>IF(W37="","",W37*M37-1)</f>
        <v/>
      </c>
      <c r="AA37" s="65">
        <f>IF(X37="","",X37*N37-1)</f>
        <v/>
      </c>
      <c r="AB37" s="66">
        <f>IF(Y37="","",MATCH(MAX(Y37:AA37),Y37:AA37,0))</f>
        <v/>
      </c>
      <c r="AC37" s="66">
        <f>IF(AB37="","",CHOOSE(AB37,"H","D","A"))</f>
        <v/>
      </c>
      <c r="AD37" s="67">
        <f>IF(AB37="","",CHOOSE(AB37,"1  "&amp;D37,"X  Draw","2  "&amp;E37))</f>
        <v/>
      </c>
      <c r="AE37" s="33">
        <f>IF(AB37="","",INDEX(L37:N37,1,AB37))</f>
        <v/>
      </c>
      <c r="AF37" s="65">
        <f>IF(AB37="","",INDEX(Y37:AA37,1,AB37))</f>
        <v/>
      </c>
      <c r="AG37" s="65">
        <f>IF(AB37="","",INDEX(V37:X37,1,AB37)-INDEX(S37:U37,1,AB37))</f>
        <v/>
      </c>
      <c r="AH37" s="68">
        <f>IF(AB37="","· enter odds",IF(OR(AF37&gt;Method!$B$87,IFERROR(INDEX(BC37:BE37,1,AB37)/INDEX(S37:U37,1,AB37),0)&gt;Method!$B$88),"PASS",IF(AND(AF37&gt;=Method!$B$7,AG37&gt;=Method!$B$8),"BET","PASS")))</f>
        <v/>
      </c>
      <c r="AI37" s="69">
        <f>IF(AH37&lt;&gt;"BET",0,ROUND(MIN(Method!$B$6,Method!$B$5*AL37)*100,1))</f>
        <v/>
      </c>
      <c r="AJ37" s="70">
        <f>IF(OR(AH37&lt;&gt;"BET",Method!$B$55=TRUE()),0,IF(AI37*Method!$B$10/100&lt;Method!$B$9,0,ROUND(AI37*Method!$B$10/100,0)))</f>
        <v/>
      </c>
      <c r="AK37" s="64">
        <f>IF(AB37="","",INDEX(V37:X37,1,AB37))</f>
        <v/>
      </c>
      <c r="AL37" s="64">
        <f>IF(AH37&lt;&gt;"BET","",MAX(0,(AK37*AE37-1)/(AE37-1)))</f>
        <v/>
      </c>
      <c r="AM37" s="66">
        <f>IF(AH37="BET",AF37+A37/1000000,"")</f>
        <v/>
      </c>
      <c r="AN37" s="71">
        <f>IF(Matchday!N39="","",Matchday!N39)</f>
        <v/>
      </c>
      <c r="AO37" s="63">
        <f>IF(Matchday!P39="","",Matchday!P39)</f>
        <v/>
      </c>
      <c r="AP37" s="72">
        <f>IF(Matchday!Q39="","",Matchday!Q39)</f>
        <v/>
      </c>
      <c r="AQ37" s="71">
        <f>IF(Matchday!R39="","",Matchday!R39)</f>
        <v/>
      </c>
      <c r="AR37" s="73">
        <f>IF(OR(AN37&lt;&gt;"Y",AQ37="",AV37=""),"",IF(AQ37="Void",0,IF(AQ37=AV37,ROUND(AP37*(AO37-1),2),-AP37)))</f>
        <v/>
      </c>
      <c r="AS37" s="73">
        <f>IF(AR37="","",SUM($AR$2:AR37))</f>
        <v/>
      </c>
      <c r="AT37" s="31">
        <f>IF(AB37="","Type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pauses.")),IF(AH37="BET",IF(AJ37=0,"Edge found but stake rounds under £"&amp;Method!$B$9&amp;" — skip",IF(AND(AE37&gt;=6,AG37&gt;=0.15),"🟡 WAIT — long-shot review: odds "&amp;TEXT(AE37,"0.00")&amp;" + edge "&amp;TEXT(AG37,"0.0%")&amp;" — verify sharp-book + team news + stake comfort before Placed=Y","Value found: EV "&amp;TEXT(AF37,"0.0%")&amp;", edge "&amp;TEXT(AG37,"0.0%"))),IF(OR(AF37&gt;Method!$B$87,IFERROR(INDEX(BC37:BE37,1,AB37)/INDEX(S37:U37,1,AB37),0)&gt;Method!$B$88),"🛑 Tail trap — auto-PASS · EV "&amp;TEXT(AF37,"0.0%")&amp;" (cap "&amp;TEXT(Method!$B$87,"0%")&amp;") · model/market "&amp;TEXT(IFERROR(INDEX(BC37:BE37,1,AB37)/INDEX(S37:U37,1,AB37),0),"0.0")&amp;"× (cap "&amp;TEXT(Method!$B$88,"0.0")&amp;"×)",IF(AF37&lt;Method!$B$7,"Price too short — EV "&amp;TEXT(AF37,"0.0%")&amp;" (need "&amp;TEXT(Method!$B$7,"0.0%")&amp;"+)","Model ≈ market — edge "&amp;TEXT(AG37,"0.0%")&amp;" (need "&amp;TEXT(Method!$B$8,"0.0%")&amp;"+)")))))</f>
        <v/>
      </c>
      <c r="AU37" s="31">
        <f>IF(AN37&lt;&gt;"Y","",IF(AH37="· enter odds","⚠ type the 3 odds (1/X/2) to grade this bet",IF(OR(AV37="",AO37="",AP37=""),"⚠ log backed pick, odds &amp; stake",IF(AZ37&lt;&gt;"BET","⚠ FUN BET — engine said pass · staked £"&amp;AP37&amp;" vs engine £"&amp;BA37,IF(AV37&lt;&gt;IF(AY37="",AC37,AY37),"⚠ backed "&amp;AV37&amp;" but engine pick was "&amp;IF(AY37="",AC37,AY37),IF(AP37&gt;BA37,"⚠ stake over engine £"&amp;BA37,IF(ABS(AO37-IFERROR(INDEX(L37:N37,1,MATCH(AV37,{"H","D","A"},0)),AE37))&gt;0.02,"⚠ odds moved — re-check value","✓ engine bet")))))))</f>
        <v/>
      </c>
      <c r="AV37" s="59">
        <f>IF(Matchday!O39="","",Matchday!O39)</f>
        <v/>
      </c>
      <c r="AW37" s="79" t="n"/>
      <c r="AX37" s="79" t="n"/>
      <c r="AY37" s="79" t="n"/>
      <c r="AZ37" s="79">
        <f>IF(AW37="",AH37,AW37)</f>
        <v/>
      </c>
      <c r="BA37" s="75">
        <f>IF(AX37&lt;&gt;"",AX37,IF(AH37&lt;&gt;"BET",0,IF(AI37*Method!$B$10/100&lt;Method!$B$9,0,ROUND(AI37*Method!$B$10/100,0))))</f>
        <v/>
      </c>
      <c r="BB37" s="77" t="n">
        <v>-64.09999999999999</v>
      </c>
      <c r="BC37" s="77" t="n">
        <v>0.1309660729482753</v>
      </c>
      <c r="BD37" s="77" t="n">
        <v>0.2835999278119888</v>
      </c>
      <c r="BE37" s="77" t="n">
        <v>0.5854339992397358</v>
      </c>
      <c r="BF37" s="14" t="inlineStr">
        <is>
          <t>Japan team-wide: -30 · Japan weather: -1 · Tunisia team-wide: -33</t>
        </is>
      </c>
      <c r="BG37" s="77" t="n">
        <v>540</v>
      </c>
      <c r="BH37" s="77" t="inlineStr">
        <is>
          <t>very_hot</t>
        </is>
      </c>
      <c r="BI37" s="77" t="n">
        <v>0</v>
      </c>
    </row>
    <row r="38" ht="15" customHeight="1" s="153">
      <c r="A38" s="59" t="n">
        <v>37</v>
      </c>
      <c r="B38" s="58" t="n">
        <v>46194</v>
      </c>
      <c r="C38" s="59" t="inlineStr">
        <is>
          <t>H</t>
        </is>
      </c>
      <c r="D38" s="66" t="inlineStr">
        <is>
          <t>Spain</t>
        </is>
      </c>
      <c r="E38" s="66" t="inlineStr">
        <is>
          <t>Saudi Arabia</t>
        </is>
      </c>
      <c r="F38" s="66" t="inlineStr">
        <is>
          <t>Atlanta</t>
        </is>
      </c>
      <c r="G38" s="61" t="n">
        <v>0.5</v>
      </c>
      <c r="H38" s="61" t="n">
        <v>0.7083333333333334</v>
      </c>
      <c r="I38" s="64" t="n">
        <v>0.7295493494702163</v>
      </c>
      <c r="J38" s="64" t="n">
        <v>0.1894908588828832</v>
      </c>
      <c r="K38" s="64" t="n">
        <v>0.08095979164690058</v>
      </c>
      <c r="L38" s="63">
        <f>IF(Matchday!E40="","",Matchday!E40)</f>
        <v/>
      </c>
      <c r="M38" s="63">
        <f>IF(Matchday!F40="","",Matchday!F40)</f>
        <v/>
      </c>
      <c r="N38" s="63">
        <f>IF(Matchday!G40="","",Matchday!G40)</f>
        <v/>
      </c>
      <c r="O38" s="64">
        <f>IF(L38="","",1/L38)</f>
        <v/>
      </c>
      <c r="P38" s="64">
        <f>IF(M38="","",1/M38)</f>
        <v/>
      </c>
      <c r="Q38" s="64">
        <f>IF(N38="","",1/N38)</f>
        <v/>
      </c>
      <c r="R38" s="64">
        <f>IF(COUNT(L38:N38)&lt;3,"",O38+P38+Q38)</f>
        <v/>
      </c>
      <c r="S38" s="64">
        <f t="array" ref="S38">IF($R38="","",IF(Method!$B$56="proportional",O38/$R38,IF(Method!$B$56="power",IFERROR(INDEX(power_devig($L38,$M38,$N38),1,1),O38/$R38),IFERROR(INDEX(shin($L38,$M38,$N38),1,1),O38/$R38))))</f>
        <v/>
      </c>
      <c r="T38" s="64">
        <f t="array" ref="T38">IF($R38="","",IF(Method!$B$56="proportional",P38/$R38,IF(Method!$B$56="power",IFERROR(INDEX(power_devig($L38,$M38,$N38),2,1),P38/$R38),IFERROR(INDEX(shin($L38,$M38,$N38),2,1),P38/$R38))))</f>
        <v/>
      </c>
      <c r="U38" s="64">
        <f t="array" ref="U38">IF($R38="","",IF(Method!$B$56="proportional",Q38/$R38,IF(Method!$B$56="power",IFERROR(INDEX(power_devig($L38,$M38,$N38),3,1),Q38/$R38),IFERROR(INDEX(shin($L38,$M38,$N38),3,1),Q38/$R38))))</f>
        <v/>
      </c>
      <c r="V38" s="64">
        <f>IF(S38="","",Method!$B$4*IF(BC38="",I38,BC38)+(1-Method!$B$4)*S38/($S38+$T38+$U38))</f>
        <v/>
      </c>
      <c r="W38" s="64">
        <f>IF(T38="","",Method!$B$4*IF(BD38="",J38,BD38)+(1-Method!$B$4)*T38/($S38+$T38+$U38))</f>
        <v/>
      </c>
      <c r="X38" s="64">
        <f>IF(U38="","",Method!$B$4*IF(BE38="",K38,BE38)+(1-Method!$B$4)*U38/($S38+$T38+$U38))</f>
        <v/>
      </c>
      <c r="Y38" s="65">
        <f>IF(V38="","",V38*L38-1)</f>
        <v/>
      </c>
      <c r="Z38" s="65">
        <f>IF(W38="","",W38*M38-1)</f>
        <v/>
      </c>
      <c r="AA38" s="65">
        <f>IF(X38="","",X38*N38-1)</f>
        <v/>
      </c>
      <c r="AB38" s="66">
        <f>IF(Y38="","",MATCH(MAX(Y38:AA38),Y38:AA38,0))</f>
        <v/>
      </c>
      <c r="AC38" s="66">
        <f>IF(AB38="","",CHOOSE(AB38,"H","D","A"))</f>
        <v/>
      </c>
      <c r="AD38" s="67">
        <f>IF(AB38="","",CHOOSE(AB38,"1  "&amp;D38,"X  Draw","2  "&amp;E38))</f>
        <v/>
      </c>
      <c r="AE38" s="33">
        <f>IF(AB38="","",INDEX(L38:N38,1,AB38))</f>
        <v/>
      </c>
      <c r="AF38" s="65">
        <f>IF(AB38="","",INDEX(Y38:AA38,1,AB38))</f>
        <v/>
      </c>
      <c r="AG38" s="65">
        <f>IF(AB38="","",INDEX(V38:X38,1,AB38)-INDEX(S38:U38,1,AB38))</f>
        <v/>
      </c>
      <c r="AH38" s="68">
        <f>IF(AB38="","· enter odds",IF(OR(AF38&gt;Method!$B$87,IFERROR(INDEX(BC38:BE38,1,AB38)/INDEX(S38:U38,1,AB38),0)&gt;Method!$B$88),"PASS",IF(AND(AF38&gt;=Method!$B$7,AG38&gt;=Method!$B$8),"BET","PASS")))</f>
        <v/>
      </c>
      <c r="AI38" s="69">
        <f>IF(AH38&lt;&gt;"BET",0,ROUND(MIN(Method!$B$6,Method!$B$5*AL38)*100,1))</f>
        <v/>
      </c>
      <c r="AJ38" s="70">
        <f>IF(OR(AH38&lt;&gt;"BET",Method!$B$55=TRUE()),0,IF(AI38*Method!$B$10/100&lt;Method!$B$9,0,ROUND(AI38*Method!$B$10/100,0)))</f>
        <v/>
      </c>
      <c r="AK38" s="64">
        <f>IF(AB38="","",INDEX(V38:X38,1,AB38))</f>
        <v/>
      </c>
      <c r="AL38" s="64">
        <f>IF(AH38&lt;&gt;"BET","",MAX(0,(AK38*AE38-1)/(AE38-1)))</f>
        <v/>
      </c>
      <c r="AM38" s="66">
        <f>IF(AH38="BET",AF38+A38/1000000,"")</f>
        <v/>
      </c>
      <c r="AN38" s="71">
        <f>IF(Matchday!N40="","",Matchday!N40)</f>
        <v/>
      </c>
      <c r="AO38" s="63">
        <f>IF(Matchday!P40="","",Matchday!P40)</f>
        <v/>
      </c>
      <c r="AP38" s="72">
        <f>IF(Matchday!Q40="","",Matchday!Q40)</f>
        <v/>
      </c>
      <c r="AQ38" s="71">
        <f>IF(Matchday!R40="","",Matchday!R40)</f>
        <v/>
      </c>
      <c r="AR38" s="73">
        <f>IF(OR(AN38&lt;&gt;"Y",AQ38="",AV38=""),"",IF(AQ38="Void",0,IF(AQ38=AV38,ROUND(AP38*(AO38-1),2),-AP38)))</f>
        <v/>
      </c>
      <c r="AS38" s="73">
        <f>IF(AR38="","",SUM($AR$2:AR38))</f>
        <v/>
      </c>
      <c r="AT38" s="31">
        <f>IF(AB38="","Type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pauses.")),IF(AH38="BET",IF(AJ38=0,"Edge found but stake rounds under £"&amp;Method!$B$9&amp;" — skip",IF(AND(AE38&gt;=6,AG38&gt;=0.15),"🟡 WAIT — long-shot review: odds "&amp;TEXT(AE38,"0.00")&amp;" + edge "&amp;TEXT(AG38,"0.0%")&amp;" — verify sharp-book + team news + stake comfort before Placed=Y","Value found: EV "&amp;TEXT(AF38,"0.0%")&amp;", edge "&amp;TEXT(AG38,"0.0%"))),IF(OR(AF38&gt;Method!$B$87,IFERROR(INDEX(BC38:BE38,1,AB38)/INDEX(S38:U38,1,AB38),0)&gt;Method!$B$88),"🛑 Tail trap — auto-PASS · EV "&amp;TEXT(AF38,"0.0%")&amp;" (cap "&amp;TEXT(Method!$B$87,"0%")&amp;") · model/market "&amp;TEXT(IFERROR(INDEX(BC38:BE38,1,AB38)/INDEX(S38:U38,1,AB38),0),"0.0")&amp;"× (cap "&amp;TEXT(Method!$B$88,"0.0")&amp;"×)",IF(AF38&lt;Method!$B$7,"Price too short — EV "&amp;TEXT(AF38,"0.0%")&amp;" (need "&amp;TEXT(Method!$B$7,"0.0%")&amp;"+)","Model ≈ market — edge "&amp;TEXT(AG38,"0.0%")&amp;" (need "&amp;TEXT(Method!$B$8,"0.0%")&amp;"+)")))))</f>
        <v/>
      </c>
      <c r="AU38" s="31">
        <f>IF(AN38&lt;&gt;"Y","",IF(AH38="· enter odds","⚠ type the 3 odds (1/X/2) to grade this bet",IF(OR(AV38="",AO38="",AP38=""),"⚠ log backed pick, odds &amp; stake",IF(AZ38&lt;&gt;"BET","⚠ FUN BET — engine said pass · staked £"&amp;AP38&amp;" vs engine £"&amp;BA38,IF(AV38&lt;&gt;IF(AY38="",AC38,AY38),"⚠ backed "&amp;AV38&amp;" but engine pick was "&amp;IF(AY38="",AC38,AY38),IF(AP38&gt;BA38,"⚠ stake over engine £"&amp;BA38,IF(ABS(AO38-IFERROR(INDEX(L38:N38,1,MATCH(AV38,{"H","D","A"},0)),AE38))&gt;0.02,"⚠ odds moved — re-check value","✓ engine bet")))))))</f>
        <v/>
      </c>
      <c r="AV38" s="59">
        <f>IF(Matchday!O40="","",Matchday!O40)</f>
        <v/>
      </c>
      <c r="AW38" s="79" t="n"/>
      <c r="AX38" s="79" t="n"/>
      <c r="AY38" s="79" t="n"/>
      <c r="AZ38" s="79">
        <f>IF(AW38="",AH38,AW38)</f>
        <v/>
      </c>
      <c r="BA38" s="75">
        <f>IF(AX38&lt;&gt;"",AX38,IF(AH38&lt;&gt;"BET",0,IF(AI38*Method!$B$10/100&lt;Method!$B$9,0,ROUND(AI38*Method!$B$10/100,0))))</f>
        <v/>
      </c>
      <c r="BB38" s="77" t="n">
        <v>7.08</v>
      </c>
      <c r="BC38" s="77" t="n">
        <v>0.7015620575428968</v>
      </c>
      <c r="BD38" s="77" t="n">
        <v>0.2154269869919467</v>
      </c>
      <c r="BE38" s="77" t="n">
        <v>0.08301095546515649</v>
      </c>
      <c r="BF38" s="77" t="inlineStr">
        <is>
          <t>Saudi Arabia team-wide: -11 · Spain team-wide: +18</t>
        </is>
      </c>
      <c r="BG38" s="77" t="n">
        <v>320</v>
      </c>
      <c r="BH38" s="77" t="inlineStr">
        <is>
          <t>hot_humid_indoor</t>
        </is>
      </c>
      <c r="BI38" s="77" t="n">
        <v>0</v>
      </c>
    </row>
    <row r="39" ht="15" customHeight="1" s="153">
      <c r="A39" s="59" t="n">
        <v>38</v>
      </c>
      <c r="B39" s="58" t="n">
        <v>46194</v>
      </c>
      <c r="C39" s="59" t="inlineStr">
        <is>
          <t>G</t>
        </is>
      </c>
      <c r="D39" s="66" t="inlineStr">
        <is>
          <t>Belgium</t>
        </is>
      </c>
      <c r="E39" s="66" t="inlineStr">
        <is>
          <t>Iran</t>
        </is>
      </c>
      <c r="F39" s="66" t="inlineStr">
        <is>
          <t>Inglewood</t>
        </is>
      </c>
      <c r="G39" s="61" t="n">
        <v>0.625</v>
      </c>
      <c r="H39" s="61" t="n">
        <v>0.9583333333333334</v>
      </c>
      <c r="I39" s="64" t="n">
        <v>0.4383500583633897</v>
      </c>
      <c r="J39" s="64" t="n">
        <v>0.2871195065242283</v>
      </c>
      <c r="K39" s="64" t="n">
        <v>0.2745304351123819</v>
      </c>
      <c r="L39" s="63">
        <f>IF(Matchday!E41="","",Matchday!E41)</f>
        <v/>
      </c>
      <c r="M39" s="63">
        <f>IF(Matchday!F41="","",Matchday!F41)</f>
        <v/>
      </c>
      <c r="N39" s="63">
        <f>IF(Matchday!G41="","",Matchday!G41)</f>
        <v/>
      </c>
      <c r="O39" s="64">
        <f>IF(L39="","",1/L39)</f>
        <v/>
      </c>
      <c r="P39" s="64">
        <f>IF(M39="","",1/M39)</f>
        <v/>
      </c>
      <c r="Q39" s="64">
        <f>IF(N39="","",1/N39)</f>
        <v/>
      </c>
      <c r="R39" s="64">
        <f>IF(COUNT(L39:N39)&lt;3,"",O39+P39+Q39)</f>
        <v/>
      </c>
      <c r="S39" s="64">
        <f t="array" ref="S39">IF($R39="","",IF(Method!$B$56="proportional",O39/$R39,IF(Method!$B$56="power",IFERROR(INDEX(power_devig($L39,$M39,$N39),1,1),O39/$R39),IFERROR(INDEX(shin($L39,$M39,$N39),1,1),O39/$R39))))</f>
        <v/>
      </c>
      <c r="T39" s="64">
        <f t="array" ref="T39">IF($R39="","",IF(Method!$B$56="proportional",P39/$R39,IF(Method!$B$56="power",IFERROR(INDEX(power_devig($L39,$M39,$N39),2,1),P39/$R39),IFERROR(INDEX(shin($L39,$M39,$N39),2,1),P39/$R39))))</f>
        <v/>
      </c>
      <c r="U39" s="64">
        <f t="array" ref="U39">IF($R39="","",IF(Method!$B$56="proportional",Q39/$R39,IF(Method!$B$56="power",IFERROR(INDEX(power_devig($L39,$M39,$N39),3,1),Q39/$R39),IFERROR(INDEX(shin($L39,$M39,$N39),3,1),Q39/$R39))))</f>
        <v/>
      </c>
      <c r="V39" s="64">
        <f>IF(S39="","",Method!$B$4*IF(BC39="",I39,BC39)+(1-Method!$B$4)*S39/($S39+$T39+$U39))</f>
        <v/>
      </c>
      <c r="W39" s="64">
        <f>IF(T39="","",Method!$B$4*IF(BD39="",J39,BD39)+(1-Method!$B$4)*T39/($S39+$T39+$U39))</f>
        <v/>
      </c>
      <c r="X39" s="64">
        <f>IF(U39="","",Method!$B$4*IF(BE39="",K39,BE39)+(1-Method!$B$4)*U39/($S39+$T39+$U39))</f>
        <v/>
      </c>
      <c r="Y39" s="65">
        <f>IF(V39="","",V39*L39-1)</f>
        <v/>
      </c>
      <c r="Z39" s="65">
        <f>IF(W39="","",W39*M39-1)</f>
        <v/>
      </c>
      <c r="AA39" s="65">
        <f>IF(X39="","",X39*N39-1)</f>
        <v/>
      </c>
      <c r="AB39" s="66">
        <f>IF(Y39="","",MATCH(MAX(Y39:AA39),Y39:AA39,0))</f>
        <v/>
      </c>
      <c r="AC39" s="66">
        <f>IF(AB39="","",CHOOSE(AB39,"H","D","A"))</f>
        <v/>
      </c>
      <c r="AD39" s="67">
        <f>IF(AB39="","",CHOOSE(AB39,"1  "&amp;D39,"X  Draw","2  "&amp;E39))</f>
        <v/>
      </c>
      <c r="AE39" s="33">
        <f>IF(AB39="","",INDEX(L39:N39,1,AB39))</f>
        <v/>
      </c>
      <c r="AF39" s="65">
        <f>IF(AB39="","",INDEX(Y39:AA39,1,AB39))</f>
        <v/>
      </c>
      <c r="AG39" s="65">
        <f>IF(AB39="","",INDEX(V39:X39,1,AB39)-INDEX(S39:U39,1,AB39))</f>
        <v/>
      </c>
      <c r="AH39" s="68">
        <f>IF(AB39="","· enter odds",IF(OR(AF39&gt;Method!$B$87,IFERROR(INDEX(BC39:BE39,1,AB39)/INDEX(S39:U39,1,AB39),0)&gt;Method!$B$88),"PASS",IF(AND(AF39&gt;=Method!$B$7,AG39&gt;=Method!$B$8),"BET","PASS")))</f>
        <v/>
      </c>
      <c r="AI39" s="69">
        <f>IF(AH39&lt;&gt;"BET",0,ROUND(MIN(Method!$B$6,Method!$B$5*AL39)*100,1))</f>
        <v/>
      </c>
      <c r="AJ39" s="70">
        <f>IF(OR(AH39&lt;&gt;"BET",Method!$B$55=TRUE()),0,IF(AI39*Method!$B$10/100&lt;Method!$B$9,0,ROUND(AI39*Method!$B$10/100,0)))</f>
        <v/>
      </c>
      <c r="AK39" s="64">
        <f>IF(AB39="","",INDEX(V39:X39,1,AB39))</f>
        <v/>
      </c>
      <c r="AL39" s="64">
        <f>IF(AH39&lt;&gt;"BET","",MAX(0,(AK39*AE39-1)/(AE39-1)))</f>
        <v/>
      </c>
      <c r="AM39" s="66">
        <f>IF(AH39="BET",AF39+A39/1000000,"")</f>
        <v/>
      </c>
      <c r="AN39" s="71">
        <f>IF(Matchday!N41="","",Matchday!N41)</f>
        <v/>
      </c>
      <c r="AO39" s="63">
        <f>IF(Matchday!P41="","",Matchday!P41)</f>
        <v/>
      </c>
      <c r="AP39" s="72">
        <f>IF(Matchday!Q41="","",Matchday!Q41)</f>
        <v/>
      </c>
      <c r="AQ39" s="71">
        <f>IF(Matchday!R41="","",Matchday!R41)</f>
        <v/>
      </c>
      <c r="AR39" s="73">
        <f>IF(OR(AN39&lt;&gt;"Y",AQ39="",AV39=""),"",IF(AQ39="Void",0,IF(AQ39=AV39,ROUND(AP39*(AO39-1),2),-AP39)))</f>
        <v/>
      </c>
      <c r="AS39" s="73">
        <f>IF(AR39="","",SUM($AR$2:AR39))</f>
        <v/>
      </c>
      <c r="AT39" s="31">
        <f>IF(AB39="","Type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pauses.")),IF(AH39="BET",IF(AJ39=0,"Edge found but stake rounds under £"&amp;Method!$B$9&amp;" — skip",IF(AND(AE39&gt;=6,AG39&gt;=0.15),"🟡 WAIT — long-shot review: odds "&amp;TEXT(AE39,"0.00")&amp;" + edge "&amp;TEXT(AG39,"0.0%")&amp;" — verify sharp-book + team news + stake comfort before Placed=Y","Value found: EV "&amp;TEXT(AF39,"0.0%")&amp;", edge "&amp;TEXT(AG39,"0.0%"))),IF(OR(AF39&gt;Method!$B$87,IFERROR(INDEX(BC39:BE39,1,AB39)/INDEX(S39:U39,1,AB39),0)&gt;Method!$B$88),"🛑 Tail trap — auto-PASS · EV "&amp;TEXT(AF39,"0.0%")&amp;" (cap "&amp;TEXT(Method!$B$87,"0%")&amp;") · model/market "&amp;TEXT(IFERROR(INDEX(BC39:BE39,1,AB39)/INDEX(S39:U39,1,AB39),0),"0.0")&amp;"× (cap "&amp;TEXT(Method!$B$88,"0.0")&amp;"×)",IF(AF39&lt;Method!$B$7,"Price too short — EV "&amp;TEXT(AF39,"0.0%")&amp;" (need "&amp;TEXT(Method!$B$7,"0.0%")&amp;"+)","Model ≈ market — edge "&amp;TEXT(AG39,"0.0%")&amp;" (need "&amp;TEXT(Method!$B$8,"0.0%")&amp;"+)")))))</f>
        <v/>
      </c>
      <c r="AU39" s="31">
        <f>IF(AN39&lt;&gt;"Y","",IF(AH39="· enter odds","⚠ type the 3 odds (1/X/2) to grade this bet",IF(OR(AV39="",AO39="",AP39=""),"⚠ log backed pick, odds &amp; stake",IF(AZ39&lt;&gt;"BET","⚠ FUN BET — engine said pass · staked £"&amp;AP39&amp;" vs engine £"&amp;BA39,IF(AV39&lt;&gt;IF(AY39="",AC39,AY39),"⚠ backed "&amp;AV39&amp;" but engine pick was "&amp;IF(AY39="",AC39,AY39),IF(AP39&gt;BA39,"⚠ stake over engine £"&amp;BA39,IF(ABS(AO39-IFERROR(INDEX(L39:N39,1,MATCH(AV39,{"H","D","A"},0)),AE39))&gt;0.02,"⚠ odds moved — re-check value","✓ engine bet")))))))</f>
        <v/>
      </c>
      <c r="AV39" s="59">
        <f>IF(Matchday!O41="","",Matchday!O41)</f>
        <v/>
      </c>
      <c r="AW39" s="79" t="n"/>
      <c r="AX39" s="79" t="n"/>
      <c r="AY39" s="79" t="n"/>
      <c r="AZ39" s="79">
        <f>IF(AW39="",AH39,AW39)</f>
        <v/>
      </c>
      <c r="BA39" s="75">
        <f>IF(AX39&lt;&gt;"",AX39,IF(AH39&lt;&gt;"BET",0,IF(AI39*Method!$B$10/100&lt;Method!$B$9,0,ROUND(AI39*Method!$B$10/100,0))))</f>
        <v/>
      </c>
      <c r="BB39" s="77" t="n">
        <v>-22.93</v>
      </c>
      <c r="BC39" s="77" t="n">
        <v>0.4388178026603977</v>
      </c>
      <c r="BD39" s="77" t="n">
        <v>0.266886449241108</v>
      </c>
      <c r="BE39" s="77" t="n">
        <v>0.2942957480984943</v>
      </c>
      <c r="BF39" s="14" t="inlineStr">
        <is>
          <t>Belgium team-wide: -17 · Iran team-wide: -6</t>
        </is>
      </c>
      <c r="BG39" s="77" t="n">
        <v>30</v>
      </c>
      <c r="BH39" s="77" t="inlineStr">
        <is>
          <t>warm_dry_indoor</t>
        </is>
      </c>
      <c r="BI39" s="77" t="n">
        <v>1553.1</v>
      </c>
    </row>
    <row r="40" ht="15" customHeight="1" s="153">
      <c r="A40" s="59" t="n">
        <v>39</v>
      </c>
      <c r="B40" s="58" t="n">
        <v>46194</v>
      </c>
      <c r="C40" s="59" t="inlineStr">
        <is>
          <t>H</t>
        </is>
      </c>
      <c r="D40" s="66" t="inlineStr">
        <is>
          <t>Uruguay</t>
        </is>
      </c>
      <c r="E40" s="66" t="inlineStr">
        <is>
          <t>Cape Verde</t>
        </is>
      </c>
      <c r="F40" s="66" t="inlineStr">
        <is>
          <t>Miami Gardens</t>
        </is>
      </c>
      <c r="G40" s="61" t="n">
        <v>0.75</v>
      </c>
      <c r="H40" s="61" t="n">
        <v>0.9583333333333334</v>
      </c>
      <c r="I40" s="64" t="n">
        <v>0.582937808733629</v>
      </c>
      <c r="J40" s="64" t="n">
        <v>0.2677569571966475</v>
      </c>
      <c r="K40" s="64" t="n">
        <v>0.1493052340697234</v>
      </c>
      <c r="L40" s="63">
        <f>IF(Matchday!E42="","",Matchday!E42)</f>
        <v/>
      </c>
      <c r="M40" s="63">
        <f>IF(Matchday!F42="","",Matchday!F42)</f>
        <v/>
      </c>
      <c r="N40" s="63">
        <f>IF(Matchday!G42="","",Matchday!G42)</f>
        <v/>
      </c>
      <c r="O40" s="64">
        <f>IF(L40="","",1/L40)</f>
        <v/>
      </c>
      <c r="P40" s="64">
        <f>IF(M40="","",1/M40)</f>
        <v/>
      </c>
      <c r="Q40" s="64">
        <f>IF(N40="","",1/N40)</f>
        <v/>
      </c>
      <c r="R40" s="64">
        <f>IF(COUNT(L40:N40)&lt;3,"",O40+P40+Q40)</f>
        <v/>
      </c>
      <c r="S40" s="64">
        <f t="array" ref="S40">IF($R40="","",IF(Method!$B$56="proportional",O40/$R40,IF(Method!$B$56="power",IFERROR(INDEX(power_devig($L40,$M40,$N40),1,1),O40/$R40),IFERROR(INDEX(shin($L40,$M40,$N40),1,1),O40/$R40))))</f>
        <v/>
      </c>
      <c r="T40" s="64">
        <f t="array" ref="T40">IF($R40="","",IF(Method!$B$56="proportional",P40/$R40,IF(Method!$B$56="power",IFERROR(INDEX(power_devig($L40,$M40,$N40),2,1),P40/$R40),IFERROR(INDEX(shin($L40,$M40,$N40),2,1),P40/$R40))))</f>
        <v/>
      </c>
      <c r="U40" s="64">
        <f t="array" ref="U40">IF($R40="","",IF(Method!$B$56="proportional",Q40/$R40,IF(Method!$B$56="power",IFERROR(INDEX(power_devig($L40,$M40,$N40),3,1),Q40/$R40),IFERROR(INDEX(shin($L40,$M40,$N40),3,1),Q40/$R40))))</f>
        <v/>
      </c>
      <c r="V40" s="64">
        <f>IF(S40="","",Method!$B$4*IF(BC40="",I40,BC40)+(1-Method!$B$4)*S40/($S40+$T40+$U40))</f>
        <v/>
      </c>
      <c r="W40" s="64">
        <f>IF(T40="","",Method!$B$4*IF(BD40="",J40,BD40)+(1-Method!$B$4)*T40/($S40+$T40+$U40))</f>
        <v/>
      </c>
      <c r="X40" s="64">
        <f>IF(U40="","",Method!$B$4*IF(BE40="",K40,BE40)+(1-Method!$B$4)*U40/($S40+$T40+$U40))</f>
        <v/>
      </c>
      <c r="Y40" s="65">
        <f>IF(V40="","",V40*L40-1)</f>
        <v/>
      </c>
      <c r="Z40" s="65">
        <f>IF(W40="","",W40*M40-1)</f>
        <v/>
      </c>
      <c r="AA40" s="65">
        <f>IF(X40="","",X40*N40-1)</f>
        <v/>
      </c>
      <c r="AB40" s="66">
        <f>IF(Y40="","",MATCH(MAX(Y40:AA40),Y40:AA40,0))</f>
        <v/>
      </c>
      <c r="AC40" s="66">
        <f>IF(AB40="","",CHOOSE(AB40,"H","D","A"))</f>
        <v/>
      </c>
      <c r="AD40" s="67">
        <f>IF(AB40="","",CHOOSE(AB40,"1  "&amp;D40,"X  Draw","2  "&amp;E40))</f>
        <v/>
      </c>
      <c r="AE40" s="33">
        <f>IF(AB40="","",INDEX(L40:N40,1,AB40))</f>
        <v/>
      </c>
      <c r="AF40" s="65">
        <f>IF(AB40="","",INDEX(Y40:AA40,1,AB40))</f>
        <v/>
      </c>
      <c r="AG40" s="65">
        <f>IF(AB40="","",INDEX(V40:X40,1,AB40)-INDEX(S40:U40,1,AB40))</f>
        <v/>
      </c>
      <c r="AH40" s="68">
        <f>IF(AB40="","· enter odds",IF(OR(AF40&gt;Method!$B$87,IFERROR(INDEX(BC40:BE40,1,AB40)/INDEX(S40:U40,1,AB40),0)&gt;Method!$B$88),"PASS",IF(AND(AF40&gt;=Method!$B$7,AG40&gt;=Method!$B$8),"BET","PASS")))</f>
        <v/>
      </c>
      <c r="AI40" s="69">
        <f>IF(AH40&lt;&gt;"BET",0,ROUND(MIN(Method!$B$6,Method!$B$5*AL40)*100,1))</f>
        <v/>
      </c>
      <c r="AJ40" s="70">
        <f>IF(OR(AH40&lt;&gt;"BET",Method!$B$55=TRUE()),0,IF(AI40*Method!$B$10/100&lt;Method!$B$9,0,ROUND(AI40*Method!$B$10/100,0)))</f>
        <v/>
      </c>
      <c r="AK40" s="64">
        <f>IF(AB40="","",INDEX(V40:X40,1,AB40))</f>
        <v/>
      </c>
      <c r="AL40" s="64">
        <f>IF(AH40&lt;&gt;"BET","",MAX(0,(AK40*AE40-1)/(AE40-1)))</f>
        <v/>
      </c>
      <c r="AM40" s="66">
        <f>IF(AH40="BET",AF40+A40/1000000,"")</f>
        <v/>
      </c>
      <c r="AN40" s="71">
        <f>IF(Matchday!N42="","",Matchday!N42)</f>
        <v/>
      </c>
      <c r="AO40" s="63">
        <f>IF(Matchday!P42="","",Matchday!P42)</f>
        <v/>
      </c>
      <c r="AP40" s="72">
        <f>IF(Matchday!Q42="","",Matchday!Q42)</f>
        <v/>
      </c>
      <c r="AQ40" s="71">
        <f>IF(Matchday!R42="","",Matchday!R42)</f>
        <v/>
      </c>
      <c r="AR40" s="73">
        <f>IF(OR(AN40&lt;&gt;"Y",AQ40="",AV40=""),"",IF(AQ40="Void",0,IF(AQ40=AV40,ROUND(AP40*(AO40-1),2),-AP40)))</f>
        <v/>
      </c>
      <c r="AS40" s="73">
        <f>IF(AR40="","",SUM($AR$2:AR40))</f>
        <v/>
      </c>
      <c r="AT40" s="31">
        <f>IF(AB40="","Type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pauses.")),IF(AH40="BET",IF(AJ40=0,"Edge found but stake rounds under £"&amp;Method!$B$9&amp;" — skip",IF(AND(AE40&gt;=6,AG40&gt;=0.15),"🟡 WAIT — long-shot review: odds "&amp;TEXT(AE40,"0.00")&amp;" + edge "&amp;TEXT(AG40,"0.0%")&amp;" — verify sharp-book + team news + stake comfort before Placed=Y","Value found: EV "&amp;TEXT(AF40,"0.0%")&amp;", edge "&amp;TEXT(AG40,"0.0%"))),IF(OR(AF40&gt;Method!$B$87,IFERROR(INDEX(BC40:BE40,1,AB40)/INDEX(S40:U40,1,AB40),0)&gt;Method!$B$88),"🛑 Tail trap — auto-PASS · EV "&amp;TEXT(AF40,"0.0%")&amp;" (cap "&amp;TEXT(Method!$B$87,"0%")&amp;") · model/market "&amp;TEXT(IFERROR(INDEX(BC40:BE40,1,AB40)/INDEX(S40:U40,1,AB40),0),"0.0")&amp;"× (cap "&amp;TEXT(Method!$B$88,"0.0")&amp;"×)",IF(AF40&lt;Method!$B$7,"Price too short — EV "&amp;TEXT(AF40,"0.0%")&amp;" (need "&amp;TEXT(Method!$B$7,"0.0%")&amp;"+)","Model ≈ market — edge "&amp;TEXT(AG40,"0.0%")&amp;" (need "&amp;TEXT(Method!$B$8,"0.0%")&amp;"+)")))))</f>
        <v/>
      </c>
      <c r="AU40" s="31">
        <f>IF(AN40&lt;&gt;"Y","",IF(AH40="· enter odds","⚠ type the 3 odds (1/X/2) to grade this bet",IF(OR(AV40="",AO40="",AP40=""),"⚠ log backed pick, odds &amp; stake",IF(AZ40&lt;&gt;"BET","⚠ FUN BET — engine said pass · staked £"&amp;AP40&amp;" vs engine £"&amp;BA40,IF(AV40&lt;&gt;IF(AY40="",AC40,AY40),"⚠ backed "&amp;AV40&amp;" but engine pick was "&amp;IF(AY40="",AC40,AY40),IF(AP40&gt;BA40,"⚠ stake over engine £"&amp;BA40,IF(ABS(AO40-IFERROR(INDEX(L40:N40,1,MATCH(AV40,{"H","D","A"},0)),AE40))&gt;0.02,"⚠ odds moved — re-check value","✓ engine bet")))))))</f>
        <v/>
      </c>
      <c r="AV40" s="59">
        <f>IF(Matchday!O42="","",Matchday!O42)</f>
        <v/>
      </c>
      <c r="AW40" s="79" t="n"/>
      <c r="AX40" s="79" t="n"/>
      <c r="AY40" s="79" t="n"/>
      <c r="AZ40" s="79">
        <f>IF(AW40="",AH40,AW40)</f>
        <v/>
      </c>
      <c r="BA40" s="75">
        <f>IF(AX40&lt;&gt;"",AX40,IF(AH40&lt;&gt;"BET",0,IF(AI40*Method!$B$10/100&lt;Method!$B$9,0,ROUND(AI40*Method!$B$10/100,0))))</f>
        <v/>
      </c>
      <c r="BB40" s="77" t="n">
        <v>-38.08</v>
      </c>
      <c r="BC40" s="77" t="n">
        <v>0.5673068041603411</v>
      </c>
      <c r="BD40" s="77" t="n">
        <v>0.2779591062622032</v>
      </c>
      <c r="BE40" s="77" t="n">
        <v>0.1547340895774557</v>
      </c>
      <c r="BF40" s="14" t="inlineStr">
        <is>
          <t>Cape Verde team-wide: -18 · Uruguay team-wide: -20</t>
        </is>
      </c>
      <c r="BG40" s="77" t="n">
        <v>2</v>
      </c>
      <c r="BH40" s="77" t="inlineStr">
        <is>
          <t>very_hot_humid</t>
        </is>
      </c>
      <c r="BI40" s="77" t="n">
        <v>0</v>
      </c>
    </row>
    <row r="41" ht="15" customHeight="1" s="153">
      <c r="A41" s="59" t="n">
        <v>40</v>
      </c>
      <c r="B41" s="58" t="n">
        <v>46194</v>
      </c>
      <c r="C41" s="59" t="inlineStr">
        <is>
          <t>G</t>
        </is>
      </c>
      <c r="D41" s="66" t="inlineStr">
        <is>
          <t>New Zealand</t>
        </is>
      </c>
      <c r="E41" s="66" t="inlineStr">
        <is>
          <t>Egypt</t>
        </is>
      </c>
      <c r="F41" s="66" t="inlineStr">
        <is>
          <t>Vancouver</t>
        </is>
      </c>
      <c r="G41" s="61" t="n">
        <v>0.875</v>
      </c>
      <c r="H41" s="59" t="inlineStr">
        <is>
          <t>05:00 +1d</t>
        </is>
      </c>
      <c r="I41" s="64" t="n">
        <v>0.2720165181851689</v>
      </c>
      <c r="J41" s="64" t="n">
        <v>0.292515304136225</v>
      </c>
      <c r="K41" s="64" t="n">
        <v>0.4354681776786062</v>
      </c>
      <c r="L41" s="63">
        <f>IF(Matchday!E43="","",Matchday!E43)</f>
        <v/>
      </c>
      <c r="M41" s="63">
        <f>IF(Matchday!F43="","",Matchday!F43)</f>
        <v/>
      </c>
      <c r="N41" s="63">
        <f>IF(Matchday!G43="","",Matchday!G43)</f>
        <v/>
      </c>
      <c r="O41" s="64">
        <f>IF(L41="","",1/L41)</f>
        <v/>
      </c>
      <c r="P41" s="64">
        <f>IF(M41="","",1/M41)</f>
        <v/>
      </c>
      <c r="Q41" s="64">
        <f>IF(N41="","",1/N41)</f>
        <v/>
      </c>
      <c r="R41" s="64">
        <f>IF(COUNT(L41:N41)&lt;3,"",O41+P41+Q41)</f>
        <v/>
      </c>
      <c r="S41" s="64">
        <f t="array" ref="S41">IF($R41="","",IF(Method!$B$56="proportional",O41/$R41,IF(Method!$B$56="power",IFERROR(INDEX(power_devig($L41,$M41,$N41),1,1),O41/$R41),IFERROR(INDEX(shin($L41,$M41,$N41),1,1),O41/$R41))))</f>
        <v/>
      </c>
      <c r="T41" s="64">
        <f t="array" ref="T41">IF($R41="","",IF(Method!$B$56="proportional",P41/$R41,IF(Method!$B$56="power",IFERROR(INDEX(power_devig($L41,$M41,$N41),2,1),P41/$R41),IFERROR(INDEX(shin($L41,$M41,$N41),2,1),P41/$R41))))</f>
        <v/>
      </c>
      <c r="U41" s="64">
        <f t="array" ref="U41">IF($R41="","",IF(Method!$B$56="proportional",Q41/$R41,IF(Method!$B$56="power",IFERROR(INDEX(power_devig($L41,$M41,$N41),3,1),Q41/$R41),IFERROR(INDEX(shin($L41,$M41,$N41),3,1),Q41/$R41))))</f>
        <v/>
      </c>
      <c r="V41" s="64">
        <f>IF(S41="","",Method!$B$4*IF(BC41="",I41,BC41)+(1-Method!$B$4)*S41/($S41+$T41+$U41))</f>
        <v/>
      </c>
      <c r="W41" s="64">
        <f>IF(T41="","",Method!$B$4*IF(BD41="",J41,BD41)+(1-Method!$B$4)*T41/($S41+$T41+$U41))</f>
        <v/>
      </c>
      <c r="X41" s="64">
        <f>IF(U41="","",Method!$B$4*IF(BE41="",K41,BE41)+(1-Method!$B$4)*U41/($S41+$T41+$U41))</f>
        <v/>
      </c>
      <c r="Y41" s="65">
        <f>IF(V41="","",V41*L41-1)</f>
        <v/>
      </c>
      <c r="Z41" s="65">
        <f>IF(W41="","",W41*M41-1)</f>
        <v/>
      </c>
      <c r="AA41" s="65">
        <f>IF(X41="","",X41*N41-1)</f>
        <v/>
      </c>
      <c r="AB41" s="66">
        <f>IF(Y41="","",MATCH(MAX(Y41:AA41),Y41:AA41,0))</f>
        <v/>
      </c>
      <c r="AC41" s="66">
        <f>IF(AB41="","",CHOOSE(AB41,"H","D","A"))</f>
        <v/>
      </c>
      <c r="AD41" s="67">
        <f>IF(AB41="","",CHOOSE(AB41,"1  "&amp;D41,"X  Draw","2  "&amp;E41))</f>
        <v/>
      </c>
      <c r="AE41" s="33">
        <f>IF(AB41="","",INDEX(L41:N41,1,AB41))</f>
        <v/>
      </c>
      <c r="AF41" s="65">
        <f>IF(AB41="","",INDEX(Y41:AA41,1,AB41))</f>
        <v/>
      </c>
      <c r="AG41" s="65">
        <f>IF(AB41="","",INDEX(V41:X41,1,AB41)-INDEX(S41:U41,1,AB41))</f>
        <v/>
      </c>
      <c r="AH41" s="68">
        <f>IF(AB41="","· enter odds",IF(OR(AF41&gt;Method!$B$87,IFERROR(INDEX(BC41:BE41,1,AB41)/INDEX(S41:U41,1,AB41),0)&gt;Method!$B$88),"PASS",IF(AND(AF41&gt;=Method!$B$7,AG41&gt;=Method!$B$8),"BET","PASS")))</f>
        <v/>
      </c>
      <c r="AI41" s="69">
        <f>IF(AH41&lt;&gt;"BET",0,ROUND(MIN(Method!$B$6,Method!$B$5*AL41)*100,1))</f>
        <v/>
      </c>
      <c r="AJ41" s="70">
        <f>IF(OR(AH41&lt;&gt;"BET",Method!$B$55=TRUE()),0,IF(AI41*Method!$B$10/100&lt;Method!$B$9,0,ROUND(AI41*Method!$B$10/100,0)))</f>
        <v/>
      </c>
      <c r="AK41" s="64">
        <f>IF(AB41="","",INDEX(V41:X41,1,AB41))</f>
        <v/>
      </c>
      <c r="AL41" s="64">
        <f>IF(AH41&lt;&gt;"BET","",MAX(0,(AK41*AE41-1)/(AE41-1)))</f>
        <v/>
      </c>
      <c r="AM41" s="65">
        <f>IF(AH41="BET",AF41+A41/1000000,"")</f>
        <v/>
      </c>
      <c r="AN41" s="71">
        <f>IF(Matchday!N43="","",Matchday!N43)</f>
        <v/>
      </c>
      <c r="AO41" s="63">
        <f>IF(Matchday!P43="","",Matchday!P43)</f>
        <v/>
      </c>
      <c r="AP41" s="72">
        <f>IF(Matchday!Q43="","",Matchday!Q43)</f>
        <v/>
      </c>
      <c r="AQ41" s="71">
        <f>IF(Matchday!R43="","",Matchday!R43)</f>
        <v/>
      </c>
      <c r="AR41" s="73">
        <f>IF(OR(AN41&lt;&gt;"Y",AQ41="",AV41=""),"",IF(AQ41="Void",0,IF(AQ41=AV41,ROUND(AP41*(AO41-1),2),-AP41)))</f>
        <v/>
      </c>
      <c r="AS41" s="73">
        <f>IF(AR41="","",SUM($AR$2:AR41))</f>
        <v/>
      </c>
      <c r="AT41" s="31">
        <f>IF(AB41="","Type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pauses.")),IF(AH41="BET",IF(AJ41=0,"Edge found but stake rounds under £"&amp;Method!$B$9&amp;" — skip",IF(AND(AE41&gt;=6,AG41&gt;=0.15),"🟡 WAIT — long-shot review: odds "&amp;TEXT(AE41,"0.00")&amp;" + edge "&amp;TEXT(AG41,"0.0%")&amp;" — verify sharp-book + team news + stake comfort before Placed=Y","Value found: EV "&amp;TEXT(AF41,"0.0%")&amp;", edge "&amp;TEXT(AG41,"0.0%"))),IF(OR(AF41&gt;Method!$B$87,IFERROR(INDEX(BC41:BE41,1,AB41)/INDEX(S41:U41,1,AB41),0)&gt;Method!$B$88),"🛑 Tail trap — auto-PASS · EV "&amp;TEXT(AF41,"0.0%")&amp;" (cap "&amp;TEXT(Method!$B$87,"0%")&amp;") · model/market "&amp;TEXT(IFERROR(INDEX(BC41:BE41,1,AB41)/INDEX(S41:U41,1,AB41),0),"0.0")&amp;"× (cap "&amp;TEXT(Method!$B$88,"0.0")&amp;"×)",IF(AF41&lt;Method!$B$7,"Price too short — EV "&amp;TEXT(AF41,"0.0%")&amp;" (need "&amp;TEXT(Method!$B$7,"0.0%")&amp;"+)","Model ≈ market — edge "&amp;TEXT(AG41,"0.0%")&amp;" (need "&amp;TEXT(Method!$B$8,"0.0%")&amp;"+)")))))</f>
        <v/>
      </c>
      <c r="AU41" s="31">
        <f>IF(AN41&lt;&gt;"Y","",IF(AH41="· enter odds","⚠ type the 3 odds (1/X/2) to grade this bet",IF(OR(AV41="",AO41="",AP41=""),"⚠ log backed pick, odds &amp; stake",IF(AZ41&lt;&gt;"BET","⚠ FUN BET — engine said pass · staked £"&amp;AP41&amp;" vs engine £"&amp;BA41,IF(AV41&lt;&gt;IF(AY41="",AC41,AY41),"⚠ backed "&amp;AV41&amp;" but engine pick was "&amp;IF(AY41="",AC41,AY41),IF(AP41&gt;BA41,"⚠ stake over engine £"&amp;BA41,IF(ABS(AO41-IFERROR(INDEX(L41:N41,1,MATCH(AV41,{"H","D","A"},0)),AE41))&gt;0.02,"⚠ odds moved — re-check value","✓ engine bet")))))))</f>
        <v/>
      </c>
      <c r="AV41" s="59">
        <f>IF(Matchday!O43="","",Matchday!O43)</f>
        <v/>
      </c>
      <c r="AW41" s="79" t="n"/>
      <c r="AX41" s="79" t="n"/>
      <c r="AY41" s="79" t="n"/>
      <c r="AZ41" s="79">
        <f>IF(AW41="",AH41,AW41)</f>
        <v/>
      </c>
      <c r="BA41" s="75">
        <f>IF(AX41&lt;&gt;"",AX41,IF(AH41&lt;&gt;"BET",0,IF(AI41*Method!$B$10/100&lt;Method!$B$9,0,ROUND(AI41*Method!$B$10/100,0))))</f>
        <v/>
      </c>
      <c r="BB41" s="77" t="n">
        <v>-27.07</v>
      </c>
      <c r="BC41" s="77" t="n">
        <v>0.2740407276783411</v>
      </c>
      <c r="BD41" s="77" t="n">
        <v>0.273307554689185</v>
      </c>
      <c r="BE41" s="77" t="n">
        <v>0.4526517176324739</v>
      </c>
      <c r="BF41" s="14" t="inlineStr">
        <is>
          <t>Egypt team-wide: -23 · New Zealand team-wide: -4</t>
        </is>
      </c>
      <c r="BG41" s="77" t="n">
        <v>0</v>
      </c>
      <c r="BH41" s="77" t="inlineStr">
        <is>
          <t>mild_indoor</t>
        </is>
      </c>
      <c r="BI41" s="77" t="n">
        <v>1748.5</v>
      </c>
    </row>
    <row r="42" ht="15" customHeight="1" s="153">
      <c r="A42" s="59" t="n">
        <v>41</v>
      </c>
      <c r="B42" s="58" t="n">
        <v>46195</v>
      </c>
      <c r="C42" s="59" t="inlineStr">
        <is>
          <t>J</t>
        </is>
      </c>
      <c r="D42" s="66" t="inlineStr">
        <is>
          <t>Argentina</t>
        </is>
      </c>
      <c r="E42" s="66" t="inlineStr">
        <is>
          <t>Austria</t>
        </is>
      </c>
      <c r="F42" s="66" t="inlineStr">
        <is>
          <t>Arlington</t>
        </is>
      </c>
      <c r="G42" s="61" t="n">
        <v>0.5416666666666666</v>
      </c>
      <c r="H42" s="61" t="n">
        <v>0.7916666666666666</v>
      </c>
      <c r="I42" s="64" t="n">
        <v>0.7432976150739528</v>
      </c>
      <c r="J42" s="64" t="n">
        <v>0.1791311102759897</v>
      </c>
      <c r="K42" s="64" t="n">
        <v>0.07757127465005755</v>
      </c>
      <c r="L42" s="63">
        <f>IF(Matchday!E44="","",Matchday!E44)</f>
        <v/>
      </c>
      <c r="M42" s="63">
        <f>IF(Matchday!F44="","",Matchday!F44)</f>
        <v/>
      </c>
      <c r="N42" s="63">
        <f>IF(Matchday!G44="","",Matchday!G44)</f>
        <v/>
      </c>
      <c r="O42" s="64">
        <f>IF(L42="","",1/L42)</f>
        <v/>
      </c>
      <c r="P42" s="64">
        <f>IF(M42="","",1/M42)</f>
        <v/>
      </c>
      <c r="Q42" s="64">
        <f>IF(N42="","",1/N42)</f>
        <v/>
      </c>
      <c r="R42" s="64">
        <f>IF(COUNT(L42:N42)&lt;3,"",O42+P42+Q42)</f>
        <v/>
      </c>
      <c r="S42" s="64">
        <f t="array" ref="S42">IF($R42="","",IF(Method!$B$56="proportional",O42/$R42,IF(Method!$B$56="power",IFERROR(INDEX(power_devig($L42,$M42,$N42),1,1),O42/$R42),IFERROR(INDEX(shin($L42,$M42,$N42),1,1),O42/$R42))))</f>
        <v/>
      </c>
      <c r="T42" s="64">
        <f t="array" ref="T42">IF($R42="","",IF(Method!$B$56="proportional",P42/$R42,IF(Method!$B$56="power",IFERROR(INDEX(power_devig($L42,$M42,$N42),2,1),P42/$R42),IFERROR(INDEX(shin($L42,$M42,$N42),2,1),P42/$R42))))</f>
        <v/>
      </c>
      <c r="U42" s="64">
        <f t="array" ref="U42">IF($R42="","",IF(Method!$B$56="proportional",Q42/$R42,IF(Method!$B$56="power",IFERROR(INDEX(power_devig($L42,$M42,$N42),3,1),Q42/$R42),IFERROR(INDEX(shin($L42,$M42,$N42),3,1),Q42/$R42))))</f>
        <v/>
      </c>
      <c r="V42" s="64">
        <f>IF(S42="","",Method!$B$4*IF(BC42="",I42,BC42)+(1-Method!$B$4)*S42/($S42+$T42+$U42))</f>
        <v/>
      </c>
      <c r="W42" s="64">
        <f>IF(T42="","",Method!$B$4*IF(BD42="",J42,BD42)+(1-Method!$B$4)*T42/($S42+$T42+$U42))</f>
        <v/>
      </c>
      <c r="X42" s="64">
        <f>IF(U42="","",Method!$B$4*IF(BE42="",K42,BE42)+(1-Method!$B$4)*U42/($S42+$T42+$U42))</f>
        <v/>
      </c>
      <c r="Y42" s="65">
        <f>IF(V42="","",V42*L42-1)</f>
        <v/>
      </c>
      <c r="Z42" s="65">
        <f>IF(W42="","",W42*M42-1)</f>
        <v/>
      </c>
      <c r="AA42" s="65">
        <f>IF(X42="","",X42*N42-1)</f>
        <v/>
      </c>
      <c r="AB42" s="66">
        <f>IF(Y42="","",MATCH(MAX(Y42:AA42),Y42:AA42,0))</f>
        <v/>
      </c>
      <c r="AC42" s="66">
        <f>IF(AB42="","",CHOOSE(AB42,"H","D","A"))</f>
        <v/>
      </c>
      <c r="AD42" s="67">
        <f>IF(AB42="","",CHOOSE(AB42,"1  "&amp;D42,"X  Draw","2  "&amp;E42))</f>
        <v/>
      </c>
      <c r="AE42" s="33">
        <f>IF(AB42="","",INDEX(L42:N42,1,AB42))</f>
        <v/>
      </c>
      <c r="AF42" s="65">
        <f>IF(AB42="","",INDEX(Y42:AA42,1,AB42))</f>
        <v/>
      </c>
      <c r="AG42" s="65">
        <f>IF(AB42="","",INDEX(V42:X42,1,AB42)-INDEX(S42:U42,1,AB42))</f>
        <v/>
      </c>
      <c r="AH42" s="68">
        <f>IF(AB42="","· enter odds",IF(OR(AF42&gt;Method!$B$87,IFERROR(INDEX(BC42:BE42,1,AB42)/INDEX(S42:U42,1,AB42),0)&gt;Method!$B$88),"PASS",IF(AND(AF42&gt;=Method!$B$7,AG42&gt;=Method!$B$8),"BET","PASS")))</f>
        <v/>
      </c>
      <c r="AI42" s="69">
        <f>IF(AH42&lt;&gt;"BET",0,ROUND(MIN(Method!$B$6,Method!$B$5*AL42)*100,1))</f>
        <v/>
      </c>
      <c r="AJ42" s="70">
        <f>IF(OR(AH42&lt;&gt;"BET",Method!$B$55=TRUE()),0,IF(AI42*Method!$B$10/100&lt;Method!$B$9,0,ROUND(AI42*Method!$B$10/100,0)))</f>
        <v/>
      </c>
      <c r="AK42" s="64">
        <f>IF(AB42="","",INDEX(V42:X42,1,AB42))</f>
        <v/>
      </c>
      <c r="AL42" s="64">
        <f>IF(AH42&lt;&gt;"BET","",MAX(0,(AK42*AE42-1)/(AE42-1)))</f>
        <v/>
      </c>
      <c r="AM42" s="66">
        <f>IF(AH42="BET",AF42+A42/1000000,"")</f>
        <v/>
      </c>
      <c r="AN42" s="71">
        <f>IF(Matchday!N44="","",Matchday!N44)</f>
        <v/>
      </c>
      <c r="AO42" s="63">
        <f>IF(Matchday!P44="","",Matchday!P44)</f>
        <v/>
      </c>
      <c r="AP42" s="72">
        <f>IF(Matchday!Q44="","",Matchday!Q44)</f>
        <v/>
      </c>
      <c r="AQ42" s="71">
        <f>IF(Matchday!R44="","",Matchday!R44)</f>
        <v/>
      </c>
      <c r="AR42" s="73">
        <f>IF(OR(AN42&lt;&gt;"Y",AQ42="",AV42=""),"",IF(AQ42="Void",0,IF(AQ42=AV42,ROUND(AP42*(AO42-1),2),-AP42)))</f>
        <v/>
      </c>
      <c r="AS42" s="73">
        <f>IF(AR42="","",SUM($AR$2:AR42))</f>
        <v/>
      </c>
      <c r="AT42" s="31">
        <f>IF(AB42="","Type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pauses.")),IF(AH42="BET",IF(AJ42=0,"Edge found but stake rounds under £"&amp;Method!$B$9&amp;" — skip",IF(AND(AE42&gt;=6,AG42&gt;=0.15),"🟡 WAIT — long-shot review: odds "&amp;TEXT(AE42,"0.00")&amp;" + edge "&amp;TEXT(AG42,"0.0%")&amp;" — verify sharp-book + team news + stake comfort before Placed=Y","Value found: EV "&amp;TEXT(AF42,"0.0%")&amp;", edge "&amp;TEXT(AG42,"0.0%"))),IF(OR(AF42&gt;Method!$B$87,IFERROR(INDEX(BC42:BE42,1,AB42)/INDEX(S42:U42,1,AB42),0)&gt;Method!$B$88),"🛑 Tail trap — auto-PASS · EV "&amp;TEXT(AF42,"0.0%")&amp;" (cap "&amp;TEXT(Method!$B$87,"0%")&amp;") · model/market "&amp;TEXT(IFERROR(INDEX(BC42:BE42,1,AB42)/INDEX(S42:U42,1,AB42),0),"0.0")&amp;"× (cap "&amp;TEXT(Method!$B$88,"0.0")&amp;"×)",IF(AF42&lt;Method!$B$7,"Price too short — EV "&amp;TEXT(AF42,"0.0%")&amp;" (need "&amp;TEXT(Method!$B$7,"0.0%")&amp;"+)","Model ≈ market — edge "&amp;TEXT(AG42,"0.0%")&amp;" (need "&amp;TEXT(Method!$B$8,"0.0%")&amp;"+)")))))</f>
        <v/>
      </c>
      <c r="AU42" s="31">
        <f>IF(AN42&lt;&gt;"Y","",IF(AH42="· enter odds","⚠ type the 3 odds (1/X/2) to grade this bet",IF(OR(AV42="",AO42="",AP42=""),"⚠ log backed pick, odds &amp; stake",IF(AZ42&lt;&gt;"BET","⚠ FUN BET — engine said pass · staked £"&amp;AP42&amp;" vs engine £"&amp;BA42,IF(AV42&lt;&gt;IF(AY42="",AC42,AY42),"⚠ backed "&amp;AV42&amp;" but engine pick was "&amp;IF(AY42="",AC42,AY42),IF(AP42&gt;BA42,"⚠ stake over engine £"&amp;BA42,IF(ABS(AO42-IFERROR(INDEX(L42:N42,1,MATCH(AV42,{"H","D","A"},0)),AE42))&gt;0.02,"⚠ odds moved — re-check value","✓ engine bet")))))))</f>
        <v/>
      </c>
      <c r="AV42" s="59">
        <f>IF(Matchday!O44="","",Matchday!O44)</f>
        <v/>
      </c>
      <c r="AW42" s="79" t="n"/>
      <c r="AX42" s="79" t="n"/>
      <c r="AY42" s="79" t="n"/>
      <c r="AZ42" s="79">
        <f>IF(AW42="",AH42,AW42)</f>
        <v/>
      </c>
      <c r="BA42" s="75">
        <f>IF(AX42&lt;&gt;"",AX42,IF(AH42&lt;&gt;"BET",0,IF(AI42*Method!$B$10/100&lt;Method!$B$9,0,ROUND(AI42*Method!$B$10/100,0))))</f>
        <v/>
      </c>
      <c r="BB42" s="77" t="n">
        <v>-0.1199999999999992</v>
      </c>
      <c r="BC42" s="77" t="n">
        <v>0.7163777692784149</v>
      </c>
      <c r="BD42" s="77" t="n">
        <v>0.2040423686456794</v>
      </c>
      <c r="BE42" s="77" t="n">
        <v>0.07957986207590566</v>
      </c>
      <c r="BF42" s="77" t="inlineStr">
        <is>
          <t>Argentina team-wide: +9 · Austria team-wide: -9</t>
        </is>
      </c>
      <c r="BG42" s="77" t="n">
        <v>175</v>
      </c>
      <c r="BH42" s="77" t="inlineStr">
        <is>
          <t>very_hot_indoor</t>
        </is>
      </c>
      <c r="BI42" s="77" t="n">
        <v>739</v>
      </c>
    </row>
    <row r="43" ht="15" customHeight="1" s="153">
      <c r="A43" s="59" t="n">
        <v>42</v>
      </c>
      <c r="B43" s="58" t="n">
        <v>46195</v>
      </c>
      <c r="C43" s="59" t="inlineStr">
        <is>
          <t>I</t>
        </is>
      </c>
      <c r="D43" s="66" t="inlineStr">
        <is>
          <t>France</t>
        </is>
      </c>
      <c r="E43" s="66" t="inlineStr">
        <is>
          <t>Iraq</t>
        </is>
      </c>
      <c r="F43" s="66" t="inlineStr">
        <is>
          <t>Philadelphia</t>
        </is>
      </c>
      <c r="G43" s="61" t="n">
        <v>0.7083333333333334</v>
      </c>
      <c r="H43" s="61" t="n">
        <v>0.9166666666666666</v>
      </c>
      <c r="I43" s="64" t="n">
        <v>0.7388935069573656</v>
      </c>
      <c r="J43" s="64" t="n">
        <v>0.1718089338448678</v>
      </c>
      <c r="K43" s="64" t="n">
        <v>0.08929755919776672</v>
      </c>
      <c r="L43" s="63">
        <f>IF(Matchday!E45="","",Matchday!E45)</f>
        <v/>
      </c>
      <c r="M43" s="63">
        <f>IF(Matchday!F45="","",Matchday!F45)</f>
        <v/>
      </c>
      <c r="N43" s="63">
        <f>IF(Matchday!G45="","",Matchday!G45)</f>
        <v/>
      </c>
      <c r="O43" s="64">
        <f>IF(L43="","",1/L43)</f>
        <v/>
      </c>
      <c r="P43" s="64">
        <f>IF(M43="","",1/M43)</f>
        <v/>
      </c>
      <c r="Q43" s="64">
        <f>IF(N43="","",1/N43)</f>
        <v/>
      </c>
      <c r="R43" s="64">
        <f>IF(COUNT(L43:N43)&lt;3,"",O43+P43+Q43)</f>
        <v/>
      </c>
      <c r="S43" s="64">
        <f t="array" ref="S43">IF($R43="","",IF(Method!$B$56="proportional",O43/$R43,IF(Method!$B$56="power",IFERROR(INDEX(power_devig($L43,$M43,$N43),1,1),O43/$R43),IFERROR(INDEX(shin($L43,$M43,$N43),1,1),O43/$R43))))</f>
        <v/>
      </c>
      <c r="T43" s="64">
        <f t="array" ref="T43">IF($R43="","",IF(Method!$B$56="proportional",P43/$R43,IF(Method!$B$56="power",IFERROR(INDEX(power_devig($L43,$M43,$N43),2,1),P43/$R43),IFERROR(INDEX(shin($L43,$M43,$N43),2,1),P43/$R43))))</f>
        <v/>
      </c>
      <c r="U43" s="64">
        <f t="array" ref="U43">IF($R43="","",IF(Method!$B$56="proportional",Q43/$R43,IF(Method!$B$56="power",IFERROR(INDEX(power_devig($L43,$M43,$N43),3,1),Q43/$R43),IFERROR(INDEX(shin($L43,$M43,$N43),3,1),Q43/$R43))))</f>
        <v/>
      </c>
      <c r="V43" s="64">
        <f>IF(S43="","",Method!$B$4*IF(BC43="",I43,BC43)+(1-Method!$B$4)*S43/($S43+$T43+$U43))</f>
        <v/>
      </c>
      <c r="W43" s="64">
        <f>IF(T43="","",Method!$B$4*IF(BD43="",J43,BD43)+(1-Method!$B$4)*T43/($S43+$T43+$U43))</f>
        <v/>
      </c>
      <c r="X43" s="64">
        <f>IF(U43="","",Method!$B$4*IF(BE43="",K43,BE43)+(1-Method!$B$4)*U43/($S43+$T43+$U43))</f>
        <v/>
      </c>
      <c r="Y43" s="65">
        <f>IF(V43="","",V43*L43-1)</f>
        <v/>
      </c>
      <c r="Z43" s="65">
        <f>IF(W43="","",W43*M43-1)</f>
        <v/>
      </c>
      <c r="AA43" s="65">
        <f>IF(X43="","",X43*N43-1)</f>
        <v/>
      </c>
      <c r="AB43" s="66">
        <f>IF(Y43="","",MATCH(MAX(Y43:AA43),Y43:AA43,0))</f>
        <v/>
      </c>
      <c r="AC43" s="66">
        <f>IF(AB43="","",CHOOSE(AB43,"H","D","A"))</f>
        <v/>
      </c>
      <c r="AD43" s="67">
        <f>IF(AB43="","",CHOOSE(AB43,"1  "&amp;D43,"X  Draw","2  "&amp;E43))</f>
        <v/>
      </c>
      <c r="AE43" s="33">
        <f>IF(AB43="","",INDEX(L43:N43,1,AB43))</f>
        <v/>
      </c>
      <c r="AF43" s="65">
        <f>IF(AB43="","",INDEX(Y43:AA43,1,AB43))</f>
        <v/>
      </c>
      <c r="AG43" s="65">
        <f>IF(AB43="","",INDEX(V43:X43,1,AB43)-INDEX(S43:U43,1,AB43))</f>
        <v/>
      </c>
      <c r="AH43" s="68">
        <f>IF(AB43="","· enter odds",IF(OR(AF43&gt;Method!$B$87,IFERROR(INDEX(BC43:BE43,1,AB43)/INDEX(S43:U43,1,AB43),0)&gt;Method!$B$88),"PASS",IF(AND(AF43&gt;=Method!$B$7,AG43&gt;=Method!$B$8),"BET","PASS")))</f>
        <v/>
      </c>
      <c r="AI43" s="69">
        <f>IF(AH43&lt;&gt;"BET",0,ROUND(MIN(Method!$B$6,Method!$B$5*AL43)*100,1))</f>
        <v/>
      </c>
      <c r="AJ43" s="70">
        <f>IF(OR(AH43&lt;&gt;"BET",Method!$B$55=TRUE()),0,IF(AI43*Method!$B$10/100&lt;Method!$B$9,0,ROUND(AI43*Method!$B$10/100,0)))</f>
        <v/>
      </c>
      <c r="AK43" s="64">
        <f>IF(AB43="","",INDEX(V43:X43,1,AB43))</f>
        <v/>
      </c>
      <c r="AL43" s="64">
        <f>IF(AH43&lt;&gt;"BET","",MAX(0,(AK43*AE43-1)/(AE43-1)))</f>
        <v/>
      </c>
      <c r="AM43" s="66">
        <f>IF(AH43="BET",AF43+A43/1000000,"")</f>
        <v/>
      </c>
      <c r="AN43" s="71">
        <f>IF(Matchday!N45="","",Matchday!N45)</f>
        <v/>
      </c>
      <c r="AO43" s="63">
        <f>IF(Matchday!P45="","",Matchday!P45)</f>
        <v/>
      </c>
      <c r="AP43" s="72">
        <f>IF(Matchday!Q45="","",Matchday!Q45)</f>
        <v/>
      </c>
      <c r="AQ43" s="71">
        <f>IF(Matchday!R45="","",Matchday!R45)</f>
        <v/>
      </c>
      <c r="AR43" s="73">
        <f>IF(OR(AN43&lt;&gt;"Y",AQ43="",AV43=""),"",IF(AQ43="Void",0,IF(AQ43=AV43,ROUND(AP43*(AO43-1),2),-AP43)))</f>
        <v/>
      </c>
      <c r="AS43" s="73">
        <f>IF(AR43="","",SUM($AR$2:AR43))</f>
        <v/>
      </c>
      <c r="AT43" s="31">
        <f>IF(AB43="","Type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pauses.")),IF(AH43="BET",IF(AJ43=0,"Edge found but stake rounds under £"&amp;Method!$B$9&amp;" — skip",IF(AND(AE43&gt;=6,AG43&gt;=0.15),"🟡 WAIT — long-shot review: odds "&amp;TEXT(AE43,"0.00")&amp;" + edge "&amp;TEXT(AG43,"0.0%")&amp;" — verify sharp-book + team news + stake comfort before Placed=Y","Value found: EV "&amp;TEXT(AF43,"0.0%")&amp;", edge "&amp;TEXT(AG43,"0.0%"))),IF(OR(AF43&gt;Method!$B$87,IFERROR(INDEX(BC43:BE43,1,AB43)/INDEX(S43:U43,1,AB43),0)&gt;Method!$B$88),"🛑 Tail trap — auto-PASS · EV "&amp;TEXT(AF43,"0.0%")&amp;" (cap "&amp;TEXT(Method!$B$87,"0%")&amp;") · model/market "&amp;TEXT(IFERROR(INDEX(BC43:BE43,1,AB43)/INDEX(S43:U43,1,AB43),0),"0.0")&amp;"× (cap "&amp;TEXT(Method!$B$88,"0.0")&amp;"×)",IF(AF43&lt;Method!$B$7,"Price too short — EV "&amp;TEXT(AF43,"0.0%")&amp;" (need "&amp;TEXT(Method!$B$7,"0.0%")&amp;"+)","Model ≈ market — edge "&amp;TEXT(AG43,"0.0%")&amp;" (need "&amp;TEXT(Method!$B$8,"0.0%")&amp;"+)")))))</f>
        <v/>
      </c>
      <c r="AU43" s="31">
        <f>IF(AN43&lt;&gt;"Y","",IF(AH43="· enter odds","⚠ type the 3 odds (1/X/2) to grade this bet",IF(OR(AV43="",AO43="",AP43=""),"⚠ log backed pick, odds &amp; stake",IF(AZ43&lt;&gt;"BET","⚠ FUN BET — engine said pass · staked £"&amp;AP43&amp;" vs engine £"&amp;BA43,IF(AV43&lt;&gt;IF(AY43="",AC43,AY43),"⚠ backed "&amp;AV43&amp;" but engine pick was "&amp;IF(AY43="",AC43,AY43),IF(AP43&gt;BA43,"⚠ stake over engine £"&amp;BA43,IF(ABS(AO43-IFERROR(INDEX(L43:N43,1,MATCH(AV43,{"H","D","A"},0)),AE43))&gt;0.02,"⚠ odds moved — re-check value","✓ engine bet")))))))</f>
        <v/>
      </c>
      <c r="AV43" s="59">
        <f>IF(Matchday!O45="","",Matchday!O45)</f>
        <v/>
      </c>
      <c r="AW43" s="79" t="n"/>
      <c r="AX43" s="79" t="n"/>
      <c r="AY43" s="79" t="n"/>
      <c r="AZ43" s="79">
        <f>IF(AW43="",AH43,AW43)</f>
        <v/>
      </c>
      <c r="BA43" s="75">
        <f>IF(AX43&lt;&gt;"",AX43,IF(AH43&lt;&gt;"BET",0,IF(AI43*Method!$B$10/100&lt;Method!$B$9,0,ROUND(AI43*Method!$B$10/100,0))))</f>
        <v/>
      </c>
      <c r="BB43" s="77" t="n">
        <v>-0.9199999999999982</v>
      </c>
      <c r="BC43" s="77" t="n">
        <v>0.7122060698004019</v>
      </c>
      <c r="BD43" s="77" t="n">
        <v>0.1956086680705124</v>
      </c>
      <c r="BE43" s="77" t="n">
        <v>0.09218526212908559</v>
      </c>
      <c r="BF43" s="14" t="inlineStr">
        <is>
          <t>France team-wide: +16 · France weather: -4 · Iraq team-wide: -12 · Iraq weather: -1</t>
        </is>
      </c>
      <c r="BG43" s="77" t="n">
        <v>12</v>
      </c>
      <c r="BH43" s="77" t="inlineStr">
        <is>
          <t>warm_humid</t>
        </is>
      </c>
      <c r="BI43" s="77" t="n">
        <v>137.4</v>
      </c>
    </row>
    <row r="44" ht="15" customHeight="1" s="153">
      <c r="A44" s="59" t="n">
        <v>43</v>
      </c>
      <c r="B44" s="58" t="n">
        <v>46195</v>
      </c>
      <c r="C44" s="59" t="inlineStr">
        <is>
          <t>I</t>
        </is>
      </c>
      <c r="D44" s="66" t="inlineStr">
        <is>
          <t>Norway</t>
        </is>
      </c>
      <c r="E44" s="66" t="inlineStr">
        <is>
          <t>Senegal</t>
        </is>
      </c>
      <c r="F44" s="66" t="inlineStr">
        <is>
          <t>East Rutherford</t>
        </is>
      </c>
      <c r="G44" s="61" t="n">
        <v>0.8333333333333334</v>
      </c>
      <c r="H44" s="59" t="inlineStr">
        <is>
          <t>01:00 +1d</t>
        </is>
      </c>
      <c r="I44" s="64" t="n">
        <v>0.4954115332071723</v>
      </c>
      <c r="J44" s="64" t="n">
        <v>0.2741229643132815</v>
      </c>
      <c r="K44" s="64" t="n">
        <v>0.2304655024795464</v>
      </c>
      <c r="L44" s="63">
        <f>IF(Matchday!E46="","",Matchday!E46)</f>
        <v/>
      </c>
      <c r="M44" s="63">
        <f>IF(Matchday!F46="","",Matchday!F46)</f>
        <v/>
      </c>
      <c r="N44" s="63">
        <f>IF(Matchday!G46="","",Matchday!G46)</f>
        <v/>
      </c>
      <c r="O44" s="64">
        <f>IF(L44="","",1/L44)</f>
        <v/>
      </c>
      <c r="P44" s="64">
        <f>IF(M44="","",1/M44)</f>
        <v/>
      </c>
      <c r="Q44" s="64">
        <f>IF(N44="","",1/N44)</f>
        <v/>
      </c>
      <c r="R44" s="64">
        <f>IF(COUNT(L44:N44)&lt;3,"",O44+P44+Q44)</f>
        <v/>
      </c>
      <c r="S44" s="64">
        <f t="array" ref="S44">IF($R44="","",IF(Method!$B$56="proportional",O44/$R44,IF(Method!$B$56="power",IFERROR(INDEX(power_devig($L44,$M44,$N44),1,1),O44/$R44),IFERROR(INDEX(shin($L44,$M44,$N44),1,1),O44/$R44))))</f>
        <v/>
      </c>
      <c r="T44" s="64">
        <f t="array" ref="T44">IF($R44="","",IF(Method!$B$56="proportional",P44/$R44,IF(Method!$B$56="power",IFERROR(INDEX(power_devig($L44,$M44,$N44),2,1),P44/$R44),IFERROR(INDEX(shin($L44,$M44,$N44),2,1),P44/$R44))))</f>
        <v/>
      </c>
      <c r="U44" s="64">
        <f t="array" ref="U44">IF($R44="","",IF(Method!$B$56="proportional",Q44/$R44,IF(Method!$B$56="power",IFERROR(INDEX(power_devig($L44,$M44,$N44),3,1),Q44/$R44),IFERROR(INDEX(shin($L44,$M44,$N44),3,1),Q44/$R44))))</f>
        <v/>
      </c>
      <c r="V44" s="64">
        <f>IF(S44="","",Method!$B$4*IF(BC44="",I44,BC44)+(1-Method!$B$4)*S44/($S44+$T44+$U44))</f>
        <v/>
      </c>
      <c r="W44" s="64">
        <f>IF(T44="","",Method!$B$4*IF(BD44="",J44,BD44)+(1-Method!$B$4)*T44/($S44+$T44+$U44))</f>
        <v/>
      </c>
      <c r="X44" s="64">
        <f>IF(U44="","",Method!$B$4*IF(BE44="",K44,BE44)+(1-Method!$B$4)*U44/($S44+$T44+$U44))</f>
        <v/>
      </c>
      <c r="Y44" s="65">
        <f>IF(V44="","",V44*L44-1)</f>
        <v/>
      </c>
      <c r="Z44" s="65">
        <f>IF(W44="","",W44*M44-1)</f>
        <v/>
      </c>
      <c r="AA44" s="65">
        <f>IF(X44="","",X44*N44-1)</f>
        <v/>
      </c>
      <c r="AB44" s="66">
        <f>IF(Y44="","",MATCH(MAX(Y44:AA44),Y44:AA44,0))</f>
        <v/>
      </c>
      <c r="AC44" s="66">
        <f>IF(AB44="","",CHOOSE(AB44,"H","D","A"))</f>
        <v/>
      </c>
      <c r="AD44" s="67">
        <f>IF(AB44="","",CHOOSE(AB44,"1  "&amp;D44,"X  Draw","2  "&amp;E44))</f>
        <v/>
      </c>
      <c r="AE44" s="33">
        <f>IF(AB44="","",INDEX(L44:N44,1,AB44))</f>
        <v/>
      </c>
      <c r="AF44" s="65">
        <f>IF(AB44="","",INDEX(Y44:AA44,1,AB44))</f>
        <v/>
      </c>
      <c r="AG44" s="65">
        <f>IF(AB44="","",INDEX(V44:X44,1,AB44)-INDEX(S44:U44,1,AB44))</f>
        <v/>
      </c>
      <c r="AH44" s="68">
        <f>IF(AB44="","· enter odds",IF(OR(AF44&gt;Method!$B$87,IFERROR(INDEX(BC44:BE44,1,AB44)/INDEX(S44:U44,1,AB44),0)&gt;Method!$B$88),"PASS",IF(AND(AF44&gt;=Method!$B$7,AG44&gt;=Method!$B$8),"BET","PASS")))</f>
        <v/>
      </c>
      <c r="AI44" s="69">
        <f>IF(AH44&lt;&gt;"BET",0,ROUND(MIN(Method!$B$6,Method!$B$5*AL44)*100,1))</f>
        <v/>
      </c>
      <c r="AJ44" s="70">
        <f>IF(OR(AH44&lt;&gt;"BET",Method!$B$55=TRUE()),0,IF(AI44*Method!$B$10/100&lt;Method!$B$9,0,ROUND(AI44*Method!$B$10/100,0)))</f>
        <v/>
      </c>
      <c r="AK44" s="64">
        <f>IF(AB44="","",INDEX(V44:X44,1,AB44))</f>
        <v/>
      </c>
      <c r="AL44" s="64">
        <f>IF(AH44&lt;&gt;"BET","",MAX(0,(AK44*AE44-1)/(AE44-1)))</f>
        <v/>
      </c>
      <c r="AM44" s="65">
        <f>IF(AH44="BET",AF44+A44/1000000,"")</f>
        <v/>
      </c>
      <c r="AN44" s="71">
        <f>IF(Matchday!N46="","",Matchday!N46)</f>
        <v/>
      </c>
      <c r="AO44" s="63">
        <f>IF(Matchday!P46="","",Matchday!P46)</f>
        <v/>
      </c>
      <c r="AP44" s="72">
        <f>IF(Matchday!Q46="","",Matchday!Q46)</f>
        <v/>
      </c>
      <c r="AQ44" s="71">
        <f>IF(Matchday!R46="","",Matchday!R46)</f>
        <v/>
      </c>
      <c r="AR44" s="73">
        <f>IF(OR(AN44&lt;&gt;"Y",AQ44="",AV44=""),"",IF(AQ44="Void",0,IF(AQ44=AV44,ROUND(AP44*(AO44-1),2),-AP44)))</f>
        <v/>
      </c>
      <c r="AS44" s="73">
        <f>IF(AR44="","",SUM($AR$2:AR44))</f>
        <v/>
      </c>
      <c r="AT44" s="31">
        <f>IF(AB44="","Type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pauses.")),IF(AH44="BET",IF(AJ44=0,"Edge found but stake rounds under £"&amp;Method!$B$9&amp;" — skip",IF(AND(AE44&gt;=6,AG44&gt;=0.15),"🟡 WAIT — long-shot review: odds "&amp;TEXT(AE44,"0.00")&amp;" + edge "&amp;TEXT(AG44,"0.0%")&amp;" — verify sharp-book + team news + stake comfort before Placed=Y","Value found: EV "&amp;TEXT(AF44,"0.0%")&amp;", edge "&amp;TEXT(AG44,"0.0%"))),IF(OR(AF44&gt;Method!$B$87,IFERROR(INDEX(BC44:BE44,1,AB44)/INDEX(S44:U44,1,AB44),0)&gt;Method!$B$88),"🛑 Tail trap — auto-PASS · EV "&amp;TEXT(AF44,"0.0%")&amp;" (cap "&amp;TEXT(Method!$B$87,"0%")&amp;") · model/market "&amp;TEXT(IFERROR(INDEX(BC44:BE44,1,AB44)/INDEX(S44:U44,1,AB44),0),"0.0")&amp;"× (cap "&amp;TEXT(Method!$B$88,"0.0")&amp;"×)",IF(AF44&lt;Method!$B$7,"Price too short — EV "&amp;TEXT(AF44,"0.0%")&amp;" (need "&amp;TEXT(Method!$B$7,"0.0%")&amp;"+)","Model ≈ market — edge "&amp;TEXT(AG44,"0.0%")&amp;" (need "&amp;TEXT(Method!$B$8,"0.0%")&amp;"+)")))))</f>
        <v/>
      </c>
      <c r="AU44" s="31">
        <f>IF(AN44&lt;&gt;"Y","",IF(AH44="· enter odds","⚠ type the 3 odds (1/X/2) to grade this bet",IF(OR(AV44="",AO44="",AP44=""),"⚠ log backed pick, odds &amp; stake",IF(AZ44&lt;&gt;"BET","⚠ FUN BET — engine said pass · staked £"&amp;AP44&amp;" vs engine £"&amp;BA44,IF(AV44&lt;&gt;IF(AY44="",AC44,AY44),"⚠ backed "&amp;AV44&amp;" but engine pick was "&amp;IF(AY44="",AC44,AY44),IF(AP44&gt;BA44,"⚠ stake over engine £"&amp;BA44,IF(ABS(AO44-IFERROR(INDEX(L44:N44,1,MATCH(AV44,{"H","D","A"},0)),AE44))&gt;0.02,"⚠ odds moved — re-check value","✓ engine bet")))))))</f>
        <v/>
      </c>
      <c r="AV44" s="59">
        <f>IF(Matchday!O46="","",Matchday!O46)</f>
        <v/>
      </c>
      <c r="AW44" s="79" t="n"/>
      <c r="AX44" s="79" t="n"/>
      <c r="AY44" s="79" t="n"/>
      <c r="AZ44" s="79">
        <f>IF(AW44="",AH44,AW44)</f>
        <v/>
      </c>
      <c r="BA44" s="75">
        <f>IF(AX44&lt;&gt;"",AX44,IF(AH44&lt;&gt;"BET",0,IF(AI44*Method!$B$10/100&lt;Method!$B$9,0,ROUND(AI44*Method!$B$10/100,0))))</f>
        <v/>
      </c>
      <c r="BB44" s="77" t="n">
        <v>-16.33</v>
      </c>
      <c r="BC44" s="77" t="n">
        <v>0.4877947112855618</v>
      </c>
      <c r="BD44" s="77" t="n">
        <v>0.2724121101535112</v>
      </c>
      <c r="BE44" s="77" t="n">
        <v>0.2397931785609269</v>
      </c>
      <c r="BF44" s="14" t="inlineStr">
        <is>
          <t>Norway team-wide: -1 · Norway weather: -4 · Senegal team-wide: -12</t>
        </is>
      </c>
      <c r="BG44" s="77" t="n">
        <v>7</v>
      </c>
      <c r="BH44" s="77" t="inlineStr">
        <is>
          <t>warm_humid</t>
        </is>
      </c>
      <c r="BI44" s="77" t="n">
        <v>273.9</v>
      </c>
    </row>
    <row r="45" ht="15" customHeight="1" s="153">
      <c r="A45" s="59" t="n">
        <v>44</v>
      </c>
      <c r="B45" s="58" t="n">
        <v>46195</v>
      </c>
      <c r="C45" s="59" t="inlineStr">
        <is>
          <t>J</t>
        </is>
      </c>
      <c r="D45" s="66" t="inlineStr">
        <is>
          <t>Jordan</t>
        </is>
      </c>
      <c r="E45" s="66" t="inlineStr">
        <is>
          <t>Algeria</t>
        </is>
      </c>
      <c r="F45" s="66" t="inlineStr">
        <is>
          <t>Santa Clara</t>
        </is>
      </c>
      <c r="G45" s="61" t="n">
        <v>0.9583333333333334</v>
      </c>
      <c r="H45" s="59" t="inlineStr">
        <is>
          <t>07:00 +1d</t>
        </is>
      </c>
      <c r="I45" s="64" t="n">
        <v>0.2719501657154189</v>
      </c>
      <c r="J45" s="64" t="n">
        <v>0.2802704188706502</v>
      </c>
      <c r="K45" s="64" t="n">
        <v>0.4477794154139311</v>
      </c>
      <c r="L45" s="63">
        <f>IF(Matchday!E47="","",Matchday!E47)</f>
        <v/>
      </c>
      <c r="M45" s="63">
        <f>IF(Matchday!F47="","",Matchday!F47)</f>
        <v/>
      </c>
      <c r="N45" s="63">
        <f>IF(Matchday!G47="","",Matchday!G47)</f>
        <v/>
      </c>
      <c r="O45" s="64">
        <f>IF(L45="","",1/L45)</f>
        <v/>
      </c>
      <c r="P45" s="64">
        <f>IF(M45="","",1/M45)</f>
        <v/>
      </c>
      <c r="Q45" s="64">
        <f>IF(N45="","",1/N45)</f>
        <v/>
      </c>
      <c r="R45" s="64">
        <f>IF(COUNT(L45:N45)&lt;3,"",O45+P45+Q45)</f>
        <v/>
      </c>
      <c r="S45" s="64">
        <f t="array" ref="S45">IF($R45="","",IF(Method!$B$56="proportional",O45/$R45,IF(Method!$B$56="power",IFERROR(INDEX(power_devig($L45,$M45,$N45),1,1),O45/$R45),IFERROR(INDEX(shin($L45,$M45,$N45),1,1),O45/$R45))))</f>
        <v/>
      </c>
      <c r="T45" s="64">
        <f t="array" ref="T45">IF($R45="","",IF(Method!$B$56="proportional",P45/$R45,IF(Method!$B$56="power",IFERROR(INDEX(power_devig($L45,$M45,$N45),2,1),P45/$R45),IFERROR(INDEX(shin($L45,$M45,$N45),2,1),P45/$R45))))</f>
        <v/>
      </c>
      <c r="U45" s="64">
        <f t="array" ref="U45">IF($R45="","",IF(Method!$B$56="proportional",Q45/$R45,IF(Method!$B$56="power",IFERROR(INDEX(power_devig($L45,$M45,$N45),3,1),Q45/$R45),IFERROR(INDEX(shin($L45,$M45,$N45),3,1),Q45/$R45))))</f>
        <v/>
      </c>
      <c r="V45" s="64">
        <f>IF(S45="","",Method!$B$4*IF(BC45="",I45,BC45)+(1-Method!$B$4)*S45/($S45+$T45+$U45))</f>
        <v/>
      </c>
      <c r="W45" s="64">
        <f>IF(T45="","",Method!$B$4*IF(BD45="",J45,BD45)+(1-Method!$B$4)*T45/($S45+$T45+$U45))</f>
        <v/>
      </c>
      <c r="X45" s="64">
        <f>IF(U45="","",Method!$B$4*IF(BE45="",K45,BE45)+(1-Method!$B$4)*U45/($S45+$T45+$U45))</f>
        <v/>
      </c>
      <c r="Y45" s="65">
        <f>IF(V45="","",V45*L45-1)</f>
        <v/>
      </c>
      <c r="Z45" s="65">
        <f>IF(W45="","",W45*M45-1)</f>
        <v/>
      </c>
      <c r="AA45" s="65">
        <f>IF(X45="","",X45*N45-1)</f>
        <v/>
      </c>
      <c r="AB45" s="66">
        <f>IF(Y45="","",MATCH(MAX(Y45:AA45),Y45:AA45,0))</f>
        <v/>
      </c>
      <c r="AC45" s="66">
        <f>IF(AB45="","",CHOOSE(AB45,"H","D","A"))</f>
        <v/>
      </c>
      <c r="AD45" s="67">
        <f>IF(AB45="","",CHOOSE(AB45,"1  "&amp;D45,"X  Draw","2  "&amp;E45))</f>
        <v/>
      </c>
      <c r="AE45" s="33">
        <f>IF(AB45="","",INDEX(L45:N45,1,AB45))</f>
        <v/>
      </c>
      <c r="AF45" s="65">
        <f>IF(AB45="","",INDEX(Y45:AA45,1,AB45))</f>
        <v/>
      </c>
      <c r="AG45" s="65">
        <f>IF(AB45="","",INDEX(V45:X45,1,AB45)-INDEX(S45:U45,1,AB45))</f>
        <v/>
      </c>
      <c r="AH45" s="68">
        <f>IF(AB45="","· enter odds",IF(OR(AF45&gt;Method!$B$87,IFERROR(INDEX(BC45:BE45,1,AB45)/INDEX(S45:U45,1,AB45),0)&gt;Method!$B$88),"PASS",IF(AND(AF45&gt;=Method!$B$7,AG45&gt;=Method!$B$8),"BET","PASS")))</f>
        <v/>
      </c>
      <c r="AI45" s="69">
        <f>IF(AH45&lt;&gt;"BET",0,ROUND(MIN(Method!$B$6,Method!$B$5*AL45)*100,1))</f>
        <v/>
      </c>
      <c r="AJ45" s="70">
        <f>IF(OR(AH45&lt;&gt;"BET",Method!$B$55=TRUE()),0,IF(AI45*Method!$B$10/100&lt;Method!$B$9,0,ROUND(AI45*Method!$B$10/100,0)))</f>
        <v/>
      </c>
      <c r="AK45" s="64">
        <f>IF(AB45="","",INDEX(V45:X45,1,AB45))</f>
        <v/>
      </c>
      <c r="AL45" s="64">
        <f>IF(AH45&lt;&gt;"BET","",MAX(0,(AK45*AE45-1)/(AE45-1)))</f>
        <v/>
      </c>
      <c r="AM45" s="65">
        <f>IF(AH45="BET",AF45+A45/1000000,"")</f>
        <v/>
      </c>
      <c r="AN45" s="71">
        <f>IF(Matchday!N47="","",Matchday!N47)</f>
        <v/>
      </c>
      <c r="AO45" s="63">
        <f>IF(Matchday!P47="","",Matchday!P47)</f>
        <v/>
      </c>
      <c r="AP45" s="72">
        <f>IF(Matchday!Q47="","",Matchday!Q47)</f>
        <v/>
      </c>
      <c r="AQ45" s="71">
        <f>IF(Matchday!R47="","",Matchday!R47)</f>
        <v/>
      </c>
      <c r="AR45" s="73">
        <f>IF(OR(AN45&lt;&gt;"Y",AQ45="",AV45=""),"",IF(AQ45="Void",0,IF(AQ45=AV45,ROUND(AP45*(AO45-1),2),-AP45)))</f>
        <v/>
      </c>
      <c r="AS45" s="73">
        <f>IF(AR45="","",SUM($AR$2:AR45))</f>
        <v/>
      </c>
      <c r="AT45" s="31">
        <f>IF(AB45="","Type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pauses.")),IF(AH45="BET",IF(AJ45=0,"Edge found but stake rounds under £"&amp;Method!$B$9&amp;" — skip",IF(AND(AE45&gt;=6,AG45&gt;=0.15),"🟡 WAIT — long-shot review: odds "&amp;TEXT(AE45,"0.00")&amp;" + edge "&amp;TEXT(AG45,"0.0%")&amp;" — verify sharp-book + team news + stake comfort before Placed=Y","Value found: EV "&amp;TEXT(AF45,"0.0%")&amp;", edge "&amp;TEXT(AG45,"0.0%"))),IF(OR(AF45&gt;Method!$B$87,IFERROR(INDEX(BC45:BE45,1,AB45)/INDEX(S45:U45,1,AB45),0)&gt;Method!$B$88),"🛑 Tail trap — auto-PASS · EV "&amp;TEXT(AF45,"0.0%")&amp;" (cap "&amp;TEXT(Method!$B$87,"0%")&amp;") · model/market "&amp;TEXT(IFERROR(INDEX(BC45:BE45,1,AB45)/INDEX(S45:U45,1,AB45),0),"0.0")&amp;"× (cap "&amp;TEXT(Method!$B$88,"0.0")&amp;"×)",IF(AF45&lt;Method!$B$7,"Price too short — EV "&amp;TEXT(AF45,"0.0%")&amp;" (need "&amp;TEXT(Method!$B$7,"0.0%")&amp;"+)","Model ≈ market — edge "&amp;TEXT(AG45,"0.0%")&amp;" (need "&amp;TEXT(Method!$B$8,"0.0%")&amp;"+)")))))</f>
        <v/>
      </c>
      <c r="AU45" s="31">
        <f>IF(AN45&lt;&gt;"Y","",IF(AH45="· enter odds","⚠ type the 3 odds (1/X/2) to grade this bet",IF(OR(AV45="",AO45="",AP45=""),"⚠ log backed pick, odds &amp; stake",IF(AZ45&lt;&gt;"BET","⚠ FUN BET — engine said pass · staked £"&amp;AP45&amp;" vs engine £"&amp;BA45,IF(AV45&lt;&gt;IF(AY45="",AC45,AY45),"⚠ backed "&amp;AV45&amp;" but engine pick was "&amp;IF(AY45="",AC45,AY45),IF(AP45&gt;BA45,"⚠ stake over engine £"&amp;BA45,IF(ABS(AO45-IFERROR(INDEX(L45:N45,1,MATCH(AV45,{"H","D","A"},0)),AE45))&gt;0.02,"⚠ odds moved — re-check value","✓ engine bet")))))))</f>
        <v/>
      </c>
      <c r="AV45" s="59">
        <f>IF(Matchday!O47="","",Matchday!O47)</f>
        <v/>
      </c>
      <c r="AW45" s="79" t="n"/>
      <c r="AX45" s="79" t="n"/>
      <c r="AY45" s="79" t="n"/>
      <c r="AZ45" s="79">
        <f>IF(AW45="",AH45,AW45)</f>
        <v/>
      </c>
      <c r="BA45" s="75">
        <f>IF(AX45&lt;&gt;"",AX45,IF(AH45&lt;&gt;"BET",0,IF(AI45*Method!$B$10/100&lt;Method!$B$9,0,ROUND(AI45*Method!$B$10/100,0))))</f>
        <v/>
      </c>
      <c r="BB45" s="77" t="n">
        <v>-31.98</v>
      </c>
      <c r="BC45" s="77" t="n">
        <v>0.2696054411608872</v>
      </c>
      <c r="BD45" s="77" t="n">
        <v>0.2777637591212907</v>
      </c>
      <c r="BE45" s="77" t="n">
        <v>0.4526307997178221</v>
      </c>
      <c r="BF45" s="14" t="inlineStr">
        <is>
          <t>Algeria team-wide: -24 · Jordan team-wide: -8</t>
        </is>
      </c>
      <c r="BG45" s="77" t="n">
        <v>8</v>
      </c>
      <c r="BH45" s="77" t="inlineStr">
        <is>
          <t>mild_dry</t>
        </is>
      </c>
      <c r="BI45" s="77" t="n">
        <v>0</v>
      </c>
    </row>
    <row r="46" ht="15" customHeight="1" s="153">
      <c r="A46" s="59" t="n">
        <v>45</v>
      </c>
      <c r="B46" s="58" t="n">
        <v>46196</v>
      </c>
      <c r="C46" s="59" t="inlineStr">
        <is>
          <t>K</t>
        </is>
      </c>
      <c r="D46" s="66" t="inlineStr">
        <is>
          <t>Portugal</t>
        </is>
      </c>
      <c r="E46" s="66" t="inlineStr">
        <is>
          <t>Uzbekistan</t>
        </is>
      </c>
      <c r="F46" s="66" t="inlineStr">
        <is>
          <t>Houston</t>
        </is>
      </c>
      <c r="G46" s="61" t="n">
        <v>0.5416666666666666</v>
      </c>
      <c r="H46" s="61" t="n">
        <v>0.7916666666666666</v>
      </c>
      <c r="I46" s="64" t="n">
        <v>0.595906624089936</v>
      </c>
      <c r="J46" s="64" t="n">
        <v>0.2508107990021228</v>
      </c>
      <c r="K46" s="64" t="n">
        <v>0.1532825769079412</v>
      </c>
      <c r="L46" s="63">
        <f>IF(Matchday!E48="","",Matchday!E48)</f>
        <v/>
      </c>
      <c r="M46" s="63">
        <f>IF(Matchday!F48="","",Matchday!F48)</f>
        <v/>
      </c>
      <c r="N46" s="63">
        <f>IF(Matchday!G48="","",Matchday!G48)</f>
        <v/>
      </c>
      <c r="O46" s="64">
        <f>IF(L46="","",1/L46)</f>
        <v/>
      </c>
      <c r="P46" s="64">
        <f>IF(M46="","",1/M46)</f>
        <v/>
      </c>
      <c r="Q46" s="64">
        <f>IF(N46="","",1/N46)</f>
        <v/>
      </c>
      <c r="R46" s="64">
        <f>IF(COUNT(L46:N46)&lt;3,"",O46+P46+Q46)</f>
        <v/>
      </c>
      <c r="S46" s="64">
        <f t="array" ref="S46">IF($R46="","",IF(Method!$B$56="proportional",O46/$R46,IF(Method!$B$56="power",IFERROR(INDEX(power_devig($L46,$M46,$N46),1,1),O46/$R46),IFERROR(INDEX(shin($L46,$M46,$N46),1,1),O46/$R46))))</f>
        <v/>
      </c>
      <c r="T46" s="64">
        <f t="array" ref="T46">IF($R46="","",IF(Method!$B$56="proportional",P46/$R46,IF(Method!$B$56="power",IFERROR(INDEX(power_devig($L46,$M46,$N46),2,1),P46/$R46),IFERROR(INDEX(shin($L46,$M46,$N46),2,1),P46/$R46))))</f>
        <v/>
      </c>
      <c r="U46" s="64">
        <f t="array" ref="U46">IF($R46="","",IF(Method!$B$56="proportional",Q46/$R46,IF(Method!$B$56="power",IFERROR(INDEX(power_devig($L46,$M46,$N46),3,1),Q46/$R46),IFERROR(INDEX(shin($L46,$M46,$N46),3,1),Q46/$R46))))</f>
        <v/>
      </c>
      <c r="V46" s="64">
        <f>IF(S46="","",Method!$B$4*IF(BC46="",I46,BC46)+(1-Method!$B$4)*S46/($S46+$T46+$U46))</f>
        <v/>
      </c>
      <c r="W46" s="64">
        <f>IF(T46="","",Method!$B$4*IF(BD46="",J46,BD46)+(1-Method!$B$4)*T46/($S46+$T46+$U46))</f>
        <v/>
      </c>
      <c r="X46" s="64">
        <f>IF(U46="","",Method!$B$4*IF(BE46="",K46,BE46)+(1-Method!$B$4)*U46/($S46+$T46+$U46))</f>
        <v/>
      </c>
      <c r="Y46" s="65">
        <f>IF(V46="","",V46*L46-1)</f>
        <v/>
      </c>
      <c r="Z46" s="65">
        <f>IF(W46="","",W46*M46-1)</f>
        <v/>
      </c>
      <c r="AA46" s="65">
        <f>IF(X46="","",X46*N46-1)</f>
        <v/>
      </c>
      <c r="AB46" s="66">
        <f>IF(Y46="","",MATCH(MAX(Y46:AA46),Y46:AA46,0))</f>
        <v/>
      </c>
      <c r="AC46" s="66">
        <f>IF(AB46="","",CHOOSE(AB46,"H","D","A"))</f>
        <v/>
      </c>
      <c r="AD46" s="67">
        <f>IF(AB46="","",CHOOSE(AB46,"1  "&amp;D46,"X  Draw","2  "&amp;E46))</f>
        <v/>
      </c>
      <c r="AE46" s="33">
        <f>IF(AB46="","",INDEX(L46:N46,1,AB46))</f>
        <v/>
      </c>
      <c r="AF46" s="65">
        <f>IF(AB46="","",INDEX(Y46:AA46,1,AB46))</f>
        <v/>
      </c>
      <c r="AG46" s="65">
        <f>IF(AB46="","",INDEX(V46:X46,1,AB46)-INDEX(S46:U46,1,AB46))</f>
        <v/>
      </c>
      <c r="AH46" s="68">
        <f>IF(AB46="","· enter odds",IF(OR(AF46&gt;Method!$B$87,IFERROR(INDEX(BC46:BE46,1,AB46)/INDEX(S46:U46,1,AB46),0)&gt;Method!$B$88),"PASS",IF(AND(AF46&gt;=Method!$B$7,AG46&gt;=Method!$B$8),"BET","PASS")))</f>
        <v/>
      </c>
      <c r="AI46" s="69">
        <f>IF(AH46&lt;&gt;"BET",0,ROUND(MIN(Method!$B$6,Method!$B$5*AL46)*100,1))</f>
        <v/>
      </c>
      <c r="AJ46" s="70">
        <f>IF(OR(AH46&lt;&gt;"BET",Method!$B$55=TRUE()),0,IF(AI46*Method!$B$10/100&lt;Method!$B$9,0,ROUND(AI46*Method!$B$10/100,0)))</f>
        <v/>
      </c>
      <c r="AK46" s="64">
        <f>IF(AB46="","",INDEX(V46:X46,1,AB46))</f>
        <v/>
      </c>
      <c r="AL46" s="64">
        <f>IF(AH46&lt;&gt;"BET","",MAX(0,(AK46*AE46-1)/(AE46-1)))</f>
        <v/>
      </c>
      <c r="AM46" s="66">
        <f>IF(AH46="BET",AF46+A46/1000000,"")</f>
        <v/>
      </c>
      <c r="AN46" s="71">
        <f>IF(Matchday!N48="","",Matchday!N48)</f>
        <v/>
      </c>
      <c r="AO46" s="63">
        <f>IF(Matchday!P48="","",Matchday!P48)</f>
        <v/>
      </c>
      <c r="AP46" s="72">
        <f>IF(Matchday!Q48="","",Matchday!Q48)</f>
        <v/>
      </c>
      <c r="AQ46" s="71">
        <f>IF(Matchday!R48="","",Matchday!R48)</f>
        <v/>
      </c>
      <c r="AR46" s="73">
        <f>IF(OR(AN46&lt;&gt;"Y",AQ46="",AV46=""),"",IF(AQ46="Void",0,IF(AQ46=AV46,ROUND(AP46*(AO46-1),2),-AP46)))</f>
        <v/>
      </c>
      <c r="AS46" s="73">
        <f>IF(AR46="","",SUM($AR$2:AR46))</f>
        <v/>
      </c>
      <c r="AT46" s="31">
        <f>IF(AB46="","Type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pauses.")),IF(AH46="BET",IF(AJ46=0,"Edge found but stake rounds under £"&amp;Method!$B$9&amp;" — skip",IF(AND(AE46&gt;=6,AG46&gt;=0.15),"🟡 WAIT — long-shot review: odds "&amp;TEXT(AE46,"0.00")&amp;" + edge "&amp;TEXT(AG46,"0.0%")&amp;" — verify sharp-book + team news + stake comfort before Placed=Y","Value found: EV "&amp;TEXT(AF46,"0.0%")&amp;", edge "&amp;TEXT(AG46,"0.0%"))),IF(OR(AF46&gt;Method!$B$87,IFERROR(INDEX(BC46:BE46,1,AB46)/INDEX(S46:U46,1,AB46),0)&gt;Method!$B$88),"🛑 Tail trap — auto-PASS · EV "&amp;TEXT(AF46,"0.0%")&amp;" (cap "&amp;TEXT(Method!$B$87,"0%")&amp;") · model/market "&amp;TEXT(IFERROR(INDEX(BC46:BE46,1,AB46)/INDEX(S46:U46,1,AB46),0),"0.0")&amp;"× (cap "&amp;TEXT(Method!$B$88,"0.0")&amp;"×)",IF(AF46&lt;Method!$B$7,"Price too short — EV "&amp;TEXT(AF46,"0.0%")&amp;" (need "&amp;TEXT(Method!$B$7,"0.0%")&amp;"+)","Model ≈ market — edge "&amp;TEXT(AG46,"0.0%")&amp;" (need "&amp;TEXT(Method!$B$8,"0.0%")&amp;"+)")))))</f>
        <v/>
      </c>
      <c r="AU46" s="31">
        <f>IF(AN46&lt;&gt;"Y","",IF(AH46="· enter odds","⚠ type the 3 odds (1/X/2) to grade this bet",IF(OR(AV46="",AO46="",AP46=""),"⚠ log backed pick, odds &amp; stake",IF(AZ46&lt;&gt;"BET","⚠ FUN BET — engine said pass · staked £"&amp;AP46&amp;" vs engine £"&amp;BA46,IF(AV46&lt;&gt;IF(AY46="",AC46,AY46),"⚠ backed "&amp;AV46&amp;" but engine pick was "&amp;IF(AY46="",AC46,AY46),IF(AP46&gt;BA46,"⚠ stake over engine £"&amp;BA46,IF(ABS(AO46-IFERROR(INDEX(L46:N46,1,MATCH(AV46,{"H","D","A"},0)),AE46))&gt;0.02,"⚠ odds moved — re-check value","✓ engine bet")))))))</f>
        <v/>
      </c>
      <c r="AV46" s="59">
        <f>IF(Matchday!O48="","",Matchday!O48)</f>
        <v/>
      </c>
      <c r="AW46" s="79" t="n"/>
      <c r="AX46" s="79" t="n"/>
      <c r="AY46" s="79" t="n"/>
      <c r="AZ46" s="79">
        <f>IF(AW46="",AH46,AW46)</f>
        <v/>
      </c>
      <c r="BA46" s="75">
        <f>IF(AX46&lt;&gt;"",AX46,IF(AH46&lt;&gt;"BET",0,IF(AI46*Method!$B$10/100&lt;Method!$B$9,0,ROUND(AI46*Method!$B$10/100,0))))</f>
        <v/>
      </c>
      <c r="BB46" s="77" t="n">
        <v>-6.84</v>
      </c>
      <c r="BC46" s="77" t="n">
        <v>0.5664559813179648</v>
      </c>
      <c r="BD46" s="77" t="n">
        <v>0.2776300283960879</v>
      </c>
      <c r="BE46" s="77" t="n">
        <v>0.1559139902859473</v>
      </c>
      <c r="BF46" s="77" t="inlineStr">
        <is>
          <t>Portugal team-wide: +1 · Uzbekistan team-wide: -8</t>
        </is>
      </c>
      <c r="BG46" s="77" t="n">
        <v>15</v>
      </c>
      <c r="BH46" s="77" t="inlineStr">
        <is>
          <t>very_hot_humid_indoor</t>
        </is>
      </c>
      <c r="BI46" s="77" t="n">
        <v>0</v>
      </c>
    </row>
    <row r="47" ht="15" customHeight="1" s="153">
      <c r="A47" s="59" t="n">
        <v>46</v>
      </c>
      <c r="B47" s="58" t="n">
        <v>46196</v>
      </c>
      <c r="C47" s="59" t="inlineStr">
        <is>
          <t>L</t>
        </is>
      </c>
      <c r="D47" s="66" t="inlineStr">
        <is>
          <t>England</t>
        </is>
      </c>
      <c r="E47" s="66" t="inlineStr">
        <is>
          <t>Ghana</t>
        </is>
      </c>
      <c r="F47" s="66" t="inlineStr">
        <is>
          <t>Foxborough</t>
        </is>
      </c>
      <c r="G47" s="61" t="n">
        <v>0.6666666666666666</v>
      </c>
      <c r="H47" s="61" t="n">
        <v>0.875</v>
      </c>
      <c r="I47" s="64" t="n">
        <v>0.7151789738156328</v>
      </c>
      <c r="J47" s="64" t="n">
        <v>0.1968186263554144</v>
      </c>
      <c r="K47" s="64" t="n">
        <v>0.08800239982895273</v>
      </c>
      <c r="L47" s="63">
        <f>IF(Matchday!E49="","",Matchday!E49)</f>
        <v/>
      </c>
      <c r="M47" s="63">
        <f>IF(Matchday!F49="","",Matchday!F49)</f>
        <v/>
      </c>
      <c r="N47" s="63">
        <f>IF(Matchday!G49="","",Matchday!G49)</f>
        <v/>
      </c>
      <c r="O47" s="64">
        <f>IF(L47="","",1/L47)</f>
        <v/>
      </c>
      <c r="P47" s="64">
        <f>IF(M47="","",1/M47)</f>
        <v/>
      </c>
      <c r="Q47" s="64">
        <f>IF(N47="","",1/N47)</f>
        <v/>
      </c>
      <c r="R47" s="64">
        <f>IF(COUNT(L47:N47)&lt;3,"",O47+P47+Q47)</f>
        <v/>
      </c>
      <c r="S47" s="64">
        <f t="array" ref="S47">IF($R47="","",IF(Method!$B$56="proportional",O47/$R47,IF(Method!$B$56="power",IFERROR(INDEX(power_devig($L47,$M47,$N47),1,1),O47/$R47),IFERROR(INDEX(shin($L47,$M47,$N47),1,1),O47/$R47))))</f>
        <v/>
      </c>
      <c r="T47" s="64">
        <f t="array" ref="T47">IF($R47="","",IF(Method!$B$56="proportional",P47/$R47,IF(Method!$B$56="power",IFERROR(INDEX(power_devig($L47,$M47,$N47),2,1),P47/$R47),IFERROR(INDEX(shin($L47,$M47,$N47),2,1),P47/$R47))))</f>
        <v/>
      </c>
      <c r="U47" s="64">
        <f t="array" ref="U47">IF($R47="","",IF(Method!$B$56="proportional",Q47/$R47,IF(Method!$B$56="power",IFERROR(INDEX(power_devig($L47,$M47,$N47),3,1),Q47/$R47),IFERROR(INDEX(shin($L47,$M47,$N47),3,1),Q47/$R47))))</f>
        <v/>
      </c>
      <c r="V47" s="64">
        <f>IF(S47="","",Method!$B$4*IF(BC47="",I47,BC47)+(1-Method!$B$4)*S47/($S47+$T47+$U47))</f>
        <v/>
      </c>
      <c r="W47" s="64">
        <f>IF(T47="","",Method!$B$4*IF(BD47="",J47,BD47)+(1-Method!$B$4)*T47/($S47+$T47+$U47))</f>
        <v/>
      </c>
      <c r="X47" s="64">
        <f>IF(U47="","",Method!$B$4*IF(BE47="",K47,BE47)+(1-Method!$B$4)*U47/($S47+$T47+$U47))</f>
        <v/>
      </c>
      <c r="Y47" s="65">
        <f>IF(V47="","",V47*L47-1)</f>
        <v/>
      </c>
      <c r="Z47" s="65">
        <f>IF(W47="","",W47*M47-1)</f>
        <v/>
      </c>
      <c r="AA47" s="65">
        <f>IF(X47="","",X47*N47-1)</f>
        <v/>
      </c>
      <c r="AB47" s="66">
        <f>IF(Y47="","",MATCH(MAX(Y47:AA47),Y47:AA47,0))</f>
        <v/>
      </c>
      <c r="AC47" s="66">
        <f>IF(AB47="","",CHOOSE(AB47,"H","D","A"))</f>
        <v/>
      </c>
      <c r="AD47" s="67">
        <f>IF(AB47="","",CHOOSE(AB47,"1  "&amp;D47,"X  Draw","2  "&amp;E47))</f>
        <v/>
      </c>
      <c r="AE47" s="33">
        <f>IF(AB47="","",INDEX(L47:N47,1,AB47))</f>
        <v/>
      </c>
      <c r="AF47" s="65">
        <f>IF(AB47="","",INDEX(Y47:AA47,1,AB47))</f>
        <v/>
      </c>
      <c r="AG47" s="65">
        <f>IF(AB47="","",INDEX(V47:X47,1,AB47)-INDEX(S47:U47,1,AB47))</f>
        <v/>
      </c>
      <c r="AH47" s="68">
        <f>IF(AB47="","· enter odds",IF(OR(AF47&gt;Method!$B$87,IFERROR(INDEX(BC47:BE47,1,AB47)/INDEX(S47:U47,1,AB47),0)&gt;Method!$B$88),"PASS",IF(AND(AF47&gt;=Method!$B$7,AG47&gt;=Method!$B$8),"BET","PASS")))</f>
        <v/>
      </c>
      <c r="AI47" s="69">
        <f>IF(AH47&lt;&gt;"BET",0,ROUND(MIN(Method!$B$6,Method!$B$5*AL47)*100,1))</f>
        <v/>
      </c>
      <c r="AJ47" s="70">
        <f>IF(OR(AH47&lt;&gt;"BET",Method!$B$55=TRUE()),0,IF(AI47*Method!$B$10/100&lt;Method!$B$9,0,ROUND(AI47*Method!$B$10/100,0)))</f>
        <v/>
      </c>
      <c r="AK47" s="64">
        <f>IF(AB47="","",INDEX(V47:X47,1,AB47))</f>
        <v/>
      </c>
      <c r="AL47" s="64">
        <f>IF(AH47&lt;&gt;"BET","",MAX(0,(AK47*AE47-1)/(AE47-1)))</f>
        <v/>
      </c>
      <c r="AM47" s="66">
        <f>IF(AH47="BET",AF47+A47/1000000,"")</f>
        <v/>
      </c>
      <c r="AN47" s="71">
        <f>IF(Matchday!N49="","",Matchday!N49)</f>
        <v/>
      </c>
      <c r="AO47" s="63">
        <f>IF(Matchday!P49="","",Matchday!P49)</f>
        <v/>
      </c>
      <c r="AP47" s="72">
        <f>IF(Matchday!Q49="","",Matchday!Q49)</f>
        <v/>
      </c>
      <c r="AQ47" s="71">
        <f>IF(Matchday!R49="","",Matchday!R49)</f>
        <v/>
      </c>
      <c r="AR47" s="73">
        <f>IF(OR(AN47&lt;&gt;"Y",AQ47="",AV47=""),"",IF(AQ47="Void",0,IF(AQ47=AV47,ROUND(AP47*(AO47-1),2),-AP47)))</f>
        <v/>
      </c>
      <c r="AS47" s="73">
        <f>IF(AR47="","",SUM($AR$2:AR47))</f>
        <v/>
      </c>
      <c r="AT47" s="31">
        <f>IF(AB47="","Type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pauses.")),IF(AH47="BET",IF(AJ47=0,"Edge found but stake rounds under £"&amp;Method!$B$9&amp;" — skip",IF(AND(AE47&gt;=6,AG47&gt;=0.15),"🟡 WAIT — long-shot review: odds "&amp;TEXT(AE47,"0.00")&amp;" + edge "&amp;TEXT(AG47,"0.0%")&amp;" — verify sharp-book + team news + stake comfort before Placed=Y","Value found: EV "&amp;TEXT(AF47,"0.0%")&amp;", edge "&amp;TEXT(AG47,"0.0%"))),IF(OR(AF47&gt;Method!$B$87,IFERROR(INDEX(BC47:BE47,1,AB47)/INDEX(S47:U47,1,AB47),0)&gt;Method!$B$88),"🛑 Tail trap — auto-PASS · EV "&amp;TEXT(AF47,"0.0%")&amp;" (cap "&amp;TEXT(Method!$B$87,"0%")&amp;") · model/market "&amp;TEXT(IFERROR(INDEX(BC47:BE47,1,AB47)/INDEX(S47:U47,1,AB47),0),"0.0")&amp;"× (cap "&amp;TEXT(Method!$B$88,"0.0")&amp;"×)",IF(AF47&lt;Method!$B$7,"Price too short — EV "&amp;TEXT(AF47,"0.0%")&amp;" (need "&amp;TEXT(Method!$B$7,"0.0%")&amp;"+)","Model ≈ market — edge "&amp;TEXT(AG47,"0.0%")&amp;" (need "&amp;TEXT(Method!$B$8,"0.0%")&amp;"+)")))))</f>
        <v/>
      </c>
      <c r="AU47" s="31">
        <f>IF(AN47&lt;&gt;"Y","",IF(AH47="· enter odds","⚠ type the 3 odds (1/X/2) to grade this bet",IF(OR(AV47="",AO47="",AP47=""),"⚠ log backed pick, odds &amp; stake",IF(AZ47&lt;&gt;"BET","⚠ FUN BET — engine said pass · staked £"&amp;AP47&amp;" vs engine £"&amp;BA47,IF(AV47&lt;&gt;IF(AY47="",AC47,AY47),"⚠ backed "&amp;AV47&amp;" but engine pick was "&amp;IF(AY47="",AC47,AY47),IF(AP47&gt;BA47,"⚠ stake over engine £"&amp;BA47,IF(ABS(AO47-IFERROR(INDEX(L47:N47,1,MATCH(AV47,{"H","D","A"},0)),AE47))&gt;0.02,"⚠ odds moved — re-check value","✓ engine bet")))))))</f>
        <v/>
      </c>
      <c r="AV47" s="59">
        <f>IF(Matchday!O49="","",Matchday!O49)</f>
        <v/>
      </c>
      <c r="AW47" s="79" t="n"/>
      <c r="AX47" s="79" t="n"/>
      <c r="AY47" s="79" t="n"/>
      <c r="AZ47" s="79">
        <f>IF(AW47="",AH47,AW47)</f>
        <v/>
      </c>
      <c r="BA47" s="75">
        <f>IF(AX47&lt;&gt;"",AX47,IF(AH47&lt;&gt;"BET",0,IF(AI47*Method!$B$10/100&lt;Method!$B$9,0,ROUND(AI47*Method!$B$10/100,0))))</f>
        <v/>
      </c>
      <c r="BB47" s="77" t="n">
        <v>-16.05</v>
      </c>
      <c r="BC47" s="77" t="n">
        <v>0.6863400602377727</v>
      </c>
      <c r="BD47" s="77" t="n">
        <v>0.2233133743738822</v>
      </c>
      <c r="BE47" s="77" t="n">
        <v>0.09034656538834519</v>
      </c>
      <c r="BF47" s="14" t="inlineStr">
        <is>
          <t>England team-wide: -10 · Ghana team-wide: -6</t>
        </is>
      </c>
      <c r="BG47" s="77" t="n">
        <v>40</v>
      </c>
      <c r="BH47" s="77" t="inlineStr">
        <is>
          <t>warm</t>
        </is>
      </c>
      <c r="BI47" s="77" t="n">
        <v>2493.6</v>
      </c>
    </row>
    <row r="48" ht="15" customHeight="1" s="153">
      <c r="A48" s="59" t="n">
        <v>47</v>
      </c>
      <c r="B48" s="58" t="n">
        <v>46196</v>
      </c>
      <c r="C48" s="59" t="inlineStr">
        <is>
          <t>L</t>
        </is>
      </c>
      <c r="D48" s="66" t="inlineStr">
        <is>
          <t>Panama</t>
        </is>
      </c>
      <c r="E48" s="66" t="inlineStr">
        <is>
          <t>Croatia</t>
        </is>
      </c>
      <c r="F48" s="66" t="inlineStr">
        <is>
          <t>Toronto</t>
        </is>
      </c>
      <c r="G48" s="61" t="n">
        <v>0.7916666666666666</v>
      </c>
      <c r="H48" s="59" t="inlineStr">
        <is>
          <t>00:00 +1d</t>
        </is>
      </c>
      <c r="I48" s="64" t="n">
        <v>0.2053852599145339</v>
      </c>
      <c r="J48" s="64" t="n">
        <v>0.263185411560467</v>
      </c>
      <c r="K48" s="64" t="n">
        <v>0.5314293285249992</v>
      </c>
      <c r="L48" s="63">
        <f>IF(Matchday!E50="","",Matchday!E50)</f>
        <v/>
      </c>
      <c r="M48" s="63">
        <f>IF(Matchday!F50="","",Matchday!F50)</f>
        <v/>
      </c>
      <c r="N48" s="63">
        <f>IF(Matchday!G50="","",Matchday!G50)</f>
        <v/>
      </c>
      <c r="O48" s="64">
        <f>IF(L48="","",1/L48)</f>
        <v/>
      </c>
      <c r="P48" s="64">
        <f>IF(M48="","",1/M48)</f>
        <v/>
      </c>
      <c r="Q48" s="64">
        <f>IF(N48="","",1/N48)</f>
        <v/>
      </c>
      <c r="R48" s="64">
        <f>IF(COUNT(L48:N48)&lt;3,"",O48+P48+Q48)</f>
        <v/>
      </c>
      <c r="S48" s="64">
        <f t="array" ref="S48">IF($R48="","",IF(Method!$B$56="proportional",O48/$R48,IF(Method!$B$56="power",IFERROR(INDEX(power_devig($L48,$M48,$N48),1,1),O48/$R48),IFERROR(INDEX(shin($L48,$M48,$N48),1,1),O48/$R48))))</f>
        <v/>
      </c>
      <c r="T48" s="64">
        <f t="array" ref="T48">IF($R48="","",IF(Method!$B$56="proportional",P48/$R48,IF(Method!$B$56="power",IFERROR(INDEX(power_devig($L48,$M48,$N48),2,1),P48/$R48),IFERROR(INDEX(shin($L48,$M48,$N48),2,1),P48/$R48))))</f>
        <v/>
      </c>
      <c r="U48" s="64">
        <f t="array" ref="U48">IF($R48="","",IF(Method!$B$56="proportional",Q48/$R48,IF(Method!$B$56="power",IFERROR(INDEX(power_devig($L48,$M48,$N48),3,1),Q48/$R48),IFERROR(INDEX(shin($L48,$M48,$N48),3,1),Q48/$R48))))</f>
        <v/>
      </c>
      <c r="V48" s="64">
        <f>IF(S48="","",Method!$B$4*IF(BC48="",I48,BC48)+(1-Method!$B$4)*S48/($S48+$T48+$U48))</f>
        <v/>
      </c>
      <c r="W48" s="64">
        <f>IF(T48="","",Method!$B$4*IF(BD48="",J48,BD48)+(1-Method!$B$4)*T48/($S48+$T48+$U48))</f>
        <v/>
      </c>
      <c r="X48" s="64">
        <f>IF(U48="","",Method!$B$4*IF(BE48="",K48,BE48)+(1-Method!$B$4)*U48/($S48+$T48+$U48))</f>
        <v/>
      </c>
      <c r="Y48" s="65">
        <f>IF(V48="","",V48*L48-1)</f>
        <v/>
      </c>
      <c r="Z48" s="65">
        <f>IF(W48="","",W48*M48-1)</f>
        <v/>
      </c>
      <c r="AA48" s="65">
        <f>IF(X48="","",X48*N48-1)</f>
        <v/>
      </c>
      <c r="AB48" s="66">
        <f>IF(Y48="","",MATCH(MAX(Y48:AA48),Y48:AA48,0))</f>
        <v/>
      </c>
      <c r="AC48" s="66">
        <f>IF(AB48="","",CHOOSE(AB48,"H","D","A"))</f>
        <v/>
      </c>
      <c r="AD48" s="67">
        <f>IF(AB48="","",CHOOSE(AB48,"1  "&amp;D48,"X  Draw","2  "&amp;E48))</f>
        <v/>
      </c>
      <c r="AE48" s="33">
        <f>IF(AB48="","",INDEX(L48:N48,1,AB48))</f>
        <v/>
      </c>
      <c r="AF48" s="65">
        <f>IF(AB48="","",INDEX(Y48:AA48,1,AB48))</f>
        <v/>
      </c>
      <c r="AG48" s="65">
        <f>IF(AB48="","",INDEX(V48:X48,1,AB48)-INDEX(S48:U48,1,AB48))</f>
        <v/>
      </c>
      <c r="AH48" s="68">
        <f>IF(AB48="","· enter odds",IF(OR(AF48&gt;Method!$B$87,IFERROR(INDEX(BC48:BE48,1,AB48)/INDEX(S48:U48,1,AB48),0)&gt;Method!$B$88),"PASS",IF(AND(AF48&gt;=Method!$B$7,AG48&gt;=Method!$B$8),"BET","PASS")))</f>
        <v/>
      </c>
      <c r="AI48" s="69">
        <f>IF(AH48&lt;&gt;"BET",0,ROUND(MIN(Method!$B$6,Method!$B$5*AL48)*100,1))</f>
        <v/>
      </c>
      <c r="AJ48" s="70">
        <f>IF(OR(AH48&lt;&gt;"BET",Method!$B$55=TRUE()),0,IF(AI48*Method!$B$10/100&lt;Method!$B$9,0,ROUND(AI48*Method!$B$10/100,0)))</f>
        <v/>
      </c>
      <c r="AK48" s="64">
        <f>IF(AB48="","",INDEX(V48:X48,1,AB48))</f>
        <v/>
      </c>
      <c r="AL48" s="64">
        <f>IF(AH48&lt;&gt;"BET","",MAX(0,(AK48*AE48-1)/(AE48-1)))</f>
        <v/>
      </c>
      <c r="AM48" s="65">
        <f>IF(AH48="BET",AF48+A48/1000000,"")</f>
        <v/>
      </c>
      <c r="AN48" s="71">
        <f>IF(Matchday!N50="","",Matchday!N50)</f>
        <v/>
      </c>
      <c r="AO48" s="63">
        <f>IF(Matchday!P50="","",Matchday!P50)</f>
        <v/>
      </c>
      <c r="AP48" s="72">
        <f>IF(Matchday!Q50="","",Matchday!Q50)</f>
        <v/>
      </c>
      <c r="AQ48" s="71">
        <f>IF(Matchday!R50="","",Matchday!R50)</f>
        <v/>
      </c>
      <c r="AR48" s="73">
        <f>IF(OR(AN48&lt;&gt;"Y",AQ48="",AV48=""),"",IF(AQ48="Void",0,IF(AQ48=AV48,ROUND(AP48*(AO48-1),2),-AP48)))</f>
        <v/>
      </c>
      <c r="AS48" s="73">
        <f>IF(AR48="","",SUM($AR$2:AR48))</f>
        <v/>
      </c>
      <c r="AT48" s="31">
        <f>IF(AB48="","Type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pauses.")),IF(AH48="BET",IF(AJ48=0,"Edge found but stake rounds under £"&amp;Method!$B$9&amp;" — skip",IF(AND(AE48&gt;=6,AG48&gt;=0.15),"🟡 WAIT — long-shot review: odds "&amp;TEXT(AE48,"0.00")&amp;" + edge "&amp;TEXT(AG48,"0.0%")&amp;" — verify sharp-book + team news + stake comfort before Placed=Y","Value found: EV "&amp;TEXT(AF48,"0.0%")&amp;", edge "&amp;TEXT(AG48,"0.0%"))),IF(OR(AF48&gt;Method!$B$87,IFERROR(INDEX(BC48:BE48,1,AB48)/INDEX(S48:U48,1,AB48),0)&gt;Method!$B$88),"🛑 Tail trap — auto-PASS · EV "&amp;TEXT(AF48,"0.0%")&amp;" (cap "&amp;TEXT(Method!$B$87,"0%")&amp;") · model/market "&amp;TEXT(IFERROR(INDEX(BC48:BE48,1,AB48)/INDEX(S48:U48,1,AB48),0),"0.0")&amp;"× (cap "&amp;TEXT(Method!$B$88,"0.0")&amp;"×)",IF(AF48&lt;Method!$B$7,"Price too short — EV "&amp;TEXT(AF48,"0.0%")&amp;" (need "&amp;TEXT(Method!$B$7,"0.0%")&amp;"+)","Model ≈ market — edge "&amp;TEXT(AG48,"0.0%")&amp;" (need "&amp;TEXT(Method!$B$8,"0.0%")&amp;"+)")))))</f>
        <v/>
      </c>
      <c r="AU48" s="31">
        <f>IF(AN48&lt;&gt;"Y","",IF(AH48="· enter odds","⚠ type the 3 odds (1/X/2) to grade this bet",IF(OR(AV48="",AO48="",AP48=""),"⚠ log backed pick, odds &amp; stake",IF(AZ48&lt;&gt;"BET","⚠ FUN BET — engine said pass · staked £"&amp;AP48&amp;" vs engine £"&amp;BA48,IF(AV48&lt;&gt;IF(AY48="",AC48,AY48),"⚠ backed "&amp;AV48&amp;" but engine pick was "&amp;IF(AY48="",AC48,AY48),IF(AP48&gt;BA48,"⚠ stake over engine £"&amp;BA48,IF(ABS(AO48-IFERROR(INDEX(L48:N48,1,MATCH(AV48,{"H","D","A"},0)),AE48))&gt;0.02,"⚠ odds moved — re-check value","✓ engine bet")))))))</f>
        <v/>
      </c>
      <c r="AV48" s="59">
        <f>IF(Matchday!O50="","",Matchday!O50)</f>
        <v/>
      </c>
      <c r="AW48" s="79" t="n"/>
      <c r="AX48" s="79" t="n"/>
      <c r="AY48" s="79" t="n"/>
      <c r="AZ48" s="79">
        <f>IF(AW48="",AH48,AW48)</f>
        <v/>
      </c>
      <c r="BA48" s="75">
        <f>IF(AX48&lt;&gt;"",AX48,IF(AH48&lt;&gt;"BET",0,IF(AI48*Method!$B$10/100&lt;Method!$B$9,0,ROUND(AI48*Method!$B$10/100,0))))</f>
        <v/>
      </c>
      <c r="BB48" s="77" t="n">
        <v>-3.48</v>
      </c>
      <c r="BC48" s="77" t="n">
        <v>0.1874279362112658</v>
      </c>
      <c r="BD48" s="77" t="n">
        <v>0.2804320294121068</v>
      </c>
      <c r="BE48" s="77" t="n">
        <v>0.5321400343766274</v>
      </c>
      <c r="BF48" s="14" t="inlineStr">
        <is>
          <t>Croatia team-wide: -2 · Panama team-wide: -2</t>
        </is>
      </c>
      <c r="BG48" s="77" t="n">
        <v>76</v>
      </c>
      <c r="BH48" s="77" t="inlineStr">
        <is>
          <t>mild</t>
        </is>
      </c>
      <c r="BI48" s="77" t="n">
        <v>0</v>
      </c>
    </row>
    <row r="49" ht="15" customHeight="1" s="153">
      <c r="A49" s="59" t="n">
        <v>48</v>
      </c>
      <c r="B49" s="58" t="n">
        <v>46196</v>
      </c>
      <c r="C49" s="59" t="inlineStr">
        <is>
          <t>K</t>
        </is>
      </c>
      <c r="D49" s="66" t="inlineStr">
        <is>
          <t>Colombia</t>
        </is>
      </c>
      <c r="E49" s="66" t="inlineStr">
        <is>
          <t>DR Congo</t>
        </is>
      </c>
      <c r="F49" s="66" t="inlineStr">
        <is>
          <t>Zapopan</t>
        </is>
      </c>
      <c r="G49" s="61" t="n">
        <v>0.9166666666666666</v>
      </c>
      <c r="H49" s="59" t="inlineStr">
        <is>
          <t>05:00 +1d</t>
        </is>
      </c>
      <c r="I49" s="64" t="n">
        <v>0.6627342830037334</v>
      </c>
      <c r="J49" s="64" t="n">
        <v>0.2281118814441535</v>
      </c>
      <c r="K49" s="64" t="n">
        <v>0.1091538355521129</v>
      </c>
      <c r="L49" s="63">
        <f>IF(Matchday!E51="","",Matchday!E51)</f>
        <v/>
      </c>
      <c r="M49" s="63">
        <f>IF(Matchday!F51="","",Matchday!F51)</f>
        <v/>
      </c>
      <c r="N49" s="63">
        <f>IF(Matchday!G51="","",Matchday!G51)</f>
        <v/>
      </c>
      <c r="O49" s="64">
        <f>IF(L49="","",1/L49)</f>
        <v/>
      </c>
      <c r="P49" s="64">
        <f>IF(M49="","",1/M49)</f>
        <v/>
      </c>
      <c r="Q49" s="64">
        <f>IF(N49="","",1/N49)</f>
        <v/>
      </c>
      <c r="R49" s="64">
        <f>IF(COUNT(L49:N49)&lt;3,"",O49+P49+Q49)</f>
        <v/>
      </c>
      <c r="S49" s="64">
        <f t="array" ref="S49">IF($R49="","",IF(Method!$B$56="proportional",O49/$R49,IF(Method!$B$56="power",IFERROR(INDEX(power_devig($L49,$M49,$N49),1,1),O49/$R49),IFERROR(INDEX(shin($L49,$M49,$N49),1,1),O49/$R49))))</f>
        <v/>
      </c>
      <c r="T49" s="64">
        <f t="array" ref="T49">IF($R49="","",IF(Method!$B$56="proportional",P49/$R49,IF(Method!$B$56="power",IFERROR(INDEX(power_devig($L49,$M49,$N49),2,1),P49/$R49),IFERROR(INDEX(shin($L49,$M49,$N49),2,1),P49/$R49))))</f>
        <v/>
      </c>
      <c r="U49" s="64">
        <f t="array" ref="U49">IF($R49="","",IF(Method!$B$56="proportional",Q49/$R49,IF(Method!$B$56="power",IFERROR(INDEX(power_devig($L49,$M49,$N49),3,1),Q49/$R49),IFERROR(INDEX(shin($L49,$M49,$N49),3,1),Q49/$R49))))</f>
        <v/>
      </c>
      <c r="V49" s="64">
        <f>IF(S49="","",Method!$B$4*IF(BC49="",I49,BC49)+(1-Method!$B$4)*S49/($S49+$T49+$U49))</f>
        <v/>
      </c>
      <c r="W49" s="64">
        <f>IF(T49="","",Method!$B$4*IF(BD49="",J49,BD49)+(1-Method!$B$4)*T49/($S49+$T49+$U49))</f>
        <v/>
      </c>
      <c r="X49" s="64">
        <f>IF(U49="","",Method!$B$4*IF(BE49="",K49,BE49)+(1-Method!$B$4)*U49/($S49+$T49+$U49))</f>
        <v/>
      </c>
      <c r="Y49" s="65">
        <f>IF(V49="","",V49*L49-1)</f>
        <v/>
      </c>
      <c r="Z49" s="65">
        <f>IF(W49="","",W49*M49-1)</f>
        <v/>
      </c>
      <c r="AA49" s="65">
        <f>IF(X49="","",X49*N49-1)</f>
        <v/>
      </c>
      <c r="AB49" s="66">
        <f>IF(Y49="","",MATCH(MAX(Y49:AA49),Y49:AA49,0))</f>
        <v/>
      </c>
      <c r="AC49" s="66">
        <f>IF(AB49="","",CHOOSE(AB49,"H","D","A"))</f>
        <v/>
      </c>
      <c r="AD49" s="67">
        <f>IF(AB49="","",CHOOSE(AB49,"1  "&amp;D49,"X  Draw","2  "&amp;E49))</f>
        <v/>
      </c>
      <c r="AE49" s="33">
        <f>IF(AB49="","",INDEX(L49:N49,1,AB49))</f>
        <v/>
      </c>
      <c r="AF49" s="65">
        <f>IF(AB49="","",INDEX(Y49:AA49,1,AB49))</f>
        <v/>
      </c>
      <c r="AG49" s="65">
        <f>IF(AB49="","",INDEX(V49:X49,1,AB49)-INDEX(S49:U49,1,AB49))</f>
        <v/>
      </c>
      <c r="AH49" s="68">
        <f>IF(AB49="","· enter odds",IF(OR(AF49&gt;Method!$B$87,IFERROR(INDEX(BC49:BE49,1,AB49)/INDEX(S49:U49,1,AB49),0)&gt;Method!$B$88),"PASS",IF(AND(AF49&gt;=Method!$B$7,AG49&gt;=Method!$B$8),"BET","PASS")))</f>
        <v/>
      </c>
      <c r="AI49" s="69">
        <f>IF(AH49&lt;&gt;"BET",0,ROUND(MIN(Method!$B$6,Method!$B$5*AL49)*100,1))</f>
        <v/>
      </c>
      <c r="AJ49" s="70">
        <f>IF(OR(AH49&lt;&gt;"BET",Method!$B$55=TRUE()),0,IF(AI49*Method!$B$10/100&lt;Method!$B$9,0,ROUND(AI49*Method!$B$10/100,0)))</f>
        <v/>
      </c>
      <c r="AK49" s="64">
        <f>IF(AB49="","",INDEX(V49:X49,1,AB49))</f>
        <v/>
      </c>
      <c r="AL49" s="64">
        <f>IF(AH49&lt;&gt;"BET","",MAX(0,(AK49*AE49-1)/(AE49-1)))</f>
        <v/>
      </c>
      <c r="AM49" s="66">
        <f>IF(AH49="BET",AF49+A49/1000000,"")</f>
        <v/>
      </c>
      <c r="AN49" s="71">
        <f>IF(Matchday!N51="","",Matchday!N51)</f>
        <v/>
      </c>
      <c r="AO49" s="63">
        <f>IF(Matchday!P51="","",Matchday!P51)</f>
        <v/>
      </c>
      <c r="AP49" s="72">
        <f>IF(Matchday!Q51="","",Matchday!Q51)</f>
        <v/>
      </c>
      <c r="AQ49" s="71">
        <f>IF(Matchday!R51="","",Matchday!R51)</f>
        <v/>
      </c>
      <c r="AR49" s="73">
        <f>IF(OR(AN49&lt;&gt;"Y",AQ49="",AV49=""),"",IF(AQ49="Void",0,IF(AQ49=AV49,ROUND(AP49*(AO49-1),2),-AP49)))</f>
        <v/>
      </c>
      <c r="AS49" s="73">
        <f>IF(AR49="","",SUM($AR$2:AR49))</f>
        <v/>
      </c>
      <c r="AT49" s="31">
        <f>IF(AB49="","Type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pauses.")),IF(AH49="BET",IF(AJ49=0,"Edge found but stake rounds under £"&amp;Method!$B$9&amp;" — skip",IF(AND(AE49&gt;=6,AG49&gt;=0.15),"🟡 WAIT — long-shot review: odds "&amp;TEXT(AE49,"0.00")&amp;" + edge "&amp;TEXT(AG49,"0.0%")&amp;" — verify sharp-book + team news + stake comfort before Placed=Y","Value found: EV "&amp;TEXT(AF49,"0.0%")&amp;", edge "&amp;TEXT(AG49,"0.0%"))),IF(OR(AF49&gt;Method!$B$87,IFERROR(INDEX(BC49:BE49,1,AB49)/INDEX(S49:U49,1,AB49),0)&gt;Method!$B$88),"🛑 Tail trap — auto-PASS · EV "&amp;TEXT(AF49,"0.0%")&amp;" (cap "&amp;TEXT(Method!$B$87,"0%")&amp;") · model/market "&amp;TEXT(IFERROR(INDEX(BC49:BE49,1,AB49)/INDEX(S49:U49,1,AB49),0),"0.0")&amp;"× (cap "&amp;TEXT(Method!$B$88,"0.0")&amp;"×)",IF(AF49&lt;Method!$B$7,"Price too short — EV "&amp;TEXT(AF49,"0.0%")&amp;" (need "&amp;TEXT(Method!$B$7,"0.0%")&amp;"+)","Model ≈ market — edge "&amp;TEXT(AG49,"0.0%")&amp;" (need "&amp;TEXT(Method!$B$8,"0.0%")&amp;"+)")))))</f>
        <v/>
      </c>
      <c r="AU49" s="31">
        <f>IF(AN49&lt;&gt;"Y","",IF(AH49="· enter odds","⚠ type the 3 odds (1/X/2) to grade this bet",IF(OR(AV49="",AO49="",AP49=""),"⚠ log backed pick, odds &amp; stake",IF(AZ49&lt;&gt;"BET","⚠ FUN BET — engine said pass · staked £"&amp;AP49&amp;" vs engine £"&amp;BA49,IF(AV49&lt;&gt;IF(AY49="",AC49,AY49),"⚠ backed "&amp;AV49&amp;" but engine pick was "&amp;IF(AY49="",AC49,AY49),IF(AP49&gt;BA49,"⚠ stake over engine £"&amp;BA49,IF(ABS(AO49-IFERROR(INDEX(L49:N49,1,MATCH(AV49,{"H","D","A"},0)),AE49))&gt;0.02,"⚠ odds moved — re-check value","✓ engine bet")))))))</f>
        <v/>
      </c>
      <c r="AV49" s="59">
        <f>IF(Matchday!O51="","",Matchday!O51)</f>
        <v/>
      </c>
      <c r="AW49" s="79" t="n"/>
      <c r="AX49" s="79" t="n"/>
      <c r="AY49" s="79" t="n"/>
      <c r="AZ49" s="79">
        <f>IF(AW49="",AH49,AW49)</f>
        <v/>
      </c>
      <c r="BA49" s="75">
        <f>IF(AX49&lt;&gt;"",AX49,IF(AH49&lt;&gt;"BET",0,IF(AI49*Method!$B$10/100&lt;Method!$B$9,0,ROUND(AI49*Method!$B$10/100,0))))</f>
        <v/>
      </c>
      <c r="BB49" s="77" t="n">
        <v>2.369999999999999</v>
      </c>
      <c r="BC49" s="77" t="n">
        <v>0.6311789749297905</v>
      </c>
      <c r="BD49" s="77" t="n">
        <v>0.2568612330454332</v>
      </c>
      <c r="BE49" s="77" t="n">
        <v>0.1119597920247762</v>
      </c>
      <c r="BF49" s="14" t="inlineStr">
        <is>
          <t>Colombia team-wide: +10 · DR Congo team-wide: -7</t>
        </is>
      </c>
      <c r="BG49" s="77" t="n">
        <v>1560</v>
      </c>
      <c r="BH49" s="77" t="inlineStr">
        <is>
          <t>warm_humid</t>
        </is>
      </c>
      <c r="BI49" s="77" t="n">
        <v>475.9</v>
      </c>
    </row>
    <row r="50" ht="15" customHeight="1" s="153">
      <c r="A50" s="59" t="n">
        <v>49</v>
      </c>
      <c r="B50" s="58" t="n">
        <v>46197</v>
      </c>
      <c r="C50" s="59" t="inlineStr">
        <is>
          <t>B</t>
        </is>
      </c>
      <c r="D50" s="66" t="inlineStr">
        <is>
          <t>Switzerland</t>
        </is>
      </c>
      <c r="E50" s="66" t="inlineStr">
        <is>
          <t>Canada</t>
        </is>
      </c>
      <c r="F50" s="66" t="inlineStr">
        <is>
          <t>Vancouver</t>
        </is>
      </c>
      <c r="G50" s="61" t="n">
        <v>0.625</v>
      </c>
      <c r="H50" s="61" t="n">
        <v>0.9583333333333334</v>
      </c>
      <c r="I50" s="64" t="n">
        <v>0.4169552225270409</v>
      </c>
      <c r="J50" s="64" t="n">
        <v>0.2925698148177454</v>
      </c>
      <c r="K50" s="64" t="n">
        <v>0.2904749626552139</v>
      </c>
      <c r="L50" s="63">
        <f>IF(Matchday!E52="","",Matchday!E52)</f>
        <v/>
      </c>
      <c r="M50" s="63">
        <f>IF(Matchday!F52="","",Matchday!F52)</f>
        <v/>
      </c>
      <c r="N50" s="63">
        <f>IF(Matchday!G52="","",Matchday!G52)</f>
        <v/>
      </c>
      <c r="O50" s="64">
        <f>IF(L50="","",1/L50)</f>
        <v/>
      </c>
      <c r="P50" s="64">
        <f>IF(M50="","",1/M50)</f>
        <v/>
      </c>
      <c r="Q50" s="64">
        <f>IF(N50="","",1/N50)</f>
        <v/>
      </c>
      <c r="R50" s="64">
        <f>IF(COUNT(L50:N50)&lt;3,"",O50+P50+Q50)</f>
        <v/>
      </c>
      <c r="S50" s="64">
        <f t="array" ref="S50">IF($R50="","",IF(Method!$B$56="proportional",O50/$R50,IF(Method!$B$56="power",IFERROR(INDEX(power_devig($L50,$M50,$N50),1,1),O50/$R50),IFERROR(INDEX(shin($L50,$M50,$N50),1,1),O50/$R50))))</f>
        <v/>
      </c>
      <c r="T50" s="64">
        <f t="array" ref="T50">IF($R50="","",IF(Method!$B$56="proportional",P50/$R50,IF(Method!$B$56="power",IFERROR(INDEX(power_devig($L50,$M50,$N50),2,1),P50/$R50),IFERROR(INDEX(shin($L50,$M50,$N50),2,1),P50/$R50))))</f>
        <v/>
      </c>
      <c r="U50" s="64">
        <f t="array" ref="U50">IF($R50="","",IF(Method!$B$56="proportional",Q50/$R50,IF(Method!$B$56="power",IFERROR(INDEX(power_devig($L50,$M50,$N50),3,1),Q50/$R50),IFERROR(INDEX(shin($L50,$M50,$N50),3,1),Q50/$R50))))</f>
        <v/>
      </c>
      <c r="V50" s="64">
        <f>IF(S50="","",Method!$B$4*IF(BC50="",I50,BC50)+(1-Method!$B$4)*S50/($S50+$T50+$U50))</f>
        <v/>
      </c>
      <c r="W50" s="64">
        <f>IF(T50="","",Method!$B$4*IF(BD50="",J50,BD50)+(1-Method!$B$4)*T50/($S50+$T50+$U50))</f>
        <v/>
      </c>
      <c r="X50" s="64">
        <f>IF(U50="","",Method!$B$4*IF(BE50="",K50,BE50)+(1-Method!$B$4)*U50/($S50+$T50+$U50))</f>
        <v/>
      </c>
      <c r="Y50" s="65">
        <f>IF(V50="","",V50*L50-1)</f>
        <v/>
      </c>
      <c r="Z50" s="65">
        <f>IF(W50="","",W50*M50-1)</f>
        <v/>
      </c>
      <c r="AA50" s="65">
        <f>IF(X50="","",X50*N50-1)</f>
        <v/>
      </c>
      <c r="AB50" s="66">
        <f>IF(Y50="","",MATCH(MAX(Y50:AA50),Y50:AA50,0))</f>
        <v/>
      </c>
      <c r="AC50" s="66">
        <f>IF(AB50="","",CHOOSE(AB50,"H","D","A"))</f>
        <v/>
      </c>
      <c r="AD50" s="67">
        <f>IF(AB50="","",CHOOSE(AB50,"1  "&amp;D50,"X  Draw","2  "&amp;E50))</f>
        <v/>
      </c>
      <c r="AE50" s="33">
        <f>IF(AB50="","",INDEX(L50:N50,1,AB50))</f>
        <v/>
      </c>
      <c r="AF50" s="65">
        <f>IF(AB50="","",INDEX(Y50:AA50,1,AB50))</f>
        <v/>
      </c>
      <c r="AG50" s="65">
        <f>IF(AB50="","",INDEX(V50:X50,1,AB50)-INDEX(S50:U50,1,AB50))</f>
        <v/>
      </c>
      <c r="AH50" s="68">
        <f>IF(AB50="","· enter odds",IF(OR(AF50&gt;Method!$B$87,IFERROR(INDEX(BC50:BE50,1,AB50)/INDEX(S50:U50,1,AB50),0)&gt;Method!$B$88),"PASS",IF(AND(AF50&gt;=Method!$B$7,AG50&gt;=Method!$B$8),"BET","PASS")))</f>
        <v/>
      </c>
      <c r="AI50" s="69">
        <f>IF(AH50&lt;&gt;"BET",0,ROUND(MIN(Method!$B$6,Method!$B$5*AL50)*100,1))</f>
        <v/>
      </c>
      <c r="AJ50" s="70">
        <f>IF(OR(AH50&lt;&gt;"BET",Method!$B$55=TRUE()),0,IF(AI50*Method!$B$10/100&lt;Method!$B$9,0,ROUND(AI50*Method!$B$10/100,0)))</f>
        <v/>
      </c>
      <c r="AK50" s="64">
        <f>IF(AB50="","",INDEX(V50:X50,1,AB50))</f>
        <v/>
      </c>
      <c r="AL50" s="64">
        <f>IF(AH50&lt;&gt;"BET","",MAX(0,(AK50*AE50-1)/(AE50-1)))</f>
        <v/>
      </c>
      <c r="AM50" s="66">
        <f>IF(AH50="BET",AF50+A50/1000000,"")</f>
        <v/>
      </c>
      <c r="AN50" s="71">
        <f>IF(Matchday!N52="","",Matchday!N52)</f>
        <v/>
      </c>
      <c r="AO50" s="63">
        <f>IF(Matchday!P52="","",Matchday!P52)</f>
        <v/>
      </c>
      <c r="AP50" s="72">
        <f>IF(Matchday!Q52="","",Matchday!Q52)</f>
        <v/>
      </c>
      <c r="AQ50" s="71">
        <f>IF(Matchday!R52="","",Matchday!R52)</f>
        <v/>
      </c>
      <c r="AR50" s="73">
        <f>IF(OR(AN50&lt;&gt;"Y",AQ50="",AV50=""),"",IF(AQ50="Void",0,IF(AQ50=AV50,ROUND(AP50*(AO50-1),2),-AP50)))</f>
        <v/>
      </c>
      <c r="AS50" s="73">
        <f>IF(AR50="","",SUM($AR$2:AR50))</f>
        <v/>
      </c>
      <c r="AT50" s="31">
        <f>IF(AB50="","Type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pauses.")),IF(AH50="BET",IF(AJ50=0,"Edge found but stake rounds under £"&amp;Method!$B$9&amp;" — skip",IF(AND(AE50&gt;=6,AG50&gt;=0.15),"🟡 WAIT — long-shot review: odds "&amp;TEXT(AE50,"0.00")&amp;" + edge "&amp;TEXT(AG50,"0.0%")&amp;" — verify sharp-book + team news + stake comfort before Placed=Y","Value found: EV "&amp;TEXT(AF50,"0.0%")&amp;", edge "&amp;TEXT(AG50,"0.0%"))),IF(OR(AF50&gt;Method!$B$87,IFERROR(INDEX(BC50:BE50,1,AB50)/INDEX(S50:U50,1,AB50),0)&gt;Method!$B$88),"🛑 Tail trap — auto-PASS · EV "&amp;TEXT(AF50,"0.0%")&amp;" (cap "&amp;TEXT(Method!$B$87,"0%")&amp;") · model/market "&amp;TEXT(IFERROR(INDEX(BC50:BE50,1,AB50)/INDEX(S50:U50,1,AB50),0),"0.0")&amp;"× (cap "&amp;TEXT(Method!$B$88,"0.0")&amp;"×)",IF(AF50&lt;Method!$B$7,"Price too short — EV "&amp;TEXT(AF50,"0.0%")&amp;" (need "&amp;TEXT(Method!$B$7,"0.0%")&amp;"+)","Model ≈ market — edge "&amp;TEXT(AG50,"0.0%")&amp;" (need "&amp;TEXT(Method!$B$8,"0.0%")&amp;"+)")))))</f>
        <v/>
      </c>
      <c r="AU50" s="31">
        <f>IF(AN50&lt;&gt;"Y","",IF(AH50="· enter odds","⚠ type the 3 odds (1/X/2) to grade this bet",IF(OR(AV50="",AO50="",AP50=""),"⚠ log backed pick, odds &amp; stake",IF(AZ50&lt;&gt;"BET","⚠ FUN BET — engine said pass · staked £"&amp;AP50&amp;" vs engine £"&amp;BA50,IF(AV50&lt;&gt;IF(AY50="",AC50,AY50),"⚠ backed "&amp;AV50&amp;" but engine pick was "&amp;IF(AY50="",AC50,AY50),IF(AP50&gt;BA50,"⚠ stake over engine £"&amp;BA50,IF(ABS(AO50-IFERROR(INDEX(L50:N50,1,MATCH(AV50,{"H","D","A"},0)),AE50))&gt;0.02,"⚠ odds moved — re-check value","✓ engine bet")))))))</f>
        <v/>
      </c>
      <c r="AV50" s="59">
        <f>IF(Matchday!O52="","",Matchday!O52)</f>
        <v/>
      </c>
      <c r="AW50" s="79" t="n"/>
      <c r="AX50" s="79" t="n"/>
      <c r="AY50" s="79" t="n"/>
      <c r="AZ50" s="79">
        <f>IF(AW50="",AH50,AW50)</f>
        <v/>
      </c>
      <c r="BA50" s="75">
        <f>IF(AX50&lt;&gt;"",AX50,IF(AH50&lt;&gt;"BET",0,IF(AI50*Method!$B$10/100&lt;Method!$B$9,0,ROUND(AI50*Method!$B$10/100,0))))</f>
        <v/>
      </c>
      <c r="BB50" s="77" t="n">
        <v>-27.36</v>
      </c>
      <c r="BC50" s="77" t="n">
        <v>0.4193961641291015</v>
      </c>
      <c r="BD50" s="77" t="n">
        <v>0.2645825041642569</v>
      </c>
      <c r="BE50" s="77" t="n">
        <v>0.3160213317066417</v>
      </c>
      <c r="BF50" s="14" t="inlineStr">
        <is>
          <t>Canada team-wide: -10 · Switzerland team-wide: -17</t>
        </is>
      </c>
      <c r="BG50" s="77" t="n">
        <v>0</v>
      </c>
      <c r="BH50" s="77" t="inlineStr">
        <is>
          <t>mild_indoor</t>
        </is>
      </c>
      <c r="BI50" s="77" t="n">
        <v>1748.5</v>
      </c>
    </row>
    <row r="51" ht="15" customHeight="1" s="153">
      <c r="A51" s="59" t="n">
        <v>50</v>
      </c>
      <c r="B51" s="58" t="n">
        <v>46197</v>
      </c>
      <c r="C51" s="59" t="inlineStr">
        <is>
          <t>B</t>
        </is>
      </c>
      <c r="D51" s="66" t="inlineStr">
        <is>
          <t>Bosnia and Herzegovina</t>
        </is>
      </c>
      <c r="E51" s="66" t="inlineStr">
        <is>
          <t>Qatar</t>
        </is>
      </c>
      <c r="F51" s="66" t="inlineStr">
        <is>
          <t>Seattle</t>
        </is>
      </c>
      <c r="G51" s="61" t="n">
        <v>0.625</v>
      </c>
      <c r="H51" s="61" t="n">
        <v>0.9583333333333334</v>
      </c>
      <c r="I51" s="64" t="n">
        <v>0.4259459939194208</v>
      </c>
      <c r="J51" s="64" t="n">
        <v>0.3005389644799936</v>
      </c>
      <c r="K51" s="64" t="n">
        <v>0.2735150416005857</v>
      </c>
      <c r="L51" s="63">
        <f>IF(Matchday!E53="","",Matchday!E53)</f>
        <v/>
      </c>
      <c r="M51" s="63">
        <f>IF(Matchday!F53="","",Matchday!F53)</f>
        <v/>
      </c>
      <c r="N51" s="63">
        <f>IF(Matchday!G53="","",Matchday!G53)</f>
        <v/>
      </c>
      <c r="O51" s="64">
        <f>IF(L51="","",1/L51)</f>
        <v/>
      </c>
      <c r="P51" s="64">
        <f>IF(M51="","",1/M51)</f>
        <v/>
      </c>
      <c r="Q51" s="64">
        <f>IF(N51="","",1/N51)</f>
        <v/>
      </c>
      <c r="R51" s="64">
        <f>IF(COUNT(L51:N51)&lt;3,"",O51+P51+Q51)</f>
        <v/>
      </c>
      <c r="S51" s="64">
        <f t="array" ref="S51">IF($R51="","",IF(Method!$B$56="proportional",O51/$R51,IF(Method!$B$56="power",IFERROR(INDEX(power_devig($L51,$M51,$N51),1,1),O51/$R51),IFERROR(INDEX(shin($L51,$M51,$N51),1,1),O51/$R51))))</f>
        <v/>
      </c>
      <c r="T51" s="64">
        <f t="array" ref="T51">IF($R51="","",IF(Method!$B$56="proportional",P51/$R51,IF(Method!$B$56="power",IFERROR(INDEX(power_devig($L51,$M51,$N51),2,1),P51/$R51),IFERROR(INDEX(shin($L51,$M51,$N51),2,1),P51/$R51))))</f>
        <v/>
      </c>
      <c r="U51" s="64">
        <f t="array" ref="U51">IF($R51="","",IF(Method!$B$56="proportional",Q51/$R51,IF(Method!$B$56="power",IFERROR(INDEX(power_devig($L51,$M51,$N51),3,1),Q51/$R51),IFERROR(INDEX(shin($L51,$M51,$N51),3,1),Q51/$R51))))</f>
        <v/>
      </c>
      <c r="V51" s="64">
        <f>IF(S51="","",Method!$B$4*IF(BC51="",I51,BC51)+(1-Method!$B$4)*S51/($S51+$T51+$U51))</f>
        <v/>
      </c>
      <c r="W51" s="64">
        <f>IF(T51="","",Method!$B$4*IF(BD51="",J51,BD51)+(1-Method!$B$4)*T51/($S51+$T51+$U51))</f>
        <v/>
      </c>
      <c r="X51" s="64">
        <f>IF(U51="","",Method!$B$4*IF(BE51="",K51,BE51)+(1-Method!$B$4)*U51/($S51+$T51+$U51))</f>
        <v/>
      </c>
      <c r="Y51" s="65">
        <f>IF(V51="","",V51*L51-1)</f>
        <v/>
      </c>
      <c r="Z51" s="65">
        <f>IF(W51="","",W51*M51-1)</f>
        <v/>
      </c>
      <c r="AA51" s="65">
        <f>IF(X51="","",X51*N51-1)</f>
        <v/>
      </c>
      <c r="AB51" s="66">
        <f>IF(Y51="","",MATCH(MAX(Y51:AA51),Y51:AA51,0))</f>
        <v/>
      </c>
      <c r="AC51" s="66">
        <f>IF(AB51="","",CHOOSE(AB51,"H","D","A"))</f>
        <v/>
      </c>
      <c r="AD51" s="67">
        <f>IF(AB51="","",CHOOSE(AB51,"1  "&amp;D51,"X  Draw","2  "&amp;E51))</f>
        <v/>
      </c>
      <c r="AE51" s="33">
        <f>IF(AB51="","",INDEX(L51:N51,1,AB51))</f>
        <v/>
      </c>
      <c r="AF51" s="65">
        <f>IF(AB51="","",INDEX(Y51:AA51,1,AB51))</f>
        <v/>
      </c>
      <c r="AG51" s="65">
        <f>IF(AB51="","",INDEX(V51:X51,1,AB51)-INDEX(S51:U51,1,AB51))</f>
        <v/>
      </c>
      <c r="AH51" s="68">
        <f>IF(AB51="","· enter odds",IF(OR(AF51&gt;Method!$B$87,IFERROR(INDEX(BC51:BE51,1,AB51)/INDEX(S51:U51,1,AB51),0)&gt;Method!$B$88),"PASS",IF(AND(AF51&gt;=Method!$B$7,AG51&gt;=Method!$B$8),"BET","PASS")))</f>
        <v/>
      </c>
      <c r="AI51" s="69">
        <f>IF(AH51&lt;&gt;"BET",0,ROUND(MIN(Method!$B$6,Method!$B$5*AL51)*100,1))</f>
        <v/>
      </c>
      <c r="AJ51" s="70">
        <f>IF(OR(AH51&lt;&gt;"BET",Method!$B$55=TRUE()),0,IF(AI51*Method!$B$10/100&lt;Method!$B$9,0,ROUND(AI51*Method!$B$10/100,0)))</f>
        <v/>
      </c>
      <c r="AK51" s="64">
        <f>IF(AB51="","",INDEX(V51:X51,1,AB51))</f>
        <v/>
      </c>
      <c r="AL51" s="64">
        <f>IF(AH51&lt;&gt;"BET","",MAX(0,(AK51*AE51-1)/(AE51-1)))</f>
        <v/>
      </c>
      <c r="AM51" s="66">
        <f>IF(AH51="BET",AF51+A51/1000000,"")</f>
        <v/>
      </c>
      <c r="AN51" s="71">
        <f>IF(Matchday!N53="","",Matchday!N53)</f>
        <v/>
      </c>
      <c r="AO51" s="63">
        <f>IF(Matchday!P53="","",Matchday!P53)</f>
        <v/>
      </c>
      <c r="AP51" s="72">
        <f>IF(Matchday!Q53="","",Matchday!Q53)</f>
        <v/>
      </c>
      <c r="AQ51" s="71">
        <f>IF(Matchday!R53="","",Matchday!R53)</f>
        <v/>
      </c>
      <c r="AR51" s="73">
        <f>IF(OR(AN51&lt;&gt;"Y",AQ51="",AV51=""),"",IF(AQ51="Void",0,IF(AQ51=AV51,ROUND(AP51*(AO51-1),2),-AP51)))</f>
        <v/>
      </c>
      <c r="AS51" s="73">
        <f>IF(AR51="","",SUM($AR$2:AR51))</f>
        <v/>
      </c>
      <c r="AT51" s="31">
        <f>IF(AB51="","Type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pauses.")),IF(AH51="BET",IF(AJ51=0,"Edge found but stake rounds under £"&amp;Method!$B$9&amp;" — skip",IF(AND(AE51&gt;=6,AG51&gt;=0.15),"🟡 WAIT — long-shot review: odds "&amp;TEXT(AE51,"0.00")&amp;" + edge "&amp;TEXT(AG51,"0.0%")&amp;" — verify sharp-book + team news + stake comfort before Placed=Y","Value found: EV "&amp;TEXT(AF51,"0.0%")&amp;", edge "&amp;TEXT(AG51,"0.0%"))),IF(OR(AF51&gt;Method!$B$87,IFERROR(INDEX(BC51:BE51,1,AB51)/INDEX(S51:U51,1,AB51),0)&gt;Method!$B$88),"🛑 Tail trap — auto-PASS · EV "&amp;TEXT(AF51,"0.0%")&amp;" (cap "&amp;TEXT(Method!$B$87,"0%")&amp;") · model/market "&amp;TEXT(IFERROR(INDEX(BC51:BE51,1,AB51)/INDEX(S51:U51,1,AB51),0),"0.0")&amp;"× (cap "&amp;TEXT(Method!$B$88,"0.0")&amp;"×)",IF(AF51&lt;Method!$B$7,"Price too short — EV "&amp;TEXT(AF51,"0.0%")&amp;" (need "&amp;TEXT(Method!$B$7,"0.0%")&amp;"+)","Model ≈ market — edge "&amp;TEXT(AG51,"0.0%")&amp;" (need "&amp;TEXT(Method!$B$8,"0.0%")&amp;"+)")))))</f>
        <v/>
      </c>
      <c r="AU51" s="31">
        <f>IF(AN51&lt;&gt;"Y","",IF(AH51="· enter odds","⚠ type the 3 odds (1/X/2) to grade this bet",IF(OR(AV51="",AO51="",AP51=""),"⚠ log backed pick, odds &amp; stake",IF(AZ51&lt;&gt;"BET","⚠ FUN BET — engine said pass · staked £"&amp;AP51&amp;" vs engine £"&amp;BA51,IF(AV51&lt;&gt;IF(AY51="",AC51,AY51),"⚠ backed "&amp;AV51&amp;" but engine pick was "&amp;IF(AY51="",AC51,AY51),IF(AP51&gt;BA51,"⚠ stake over engine £"&amp;BA51,IF(ABS(AO51-IFERROR(INDEX(L51:N51,1,MATCH(AV51,{"H","D","A"},0)),AE51))&gt;0.02,"⚠ odds moved — re-check value","✓ engine bet")))))))</f>
        <v/>
      </c>
      <c r="AV51" s="59">
        <f>IF(Matchday!O53="","",Matchday!O53)</f>
        <v/>
      </c>
      <c r="AW51" s="79" t="n"/>
      <c r="AX51" s="79" t="n"/>
      <c r="AY51" s="79" t="n"/>
      <c r="AZ51" s="79">
        <f>IF(AW51="",AH51,AW51)</f>
        <v/>
      </c>
      <c r="BA51" s="75">
        <f>IF(AX51&lt;&gt;"",AX51,IF(AH51&lt;&gt;"BET",0,IF(AI51*Method!$B$10/100&lt;Method!$B$9,0,ROUND(AI51*Method!$B$10/100,0))))</f>
        <v/>
      </c>
      <c r="BB51" s="77" t="n">
        <v>-59.09</v>
      </c>
      <c r="BC51" s="77" t="n">
        <v>0.4363505737652275</v>
      </c>
      <c r="BD51" s="77" t="n">
        <v>0.2636078132056392</v>
      </c>
      <c r="BE51" s="77" t="n">
        <v>0.3000416130291333</v>
      </c>
      <c r="BF51" s="77" t="inlineStr">
        <is>
          <t>Bosnia and Herzegovina team-wide: -15 · Bosnia and Herzegovina suspension: -3 · Qatar team-wide: -35 · Qatar suspension: -3 · Qatar suspension: -3</t>
        </is>
      </c>
      <c r="BG51" s="77" t="n">
        <v>5</v>
      </c>
      <c r="BH51" s="77" t="inlineStr">
        <is>
          <t>mild</t>
        </is>
      </c>
      <c r="BI51" s="77" t="n">
        <v>1553.1</v>
      </c>
    </row>
    <row r="52" ht="15" customHeight="1" s="153">
      <c r="A52" s="59" t="n">
        <v>51</v>
      </c>
      <c r="B52" s="58" t="n">
        <v>46197</v>
      </c>
      <c r="C52" s="59" t="inlineStr">
        <is>
          <t>C</t>
        </is>
      </c>
      <c r="D52" s="66" t="inlineStr">
        <is>
          <t>Scotland</t>
        </is>
      </c>
      <c r="E52" s="66" t="inlineStr">
        <is>
          <t>Brazil</t>
        </is>
      </c>
      <c r="F52" s="66" t="inlineStr">
        <is>
          <t>Miami Gardens</t>
        </is>
      </c>
      <c r="G52" s="61" t="n">
        <v>0.75</v>
      </c>
      <c r="H52" s="61" t="n">
        <v>0.9583333333333334</v>
      </c>
      <c r="I52" s="64" t="n">
        <v>0.238647245507354</v>
      </c>
      <c r="J52" s="64" t="n">
        <v>0.2681262022070766</v>
      </c>
      <c r="K52" s="64" t="n">
        <v>0.4932265522855694</v>
      </c>
      <c r="L52" s="63">
        <f>IF(Matchday!E54="","",Matchday!E54)</f>
        <v/>
      </c>
      <c r="M52" s="63">
        <f>IF(Matchday!F54="","",Matchday!F54)</f>
        <v/>
      </c>
      <c r="N52" s="63">
        <f>IF(Matchday!G54="","",Matchday!G54)</f>
        <v/>
      </c>
      <c r="O52" s="64">
        <f>IF(L52="","",1/L52)</f>
        <v/>
      </c>
      <c r="P52" s="64">
        <f>IF(M52="","",1/M52)</f>
        <v/>
      </c>
      <c r="Q52" s="64">
        <f>IF(N52="","",1/N52)</f>
        <v/>
      </c>
      <c r="R52" s="64">
        <f>IF(COUNT(L52:N52)&lt;3,"",O52+P52+Q52)</f>
        <v/>
      </c>
      <c r="S52" s="64">
        <f t="array" ref="S52">IF($R52="","",IF(Method!$B$56="proportional",O52/$R52,IF(Method!$B$56="power",IFERROR(INDEX(power_devig($L52,$M52,$N52),1,1),O52/$R52),IFERROR(INDEX(shin($L52,$M52,$N52),1,1),O52/$R52))))</f>
        <v/>
      </c>
      <c r="T52" s="64">
        <f t="array" ref="T52">IF($R52="","",IF(Method!$B$56="proportional",P52/$R52,IF(Method!$B$56="power",IFERROR(INDEX(power_devig($L52,$M52,$N52),2,1),P52/$R52),IFERROR(INDEX(shin($L52,$M52,$N52),2,1),P52/$R52))))</f>
        <v/>
      </c>
      <c r="U52" s="64">
        <f t="array" ref="U52">IF($R52="","",IF(Method!$B$56="proportional",Q52/$R52,IF(Method!$B$56="power",IFERROR(INDEX(power_devig($L52,$M52,$N52),3,1),Q52/$R52),IFERROR(INDEX(shin($L52,$M52,$N52),3,1),Q52/$R52))))</f>
        <v/>
      </c>
      <c r="V52" s="64">
        <f>IF(S52="","",Method!$B$4*IF(BC52="",I52,BC52)+(1-Method!$B$4)*S52/($S52+$T52+$U52))</f>
        <v/>
      </c>
      <c r="W52" s="64">
        <f>IF(T52="","",Method!$B$4*IF(BD52="",J52,BD52)+(1-Method!$B$4)*T52/($S52+$T52+$U52))</f>
        <v/>
      </c>
      <c r="X52" s="64">
        <f>IF(U52="","",Method!$B$4*IF(BE52="",K52,BE52)+(1-Method!$B$4)*U52/($S52+$T52+$U52))</f>
        <v/>
      </c>
      <c r="Y52" s="65">
        <f>IF(V52="","",V52*L52-1)</f>
        <v/>
      </c>
      <c r="Z52" s="65">
        <f>IF(W52="","",W52*M52-1)</f>
        <v/>
      </c>
      <c r="AA52" s="65">
        <f>IF(X52="","",X52*N52-1)</f>
        <v/>
      </c>
      <c r="AB52" s="66">
        <f>IF(Y52="","",MATCH(MAX(Y52:AA52),Y52:AA52,0))</f>
        <v/>
      </c>
      <c r="AC52" s="66">
        <f>IF(AB52="","",CHOOSE(AB52,"H","D","A"))</f>
        <v/>
      </c>
      <c r="AD52" s="67">
        <f>IF(AB52="","",CHOOSE(AB52,"1  "&amp;D52,"X  Draw","2  "&amp;E52))</f>
        <v/>
      </c>
      <c r="AE52" s="33">
        <f>IF(AB52="","",INDEX(L52:N52,1,AB52))</f>
        <v/>
      </c>
      <c r="AF52" s="65">
        <f>IF(AB52="","",INDEX(Y52:AA52,1,AB52))</f>
        <v/>
      </c>
      <c r="AG52" s="65">
        <f>IF(AB52="","",INDEX(V52:X52,1,AB52)-INDEX(S52:U52,1,AB52))</f>
        <v/>
      </c>
      <c r="AH52" s="68">
        <f>IF(AB52="","· enter odds",IF(OR(AF52&gt;Method!$B$87,IFERROR(INDEX(BC52:BE52,1,AB52)/INDEX(S52:U52,1,AB52),0)&gt;Method!$B$88),"PASS",IF(AND(AF52&gt;=Method!$B$7,AG52&gt;=Method!$B$8),"BET","PASS")))</f>
        <v/>
      </c>
      <c r="AI52" s="69">
        <f>IF(AH52&lt;&gt;"BET",0,ROUND(MIN(Method!$B$6,Method!$B$5*AL52)*100,1))</f>
        <v/>
      </c>
      <c r="AJ52" s="70">
        <f>IF(OR(AH52&lt;&gt;"BET",Method!$B$55=TRUE()),0,IF(AI52*Method!$B$10/100&lt;Method!$B$9,0,ROUND(AI52*Method!$B$10/100,0)))</f>
        <v/>
      </c>
      <c r="AK52" s="64">
        <f>IF(AB52="","",INDEX(V52:X52,1,AB52))</f>
        <v/>
      </c>
      <c r="AL52" s="64">
        <f>IF(AH52&lt;&gt;"BET","",MAX(0,(AK52*AE52-1)/(AE52-1)))</f>
        <v/>
      </c>
      <c r="AM52" s="66">
        <f>IF(AH52="BET",AF52+A52/1000000,"")</f>
        <v/>
      </c>
      <c r="AN52" s="71">
        <f>IF(Matchday!N54="","",Matchday!N54)</f>
        <v/>
      </c>
      <c r="AO52" s="63">
        <f>IF(Matchday!P54="","",Matchday!P54)</f>
        <v/>
      </c>
      <c r="AP52" s="72">
        <f>IF(Matchday!Q54="","",Matchday!Q54)</f>
        <v/>
      </c>
      <c r="AQ52" s="71">
        <f>IF(Matchday!R54="","",Matchday!R54)</f>
        <v/>
      </c>
      <c r="AR52" s="73">
        <f>IF(OR(AN52&lt;&gt;"Y",AQ52="",AV52=""),"",IF(AQ52="Void",0,IF(AQ52=AV52,ROUND(AP52*(AO52-1),2),-AP52)))</f>
        <v/>
      </c>
      <c r="AS52" s="73">
        <f>IF(AR52="","",SUM($AR$2:AR52))</f>
        <v/>
      </c>
      <c r="AT52" s="31">
        <f>IF(AB52="","Type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pauses.")),IF(AH52="BET",IF(AJ52=0,"Edge found but stake rounds under £"&amp;Method!$B$9&amp;" — skip",IF(AND(AE52&gt;=6,AG52&gt;=0.15),"🟡 WAIT — long-shot review: odds "&amp;TEXT(AE52,"0.00")&amp;" + edge "&amp;TEXT(AG52,"0.0%")&amp;" — verify sharp-book + team news + stake comfort before Placed=Y","Value found: EV "&amp;TEXT(AF52,"0.0%")&amp;", edge "&amp;TEXT(AG52,"0.0%"))),IF(OR(AF52&gt;Method!$B$87,IFERROR(INDEX(BC52:BE52,1,AB52)/INDEX(S52:U52,1,AB52),0)&gt;Method!$B$88),"🛑 Tail trap — auto-PASS · EV "&amp;TEXT(AF52,"0.0%")&amp;" (cap "&amp;TEXT(Method!$B$87,"0%")&amp;") · model/market "&amp;TEXT(IFERROR(INDEX(BC52:BE52,1,AB52)/INDEX(S52:U52,1,AB52),0),"0.0")&amp;"× (cap "&amp;TEXT(Method!$B$88,"0.0")&amp;"×)",IF(AF52&lt;Method!$B$7,"Price too short — EV "&amp;TEXT(AF52,"0.0%")&amp;" (need "&amp;TEXT(Method!$B$7,"0.0%")&amp;"+)","Model ≈ market — edge "&amp;TEXT(AG52,"0.0%")&amp;" (need "&amp;TEXT(Method!$B$8,"0.0%")&amp;"+)")))))</f>
        <v/>
      </c>
      <c r="AU52" s="31">
        <f>IF(AN52&lt;&gt;"Y","",IF(AH52="· enter odds","⚠ type the 3 odds (1/X/2) to grade this bet",IF(OR(AV52="",AO52="",AP52=""),"⚠ log backed pick, odds &amp; stake",IF(AZ52&lt;&gt;"BET","⚠ FUN BET — engine said pass · staked £"&amp;AP52&amp;" vs engine £"&amp;BA52,IF(AV52&lt;&gt;IF(AY52="",AC52,AY52),"⚠ backed "&amp;AV52&amp;" but engine pick was "&amp;IF(AY52="",AC52,AY52),IF(AP52&gt;BA52,"⚠ stake over engine £"&amp;BA52,IF(ABS(AO52-IFERROR(INDEX(L52:N52,1,MATCH(AV52,{"H","D","A"},0)),AE52))&gt;0.02,"⚠ odds moved — re-check value","✓ engine bet")))))))</f>
        <v/>
      </c>
      <c r="AV52" s="59">
        <f>IF(Matchday!O54="","",Matchday!O54)</f>
        <v/>
      </c>
      <c r="AW52" s="79" t="inlineStr">
        <is>
          <t>BET</t>
        </is>
      </c>
      <c r="AX52" s="79" t="n">
        <v>12</v>
      </c>
      <c r="AY52" s="79" t="inlineStr">
        <is>
          <t>H</t>
        </is>
      </c>
      <c r="AZ52" s="79">
        <f>IF(AW52="",AH52,AW52)</f>
        <v/>
      </c>
      <c r="BA52" s="75">
        <f>IF(AX52&lt;&gt;"",AX52,IF(AH52&lt;&gt;"BET",0,IF(AI52*Method!$B$10/100&lt;Method!$B$9,0,ROUND(AI52*Method!$B$10/100,0))))</f>
        <v/>
      </c>
      <c r="BB52" s="77" t="n">
        <v>-19.84</v>
      </c>
      <c r="BC52" s="77" t="n">
        <v>0.2267545802245396</v>
      </c>
      <c r="BD52" s="77" t="n">
        <v>0.2798567704046977</v>
      </c>
      <c r="BE52" s="77" t="n">
        <v>0.4933886493707628</v>
      </c>
      <c r="BF52" s="77" t="inlineStr">
        <is>
          <t>Brazil team-wide: -16 · Scotland team-wide: -4</t>
        </is>
      </c>
      <c r="BG52" s="77" t="n">
        <v>2</v>
      </c>
      <c r="BH52" s="77" t="inlineStr">
        <is>
          <t>very_hot_humid</t>
        </is>
      </c>
      <c r="BI52" s="77" t="n">
        <v>1972.5</v>
      </c>
    </row>
    <row r="53" ht="15" customHeight="1" s="153">
      <c r="A53" s="59" t="n">
        <v>52</v>
      </c>
      <c r="B53" s="58" t="n">
        <v>46197</v>
      </c>
      <c r="C53" s="59" t="inlineStr">
        <is>
          <t>C</t>
        </is>
      </c>
      <c r="D53" s="66" t="inlineStr">
        <is>
          <t>Morocco</t>
        </is>
      </c>
      <c r="E53" s="66" t="inlineStr">
        <is>
          <t>Haiti</t>
        </is>
      </c>
      <c r="F53" s="66" t="inlineStr">
        <is>
          <t>Atlanta</t>
        </is>
      </c>
      <c r="G53" s="61" t="n">
        <v>0.75</v>
      </c>
      <c r="H53" s="61" t="n">
        <v>0.9583333333333334</v>
      </c>
      <c r="I53" s="64" t="n">
        <v>0.6746075683030347</v>
      </c>
      <c r="J53" s="64" t="n">
        <v>0.2212368296506875</v>
      </c>
      <c r="K53" s="64" t="n">
        <v>0.1041556020462779</v>
      </c>
      <c r="L53" s="63">
        <f>IF(Matchday!E55="","",Matchday!E55)</f>
        <v/>
      </c>
      <c r="M53" s="63">
        <f>IF(Matchday!F55="","",Matchday!F55)</f>
        <v/>
      </c>
      <c r="N53" s="63">
        <f>IF(Matchday!G55="","",Matchday!G55)</f>
        <v/>
      </c>
      <c r="O53" s="64">
        <f>IF(L53="","",1/L53)</f>
        <v/>
      </c>
      <c r="P53" s="64">
        <f>IF(M53="","",1/M53)</f>
        <v/>
      </c>
      <c r="Q53" s="64">
        <f>IF(N53="","",1/N53)</f>
        <v/>
      </c>
      <c r="R53" s="64">
        <f>IF(COUNT(L53:N53)&lt;3,"",O53+P53+Q53)</f>
        <v/>
      </c>
      <c r="S53" s="64">
        <f t="array" ref="S53">IF($R53="","",IF(Method!$B$56="proportional",O53/$R53,IF(Method!$B$56="power",IFERROR(INDEX(power_devig($L53,$M53,$N53),1,1),O53/$R53),IFERROR(INDEX(shin($L53,$M53,$N53),1,1),O53/$R53))))</f>
        <v/>
      </c>
      <c r="T53" s="64">
        <f t="array" ref="T53">IF($R53="","",IF(Method!$B$56="proportional",P53/$R53,IF(Method!$B$56="power",IFERROR(INDEX(power_devig($L53,$M53,$N53),2,1),P53/$R53),IFERROR(INDEX(shin($L53,$M53,$N53),2,1),P53/$R53))))</f>
        <v/>
      </c>
      <c r="U53" s="64">
        <f t="array" ref="U53">IF($R53="","",IF(Method!$B$56="proportional",Q53/$R53,IF(Method!$B$56="power",IFERROR(INDEX(power_devig($L53,$M53,$N53),3,1),Q53/$R53),IFERROR(INDEX(shin($L53,$M53,$N53),3,1),Q53/$R53))))</f>
        <v/>
      </c>
      <c r="V53" s="64">
        <f>IF(S53="","",Method!$B$4*IF(BC53="",I53,BC53)+(1-Method!$B$4)*S53/($S53+$T53+$U53))</f>
        <v/>
      </c>
      <c r="W53" s="64">
        <f>IF(T53="","",Method!$B$4*IF(BD53="",J53,BD53)+(1-Method!$B$4)*T53/($S53+$T53+$U53))</f>
        <v/>
      </c>
      <c r="X53" s="64">
        <f>IF(U53="","",Method!$B$4*IF(BE53="",K53,BE53)+(1-Method!$B$4)*U53/($S53+$T53+$U53))</f>
        <v/>
      </c>
      <c r="Y53" s="65">
        <f>IF(V53="","",V53*L53-1)</f>
        <v/>
      </c>
      <c r="Z53" s="65">
        <f>IF(W53="","",W53*M53-1)</f>
        <v/>
      </c>
      <c r="AA53" s="65">
        <f>IF(X53="","",X53*N53-1)</f>
        <v/>
      </c>
      <c r="AB53" s="66">
        <f>IF(Y53="","",MATCH(MAX(Y53:AA53),Y53:AA53,0))</f>
        <v/>
      </c>
      <c r="AC53" s="66">
        <f>IF(AB53="","",CHOOSE(AB53,"H","D","A"))</f>
        <v/>
      </c>
      <c r="AD53" s="67">
        <f>IF(AB53="","",CHOOSE(AB53,"1  "&amp;D53,"X  Draw","2  "&amp;E53))</f>
        <v/>
      </c>
      <c r="AE53" s="33">
        <f>IF(AB53="","",INDEX(L53:N53,1,AB53))</f>
        <v/>
      </c>
      <c r="AF53" s="65">
        <f>IF(AB53="","",INDEX(Y53:AA53,1,AB53))</f>
        <v/>
      </c>
      <c r="AG53" s="65">
        <f>IF(AB53="","",INDEX(V53:X53,1,AB53)-INDEX(S53:U53,1,AB53))</f>
        <v/>
      </c>
      <c r="AH53" s="68">
        <f>IF(AB53="","· enter odds",IF(OR(AF53&gt;Method!$B$87,IFERROR(INDEX(BC53:BE53,1,AB53)/INDEX(S53:U53,1,AB53),0)&gt;Method!$B$88),"PASS",IF(AND(AF53&gt;=Method!$B$7,AG53&gt;=Method!$B$8),"BET","PASS")))</f>
        <v/>
      </c>
      <c r="AI53" s="69">
        <f>IF(AH53&lt;&gt;"BET",0,ROUND(MIN(Method!$B$6,Method!$B$5*AL53)*100,1))</f>
        <v/>
      </c>
      <c r="AJ53" s="70">
        <f>IF(OR(AH53&lt;&gt;"BET",Method!$B$55=TRUE()),0,IF(AI53*Method!$B$10/100&lt;Method!$B$9,0,ROUND(AI53*Method!$B$10/100,0)))</f>
        <v/>
      </c>
      <c r="AK53" s="64">
        <f>IF(AB53="","",INDEX(V53:X53,1,AB53))</f>
        <v/>
      </c>
      <c r="AL53" s="64">
        <f>IF(AH53&lt;&gt;"BET","",MAX(0,(AK53*AE53-1)/(AE53-1)))</f>
        <v/>
      </c>
      <c r="AM53" s="66">
        <f>IF(AH53="BET",AF53+A53/1000000,"")</f>
        <v/>
      </c>
      <c r="AN53" s="71">
        <f>IF(Matchday!N55="","",Matchday!N55)</f>
        <v/>
      </c>
      <c r="AO53" s="63">
        <f>IF(Matchday!P55="","",Matchday!P55)</f>
        <v/>
      </c>
      <c r="AP53" s="72">
        <f>IF(Matchday!Q55="","",Matchday!Q55)</f>
        <v/>
      </c>
      <c r="AQ53" s="71">
        <f>IF(Matchday!R55="","",Matchday!R55)</f>
        <v/>
      </c>
      <c r="AR53" s="73">
        <f>IF(OR(AN53&lt;&gt;"Y",AQ53="",AV53=""),"",IF(AQ53="Void",0,IF(AQ53=AV53,ROUND(AP53*(AO53-1),2),-AP53)))</f>
        <v/>
      </c>
      <c r="AS53" s="73">
        <f>IF(AR53="","",SUM($AR$2:AR53))</f>
        <v/>
      </c>
      <c r="AT53" s="31">
        <f>IF(AB53="","Type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pauses.")),IF(AH53="BET",IF(AJ53=0,"Edge found but stake rounds under £"&amp;Method!$B$9&amp;" — skip",IF(AND(AE53&gt;=6,AG53&gt;=0.15),"🟡 WAIT — long-shot review: odds "&amp;TEXT(AE53,"0.00")&amp;" + edge "&amp;TEXT(AG53,"0.0%")&amp;" — verify sharp-book + team news + stake comfort before Placed=Y","Value found: EV "&amp;TEXT(AF53,"0.0%")&amp;", edge "&amp;TEXT(AG53,"0.0%"))),IF(OR(AF53&gt;Method!$B$87,IFERROR(INDEX(BC53:BE53,1,AB53)/INDEX(S53:U53,1,AB53),0)&gt;Method!$B$88),"🛑 Tail trap — auto-PASS · EV "&amp;TEXT(AF53,"0.0%")&amp;" (cap "&amp;TEXT(Method!$B$87,"0%")&amp;") · model/market "&amp;TEXT(IFERROR(INDEX(BC53:BE53,1,AB53)/INDEX(S53:U53,1,AB53),0),"0.0")&amp;"× (cap "&amp;TEXT(Method!$B$88,"0.0")&amp;"×)",IF(AF53&lt;Method!$B$7,"Price too short — EV "&amp;TEXT(AF53,"0.0%")&amp;" (need "&amp;TEXT(Method!$B$7,"0.0%")&amp;"+)","Model ≈ market — edge "&amp;TEXT(AG53,"0.0%")&amp;" (need "&amp;TEXT(Method!$B$8,"0.0%")&amp;"+)")))))</f>
        <v/>
      </c>
      <c r="AU53" s="31">
        <f>IF(AN53&lt;&gt;"Y","",IF(AH53="· enter odds","⚠ type the 3 odds (1/X/2) to grade this bet",IF(OR(AV53="",AO53="",AP53=""),"⚠ log backed pick, odds &amp; stake",IF(AZ53&lt;&gt;"BET","⚠ FUN BET — engine said pass · staked £"&amp;AP53&amp;" vs engine £"&amp;BA53,IF(AV53&lt;&gt;IF(AY53="",AC53,AY53),"⚠ backed "&amp;AV53&amp;" but engine pick was "&amp;IF(AY53="",AC53,AY53),IF(AP53&gt;BA53,"⚠ stake over engine £"&amp;BA53,IF(ABS(AO53-IFERROR(INDEX(L53:N53,1,MATCH(AV53,{"H","D","A"},0)),AE53))&gt;0.02,"⚠ odds moved — re-check value","✓ engine bet")))))))</f>
        <v/>
      </c>
      <c r="AV53" s="59">
        <f>IF(Matchday!O55="","",Matchday!O55)</f>
        <v/>
      </c>
      <c r="AW53" s="79" t="n"/>
      <c r="AX53" s="79" t="n"/>
      <c r="AY53" s="79" t="n"/>
      <c r="AZ53" s="79">
        <f>IF(AW53="",AH53,AW53)</f>
        <v/>
      </c>
      <c r="BA53" s="75">
        <f>IF(AX53&lt;&gt;"",AX53,IF(AH53&lt;&gt;"BET",0,IF(AI53*Method!$B$10/100&lt;Method!$B$9,0,ROUND(AI53*Method!$B$10/100,0))))</f>
        <v/>
      </c>
      <c r="BB53" s="77" t="n">
        <v>-1.140000000000001</v>
      </c>
      <c r="BC53" s="77" t="n">
        <v>0.6435702923183688</v>
      </c>
      <c r="BD53" s="77" t="n">
        <v>0.2495534787667315</v>
      </c>
      <c r="BE53" s="77" t="n">
        <v>0.1068762289148996</v>
      </c>
      <c r="BF53" s="14" t="inlineStr">
        <is>
          <t>Haiti team-wide: -7 · Morocco team-wide: +6</t>
        </is>
      </c>
      <c r="BG53" s="77" t="n">
        <v>320</v>
      </c>
      <c r="BH53" s="77" t="inlineStr">
        <is>
          <t>hot_humid_indoor</t>
        </is>
      </c>
      <c r="BI53" s="77" t="n">
        <v>1475.8</v>
      </c>
    </row>
    <row r="54" ht="15" customHeight="1" s="153">
      <c r="A54" s="59" t="n">
        <v>53</v>
      </c>
      <c r="B54" s="58" t="n">
        <v>46197</v>
      </c>
      <c r="C54" s="59" t="inlineStr">
        <is>
          <t>A</t>
        </is>
      </c>
      <c r="D54" s="66" t="inlineStr">
        <is>
          <t>Czechia</t>
        </is>
      </c>
      <c r="E54" s="66" t="inlineStr">
        <is>
          <t>Mexico</t>
        </is>
      </c>
      <c r="F54" s="66" t="inlineStr">
        <is>
          <t>Mexico City</t>
        </is>
      </c>
      <c r="G54" s="61" t="n">
        <v>0.875</v>
      </c>
      <c r="H54" s="59" t="inlineStr">
        <is>
          <t>04:00 +1d</t>
        </is>
      </c>
      <c r="I54" s="64" t="n">
        <v>0.09897805457171434</v>
      </c>
      <c r="J54" s="64" t="n">
        <v>0.2015983835106373</v>
      </c>
      <c r="K54" s="64" t="n">
        <v>0.6994235619176483</v>
      </c>
      <c r="L54" s="63">
        <f>IF(Matchday!E56="","",Matchday!E56)</f>
        <v/>
      </c>
      <c r="M54" s="63">
        <f>IF(Matchday!F56="","",Matchday!F56)</f>
        <v/>
      </c>
      <c r="N54" s="63">
        <f>IF(Matchday!G56="","",Matchday!G56)</f>
        <v/>
      </c>
      <c r="O54" s="64">
        <f>IF(L54="","",1/L54)</f>
        <v/>
      </c>
      <c r="P54" s="64">
        <f>IF(M54="","",1/M54)</f>
        <v/>
      </c>
      <c r="Q54" s="64">
        <f>IF(N54="","",1/N54)</f>
        <v/>
      </c>
      <c r="R54" s="64">
        <f>IF(COUNT(L54:N54)&lt;3,"",O54+P54+Q54)</f>
        <v/>
      </c>
      <c r="S54" s="64">
        <f t="array" ref="S54">IF($R54="","",IF(Method!$B$56="proportional",O54/$R54,IF(Method!$B$56="power",IFERROR(INDEX(power_devig($L54,$M54,$N54),1,1),O54/$R54),IFERROR(INDEX(shin($L54,$M54,$N54),1,1),O54/$R54))))</f>
        <v/>
      </c>
      <c r="T54" s="64">
        <f t="array" ref="T54">IF($R54="","",IF(Method!$B$56="proportional",P54/$R54,IF(Method!$B$56="power",IFERROR(INDEX(power_devig($L54,$M54,$N54),2,1),P54/$R54),IFERROR(INDEX(shin($L54,$M54,$N54),2,1),P54/$R54))))</f>
        <v/>
      </c>
      <c r="U54" s="64">
        <f t="array" ref="U54">IF($R54="","",IF(Method!$B$56="proportional",Q54/$R54,IF(Method!$B$56="power",IFERROR(INDEX(power_devig($L54,$M54,$N54),3,1),Q54/$R54),IFERROR(INDEX(shin($L54,$M54,$N54),3,1),Q54/$R54))))</f>
        <v/>
      </c>
      <c r="V54" s="64">
        <f>IF(S54="","",Method!$B$4*IF(BC54="",I54,BC54)+(1-Method!$B$4)*S54/($S54+$T54+$U54))</f>
        <v/>
      </c>
      <c r="W54" s="64">
        <f>IF(T54="","",Method!$B$4*IF(BD54="",J54,BD54)+(1-Method!$B$4)*T54/($S54+$T54+$U54))</f>
        <v/>
      </c>
      <c r="X54" s="64">
        <f>IF(U54="","",Method!$B$4*IF(BE54="",K54,BE54)+(1-Method!$B$4)*U54/($S54+$T54+$U54))</f>
        <v/>
      </c>
      <c r="Y54" s="65">
        <f>IF(V54="","",V54*L54-1)</f>
        <v/>
      </c>
      <c r="Z54" s="65">
        <f>IF(W54="","",W54*M54-1)</f>
        <v/>
      </c>
      <c r="AA54" s="65">
        <f>IF(X54="","",X54*N54-1)</f>
        <v/>
      </c>
      <c r="AB54" s="66">
        <f>IF(Y54="","",MATCH(MAX(Y54:AA54),Y54:AA54,0))</f>
        <v/>
      </c>
      <c r="AC54" s="66">
        <f>IF(AB54="","",CHOOSE(AB54,"H","D","A"))</f>
        <v/>
      </c>
      <c r="AD54" s="67">
        <f>IF(AB54="","",CHOOSE(AB54,"1  "&amp;D54,"X  Draw","2  "&amp;E54))</f>
        <v/>
      </c>
      <c r="AE54" s="33">
        <f>IF(AB54="","",INDEX(L54:N54,1,AB54))</f>
        <v/>
      </c>
      <c r="AF54" s="65">
        <f>IF(AB54="","",INDEX(Y54:AA54,1,AB54))</f>
        <v/>
      </c>
      <c r="AG54" s="65">
        <f>IF(AB54="","",INDEX(V54:X54,1,AB54)-INDEX(S54:U54,1,AB54))</f>
        <v/>
      </c>
      <c r="AH54" s="68">
        <f>IF(AB54="","· enter odds",IF(OR(AF54&gt;Method!$B$87,IFERROR(INDEX(BC54:BE54,1,AB54)/INDEX(S54:U54,1,AB54),0)&gt;Method!$B$88),"PASS",IF(AND(AF54&gt;=Method!$B$7,AG54&gt;=Method!$B$8),"BET","PASS")))</f>
        <v/>
      </c>
      <c r="AI54" s="69">
        <f>IF(AH54&lt;&gt;"BET",0,ROUND(MIN(Method!$B$6,Method!$B$5*AL54)*100,1))</f>
        <v/>
      </c>
      <c r="AJ54" s="70">
        <f>IF(OR(AH54&lt;&gt;"BET",Method!$B$55=TRUE()),0,IF(AI54*Method!$B$10/100&lt;Method!$B$9,0,ROUND(AI54*Method!$B$10/100,0)))</f>
        <v/>
      </c>
      <c r="AK54" s="64">
        <f>IF(AB54="","",INDEX(V54:X54,1,AB54))</f>
        <v/>
      </c>
      <c r="AL54" s="64">
        <f>IF(AH54&lt;&gt;"BET","",MAX(0,(AK54*AE54-1)/(AE54-1)))</f>
        <v/>
      </c>
      <c r="AM54" s="65">
        <f>IF(AH54="BET",AF54+A54/1000000,"")</f>
        <v/>
      </c>
      <c r="AN54" s="71">
        <f>IF(Matchday!N56="","",Matchday!N56)</f>
        <v/>
      </c>
      <c r="AO54" s="63">
        <f>IF(Matchday!P56="","",Matchday!P56)</f>
        <v/>
      </c>
      <c r="AP54" s="72">
        <f>IF(Matchday!Q56="","",Matchday!Q56)</f>
        <v/>
      </c>
      <c r="AQ54" s="71">
        <f>IF(Matchday!R56="","",Matchday!R56)</f>
        <v/>
      </c>
      <c r="AR54" s="73">
        <f>IF(OR(AN54&lt;&gt;"Y",AQ54="",AV54=""),"",IF(AQ54="Void",0,IF(AQ54=AV54,ROUND(AP54*(AO54-1),2),-AP54)))</f>
        <v/>
      </c>
      <c r="AS54" s="73">
        <f>IF(AR54="","",SUM($AR$2:AR54))</f>
        <v/>
      </c>
      <c r="AT54" s="31">
        <f>IF(AB54="","Type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pauses.")),IF(AH54="BET",IF(AJ54=0,"Edge found but stake rounds under £"&amp;Method!$B$9&amp;" — skip",IF(AND(AE54&gt;=6,AG54&gt;=0.15),"🟡 WAIT — long-shot review: odds "&amp;TEXT(AE54,"0.00")&amp;" + edge "&amp;TEXT(AG54,"0.0%")&amp;" — verify sharp-book + team news + stake comfort before Placed=Y","Value found: EV "&amp;TEXT(AF54,"0.0%")&amp;", edge "&amp;TEXT(AG54,"0.0%"))),IF(OR(AF54&gt;Method!$B$87,IFERROR(INDEX(BC54:BE54,1,AB54)/INDEX(S54:U54,1,AB54),0)&gt;Method!$B$88),"🛑 Tail trap — auto-PASS · EV "&amp;TEXT(AF54,"0.0%")&amp;" (cap "&amp;TEXT(Method!$B$87,"0%")&amp;") · model/market "&amp;TEXT(IFERROR(INDEX(BC54:BE54,1,AB54)/INDEX(S54:U54,1,AB54),0),"0.0")&amp;"× (cap "&amp;TEXT(Method!$B$88,"0.0")&amp;"×)",IF(AF54&lt;Method!$B$7,"Price too short — EV "&amp;TEXT(AF54,"0.0%")&amp;" (need "&amp;TEXT(Method!$B$7,"0.0%")&amp;"+)","Model ≈ market — edge "&amp;TEXT(AG54,"0.0%")&amp;" (need "&amp;TEXT(Method!$B$8,"0.0%")&amp;"+)")))))</f>
        <v/>
      </c>
      <c r="AU54" s="31">
        <f>IF(AN54&lt;&gt;"Y","",IF(AH54="· enter odds","⚠ type the 3 odds (1/X/2) to grade this bet",IF(OR(AV54="",AO54="",AP54=""),"⚠ log backed pick, odds &amp; stake",IF(AZ54&lt;&gt;"BET","⚠ FUN BET — engine said pass · staked £"&amp;AP54&amp;" vs engine £"&amp;BA54,IF(AV54&lt;&gt;IF(AY54="",AC54,AY54),"⚠ backed "&amp;AV54&amp;" but engine pick was "&amp;IF(AY54="",AC54,AY54),IF(AP54&gt;BA54,"⚠ stake over engine £"&amp;BA54,IF(ABS(AO54-IFERROR(INDEX(L54:N54,1,MATCH(AV54,{"H","D","A"},0)),AE54))&gt;0.02,"⚠ odds moved — re-check value","✓ engine bet")))))))</f>
        <v/>
      </c>
      <c r="AV54" s="59">
        <f>IF(Matchday!O56="","",Matchday!O56)</f>
        <v/>
      </c>
      <c r="AW54" s="79" t="n"/>
      <c r="AX54" s="79" t="n"/>
      <c r="AY54" s="79" t="n"/>
      <c r="AZ54" s="79">
        <f>IF(AW54="",AH54,AW54)</f>
        <v/>
      </c>
      <c r="BA54" s="75">
        <f>IF(AX54&lt;&gt;"",AX54,IF(AH54&lt;&gt;"BET",0,IF(AI54*Method!$B$10/100&lt;Method!$B$9,0,ROUND(AI54*Method!$B$10/100,0))))</f>
        <v/>
      </c>
      <c r="BB54" s="77" t="n">
        <v>-11.19</v>
      </c>
      <c r="BC54" s="77" t="n">
        <v>0.09173512394589485</v>
      </c>
      <c r="BD54" s="77" t="n">
        <v>0.2245849362025766</v>
      </c>
      <c r="BE54" s="77" t="n">
        <v>0.6836799398515285</v>
      </c>
      <c r="BF54" s="14" t="inlineStr">
        <is>
          <t>Czechia team-wide: -16 · Mexico team-wide: +5</t>
        </is>
      </c>
      <c r="BG54" s="77" t="n">
        <v>2240</v>
      </c>
      <c r="BH54" s="77" t="inlineStr">
        <is>
          <t>high_altitude_mild</t>
        </is>
      </c>
      <c r="BI54" s="77" t="n">
        <v>2171.1</v>
      </c>
    </row>
    <row r="55" ht="15" customHeight="1" s="153">
      <c r="A55" s="59" t="n">
        <v>54</v>
      </c>
      <c r="B55" s="58" t="n">
        <v>46197</v>
      </c>
      <c r="C55" s="59" t="inlineStr">
        <is>
          <t>A</t>
        </is>
      </c>
      <c r="D55" s="66" t="inlineStr">
        <is>
          <t>South Africa</t>
        </is>
      </c>
      <c r="E55" s="66" t="inlineStr">
        <is>
          <t>South Korea</t>
        </is>
      </c>
      <c r="F55" s="66" t="inlineStr">
        <is>
          <t>Guadalupe</t>
        </is>
      </c>
      <c r="G55" s="61" t="n">
        <v>0.875</v>
      </c>
      <c r="H55" s="59" t="inlineStr">
        <is>
          <t>04:00 +1d</t>
        </is>
      </c>
      <c r="I55" s="64" t="n">
        <v>0.1945045331325807</v>
      </c>
      <c r="J55" s="64" t="n">
        <v>0.3030136607561139</v>
      </c>
      <c r="K55" s="64" t="n">
        <v>0.5024818061113054</v>
      </c>
      <c r="L55" s="63">
        <f>IF(Matchday!E57="","",Matchday!E57)</f>
        <v/>
      </c>
      <c r="M55" s="63">
        <f>IF(Matchday!F57="","",Matchday!F57)</f>
        <v/>
      </c>
      <c r="N55" s="63">
        <f>IF(Matchday!G57="","",Matchday!G57)</f>
        <v/>
      </c>
      <c r="O55" s="64">
        <f>IF(L55="","",1/L55)</f>
        <v/>
      </c>
      <c r="P55" s="64">
        <f>IF(M55="","",1/M55)</f>
        <v/>
      </c>
      <c r="Q55" s="64">
        <f>IF(N55="","",1/N55)</f>
        <v/>
      </c>
      <c r="R55" s="64">
        <f>IF(COUNT(L55:N55)&lt;3,"",O55+P55+Q55)</f>
        <v/>
      </c>
      <c r="S55" s="64">
        <f t="array" ref="S55">IF($R55="","",IF(Method!$B$56="proportional",O55/$R55,IF(Method!$B$56="power",IFERROR(INDEX(power_devig($L55,$M55,$N55),1,1),O55/$R55),IFERROR(INDEX(shin($L55,$M55,$N55),1,1),O55/$R55))))</f>
        <v/>
      </c>
      <c r="T55" s="64">
        <f t="array" ref="T55">IF($R55="","",IF(Method!$B$56="proportional",P55/$R55,IF(Method!$B$56="power",IFERROR(INDEX(power_devig($L55,$M55,$N55),2,1),P55/$R55),IFERROR(INDEX(shin($L55,$M55,$N55),2,1),P55/$R55))))</f>
        <v/>
      </c>
      <c r="U55" s="64">
        <f t="array" ref="U55">IF($R55="","",IF(Method!$B$56="proportional",Q55/$R55,IF(Method!$B$56="power",IFERROR(INDEX(power_devig($L55,$M55,$N55),3,1),Q55/$R55),IFERROR(INDEX(shin($L55,$M55,$N55),3,1),Q55/$R55))))</f>
        <v/>
      </c>
      <c r="V55" s="64">
        <f>IF(S55="","",Method!$B$4*IF(BC55="",I55,BC55)+(1-Method!$B$4)*S55/($S55+$T55+$U55))</f>
        <v/>
      </c>
      <c r="W55" s="64">
        <f>IF(T55="","",Method!$B$4*IF(BD55="",J55,BD55)+(1-Method!$B$4)*T55/($S55+$T55+$U55))</f>
        <v/>
      </c>
      <c r="X55" s="64">
        <f>IF(U55="","",Method!$B$4*IF(BE55="",K55,BE55)+(1-Method!$B$4)*U55/($S55+$T55+$U55))</f>
        <v/>
      </c>
      <c r="Y55" s="65">
        <f>IF(V55="","",V55*L55-1)</f>
        <v/>
      </c>
      <c r="Z55" s="65">
        <f>IF(W55="","",W55*M55-1)</f>
        <v/>
      </c>
      <c r="AA55" s="65">
        <f>IF(X55="","",X55*N55-1)</f>
        <v/>
      </c>
      <c r="AB55" s="66">
        <f>IF(Y55="","",MATCH(MAX(Y55:AA55),Y55:AA55,0))</f>
        <v/>
      </c>
      <c r="AC55" s="66">
        <f>IF(AB55="","",CHOOSE(AB55,"H","D","A"))</f>
        <v/>
      </c>
      <c r="AD55" s="67">
        <f>IF(AB55="","",CHOOSE(AB55,"1  "&amp;D55,"X  Draw","2  "&amp;E55))</f>
        <v/>
      </c>
      <c r="AE55" s="33">
        <f>IF(AB55="","",INDEX(L55:N55,1,AB55))</f>
        <v/>
      </c>
      <c r="AF55" s="65">
        <f>IF(AB55="","",INDEX(Y55:AA55,1,AB55))</f>
        <v/>
      </c>
      <c r="AG55" s="65">
        <f>IF(AB55="","",INDEX(V55:X55,1,AB55)-INDEX(S55:U55,1,AB55))</f>
        <v/>
      </c>
      <c r="AH55" s="68">
        <f>IF(AB55="","· enter odds",IF(OR(AF55&gt;Method!$B$87,IFERROR(INDEX(BC55:BE55,1,AB55)/INDEX(S55:U55,1,AB55),0)&gt;Method!$B$88),"PASS",IF(AND(AF55&gt;=Method!$B$7,AG55&gt;=Method!$B$8),"BET","PASS")))</f>
        <v/>
      </c>
      <c r="AI55" s="69">
        <f>IF(AH55&lt;&gt;"BET",0,ROUND(MIN(Method!$B$6,Method!$B$5*AL55)*100,1))</f>
        <v/>
      </c>
      <c r="AJ55" s="70">
        <f>IF(OR(AH55&lt;&gt;"BET",Method!$B$55=TRUE()),0,IF(AI55*Method!$B$10/100&lt;Method!$B$9,0,ROUND(AI55*Method!$B$10/100,0)))</f>
        <v/>
      </c>
      <c r="AK55" s="64">
        <f>IF(AB55="","",INDEX(V55:X55,1,AB55))</f>
        <v/>
      </c>
      <c r="AL55" s="64">
        <f>IF(AH55&lt;&gt;"BET","",MAX(0,(AK55*AE55-1)/(AE55-1)))</f>
        <v/>
      </c>
      <c r="AM55" s="66">
        <f>IF(AH55="BET",AF55+A55/1000000,"")</f>
        <v/>
      </c>
      <c r="AN55" s="71">
        <f>IF(Matchday!N57="","",Matchday!N57)</f>
        <v/>
      </c>
      <c r="AO55" s="63">
        <f>IF(Matchday!P57="","",Matchday!P57)</f>
        <v/>
      </c>
      <c r="AP55" s="72">
        <f>IF(Matchday!Q57="","",Matchday!Q57)</f>
        <v/>
      </c>
      <c r="AQ55" s="71">
        <f>IF(Matchday!R57="","",Matchday!R57)</f>
        <v/>
      </c>
      <c r="AR55" s="73">
        <f>IF(OR(AN55&lt;&gt;"Y",AQ55="",AV55=""),"",IF(AQ55="Void",0,IF(AQ55=AV55,ROUND(AP55*(AO55-1),2),-AP55)))</f>
        <v/>
      </c>
      <c r="AS55" s="73">
        <f>IF(AR55="","",SUM($AR$2:AR55))</f>
        <v/>
      </c>
      <c r="AT55" s="31">
        <f>IF(AB55="","Type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pauses.")),IF(AH55="BET",IF(AJ55=0,"Edge found but stake rounds under £"&amp;Method!$B$9&amp;" — skip",IF(AND(AE55&gt;=6,AG55&gt;=0.15),"🟡 WAIT — long-shot review: odds "&amp;TEXT(AE55,"0.00")&amp;" + edge "&amp;TEXT(AG55,"0.0%")&amp;" — verify sharp-book + team news + stake comfort before Placed=Y","Value found: EV "&amp;TEXT(AF55,"0.0%")&amp;", edge "&amp;TEXT(AG55,"0.0%"))),IF(OR(AF55&gt;Method!$B$87,IFERROR(INDEX(BC55:BE55,1,AB55)/INDEX(S55:U55,1,AB55),0)&gt;Method!$B$88),"🛑 Tail trap — auto-PASS · EV "&amp;TEXT(AF55,"0.0%")&amp;" (cap "&amp;TEXT(Method!$B$87,"0%")&amp;") · model/market "&amp;TEXT(IFERROR(INDEX(BC55:BE55,1,AB55)/INDEX(S55:U55,1,AB55),0),"0.0")&amp;"× (cap "&amp;TEXT(Method!$B$88,"0.0")&amp;"×)",IF(AF55&lt;Method!$B$7,"Price too short — EV "&amp;TEXT(AF55,"0.0%")&amp;" (need "&amp;TEXT(Method!$B$7,"0.0%")&amp;"+)","Model ≈ market — edge "&amp;TEXT(AG55,"0.0%")&amp;" (need "&amp;TEXT(Method!$B$8,"0.0%")&amp;"+)")))))</f>
        <v/>
      </c>
      <c r="AU55" s="31">
        <f>IF(AN55&lt;&gt;"Y","",IF(AH55="· enter odds","⚠ type the 3 odds (1/X/2) to grade this bet",IF(OR(AV55="",AO55="",AP55=""),"⚠ log backed pick, odds &amp; stake",IF(AZ55&lt;&gt;"BET","⚠ FUN BET — engine said pass · staked £"&amp;AP55&amp;" vs engine £"&amp;BA55,IF(AV55&lt;&gt;IF(AY55="",AC55,AY55),"⚠ backed "&amp;AV55&amp;" but engine pick was "&amp;IF(AY55="",AC55,AY55),IF(AP55&gt;BA55,"⚠ stake over engine £"&amp;BA55,IF(ABS(AO55-IFERROR(INDEX(L55:N55,1,MATCH(AV55,{"H","D","A"},0)),AE55))&gt;0.02,"⚠ odds moved — re-check value","✓ engine bet")))))))</f>
        <v/>
      </c>
      <c r="AV55" s="59">
        <f>IF(Matchday!O57="","",Matchday!O57)</f>
        <v/>
      </c>
      <c r="AW55" s="79" t="n"/>
      <c r="AX55" s="79" t="n"/>
      <c r="AY55" s="79" t="n"/>
      <c r="AZ55" s="79">
        <f>IF(AW55="",AH55,AW55)</f>
        <v/>
      </c>
      <c r="BA55" s="75">
        <f>IF(AX55&lt;&gt;"",AX55,IF(AH55&lt;&gt;"BET",0,IF(AI55*Method!$B$10/100&lt;Method!$B$9,0,ROUND(AI55*Method!$B$10/100,0))))</f>
        <v/>
      </c>
      <c r="BB55" s="77" t="n">
        <v>-32.38</v>
      </c>
      <c r="BC55" s="77" t="n">
        <v>0.189124281980023</v>
      </c>
      <c r="BD55" s="77" t="n">
        <v>0.2726373125397247</v>
      </c>
      <c r="BE55" s="77" t="n">
        <v>0.5382384054802523</v>
      </c>
      <c r="BF55" s="14" t="inlineStr">
        <is>
          <t>South Africa team-wide: -29 · South Africa suspension: -3 · South Korea team-wide: +1 · South Korea weather: -1</t>
        </is>
      </c>
      <c r="BG55" s="77" t="n">
        <v>540</v>
      </c>
      <c r="BH55" s="77" t="inlineStr">
        <is>
          <t>very_hot</t>
        </is>
      </c>
      <c r="BI55" s="77" t="n">
        <v>1771.6</v>
      </c>
    </row>
    <row r="56" ht="15" customHeight="1" s="153">
      <c r="A56" s="59" t="n">
        <v>55</v>
      </c>
      <c r="B56" s="58" t="n">
        <v>46198</v>
      </c>
      <c r="C56" s="59" t="inlineStr">
        <is>
          <t>E</t>
        </is>
      </c>
      <c r="D56" s="66" t="inlineStr">
        <is>
          <t>Ecuador</t>
        </is>
      </c>
      <c r="E56" s="66" t="inlineStr">
        <is>
          <t>Germany</t>
        </is>
      </c>
      <c r="F56" s="66" t="inlineStr">
        <is>
          <t>East Rutherford</t>
        </is>
      </c>
      <c r="G56" s="61" t="n">
        <v>0.6666666666666666</v>
      </c>
      <c r="H56" s="61" t="n">
        <v>0.875</v>
      </c>
      <c r="I56" s="64" t="n">
        <v>0.3457587387785603</v>
      </c>
      <c r="J56" s="64" t="n">
        <v>0.297089762031059</v>
      </c>
      <c r="K56" s="64" t="n">
        <v>0.3571514991903804</v>
      </c>
      <c r="L56" s="63">
        <f>IF(Matchday!E58="","",Matchday!E58)</f>
        <v/>
      </c>
      <c r="M56" s="63">
        <f>IF(Matchday!F58="","",Matchday!F58)</f>
        <v/>
      </c>
      <c r="N56" s="63">
        <f>IF(Matchday!G58="","",Matchday!G58)</f>
        <v/>
      </c>
      <c r="O56" s="64">
        <f>IF(L56="","",1/L56)</f>
        <v/>
      </c>
      <c r="P56" s="64">
        <f>IF(M56="","",1/M56)</f>
        <v/>
      </c>
      <c r="Q56" s="64">
        <f>IF(N56="","",1/N56)</f>
        <v/>
      </c>
      <c r="R56" s="64">
        <f>IF(COUNT(L56:N56)&lt;3,"",O56+P56+Q56)</f>
        <v/>
      </c>
      <c r="S56" s="64">
        <f t="array" ref="S56">IF($R56="","",IF(Method!$B$56="proportional",O56/$R56,IF(Method!$B$56="power",IFERROR(INDEX(power_devig($L56,$M56,$N56),1,1),O56/$R56),IFERROR(INDEX(shin($L56,$M56,$N56),1,1),O56/$R56))))</f>
        <v/>
      </c>
      <c r="T56" s="64">
        <f t="array" ref="T56">IF($R56="","",IF(Method!$B$56="proportional",P56/$R56,IF(Method!$B$56="power",IFERROR(INDEX(power_devig($L56,$M56,$N56),2,1),P56/$R56),IFERROR(INDEX(shin($L56,$M56,$N56),2,1),P56/$R56))))</f>
        <v/>
      </c>
      <c r="U56" s="64">
        <f t="array" ref="U56">IF($R56="","",IF(Method!$B$56="proportional",Q56/$R56,IF(Method!$B$56="power",IFERROR(INDEX(power_devig($L56,$M56,$N56),3,1),Q56/$R56),IFERROR(INDEX(shin($L56,$M56,$N56),3,1),Q56/$R56))))</f>
        <v/>
      </c>
      <c r="V56" s="64">
        <f>IF(S56="","",Method!$B$4*IF(BC56="",I56,BC56)+(1-Method!$B$4)*S56/($S56+$T56+$U56))</f>
        <v/>
      </c>
      <c r="W56" s="64">
        <f>IF(T56="","",Method!$B$4*IF(BD56="",J56,BD56)+(1-Method!$B$4)*T56/($S56+$T56+$U56))</f>
        <v/>
      </c>
      <c r="X56" s="64">
        <f>IF(U56="","",Method!$B$4*IF(BE56="",K56,BE56)+(1-Method!$B$4)*U56/($S56+$T56+$U56))</f>
        <v/>
      </c>
      <c r="Y56" s="65">
        <f>IF(V56="","",V56*L56-1)</f>
        <v/>
      </c>
      <c r="Z56" s="65">
        <f>IF(W56="","",W56*M56-1)</f>
        <v/>
      </c>
      <c r="AA56" s="65">
        <f>IF(X56="","",X56*N56-1)</f>
        <v/>
      </c>
      <c r="AB56" s="66">
        <f>IF(Y56="","",MATCH(MAX(Y56:AA56),Y56:AA56,0))</f>
        <v/>
      </c>
      <c r="AC56" s="66">
        <f>IF(AB56="","",CHOOSE(AB56,"H","D","A"))</f>
        <v/>
      </c>
      <c r="AD56" s="67">
        <f>IF(AB56="","",CHOOSE(AB56,"1  "&amp;D56,"X  Draw","2  "&amp;E56))</f>
        <v/>
      </c>
      <c r="AE56" s="33">
        <f>IF(AB56="","",INDEX(L56:N56,1,AB56))</f>
        <v/>
      </c>
      <c r="AF56" s="65">
        <f>IF(AB56="","",INDEX(Y56:AA56,1,AB56))</f>
        <v/>
      </c>
      <c r="AG56" s="65">
        <f>IF(AB56="","",INDEX(V56:X56,1,AB56)-INDEX(S56:U56,1,AB56))</f>
        <v/>
      </c>
      <c r="AH56" s="68">
        <f>IF(AB56="","· enter odds",IF(OR(AF56&gt;Method!$B$87,IFERROR(INDEX(BC56:BE56,1,AB56)/INDEX(S56:U56,1,AB56),0)&gt;Method!$B$88),"PASS",IF(AND(AF56&gt;=Method!$B$7,AG56&gt;=Method!$B$8),"BET","PASS")))</f>
        <v/>
      </c>
      <c r="AI56" s="69">
        <f>IF(AH56&lt;&gt;"BET",0,ROUND(MIN(Method!$B$6,Method!$B$5*AL56)*100,1))</f>
        <v/>
      </c>
      <c r="AJ56" s="70">
        <f>IF(OR(AH56&lt;&gt;"BET",Method!$B$55=TRUE()),0,IF(AI56*Method!$B$10/100&lt;Method!$B$9,0,ROUND(AI56*Method!$B$10/100,0)))</f>
        <v/>
      </c>
      <c r="AK56" s="64">
        <f>IF(AB56="","",INDEX(V56:X56,1,AB56))</f>
        <v/>
      </c>
      <c r="AL56" s="64">
        <f>IF(AH56&lt;&gt;"BET","",MAX(0,(AK56*AE56-1)/(AE56-1)))</f>
        <v/>
      </c>
      <c r="AM56" s="65">
        <f>IF(AH56="BET",AF56+A56/1000000,"")</f>
        <v/>
      </c>
      <c r="AN56" s="71">
        <f>IF(Matchday!N58="","",Matchday!N58)</f>
        <v/>
      </c>
      <c r="AO56" s="63">
        <f>IF(Matchday!P58="","",Matchday!P58)</f>
        <v/>
      </c>
      <c r="AP56" s="72">
        <f>IF(Matchday!Q58="","",Matchday!Q58)</f>
        <v/>
      </c>
      <c r="AQ56" s="71">
        <f>IF(Matchday!R58="","",Matchday!R58)</f>
        <v/>
      </c>
      <c r="AR56" s="73">
        <f>IF(OR(AN56&lt;&gt;"Y",AQ56="",AV56=""),"",IF(AQ56="Void",0,IF(AQ56=AV56,ROUND(AP56*(AO56-1),2),-AP56)))</f>
        <v/>
      </c>
      <c r="AS56" s="73">
        <f>IF(AR56="","",SUM($AR$2:AR56))</f>
        <v/>
      </c>
      <c r="AT56" s="31">
        <f>IF(AB56="","Type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pauses.")),IF(AH56="BET",IF(AJ56=0,"Edge found but stake rounds under £"&amp;Method!$B$9&amp;" — skip",IF(AND(AE56&gt;=6,AG56&gt;=0.15),"🟡 WAIT — long-shot review: odds "&amp;TEXT(AE56,"0.00")&amp;" + edge "&amp;TEXT(AG56,"0.0%")&amp;" — verify sharp-book + team news + stake comfort before Placed=Y","Value found: EV "&amp;TEXT(AF56,"0.0%")&amp;", edge "&amp;TEXT(AG56,"0.0%"))),IF(OR(AF56&gt;Method!$B$87,IFERROR(INDEX(BC56:BE56,1,AB56)/INDEX(S56:U56,1,AB56),0)&gt;Method!$B$88),"🛑 Tail trap — auto-PASS · EV "&amp;TEXT(AF56,"0.0%")&amp;" (cap "&amp;TEXT(Method!$B$87,"0%")&amp;") · model/market "&amp;TEXT(IFERROR(INDEX(BC56:BE56,1,AB56)/INDEX(S56:U56,1,AB56),0),"0.0")&amp;"× (cap "&amp;TEXT(Method!$B$88,"0.0")&amp;"×)",IF(AF56&lt;Method!$B$7,"Price too short — EV "&amp;TEXT(AF56,"0.0%")&amp;" (need "&amp;TEXT(Method!$B$7,"0.0%")&amp;"+)","Model ≈ market — edge "&amp;TEXT(AG56,"0.0%")&amp;" (need "&amp;TEXT(Method!$B$8,"0.0%")&amp;"+)")))))</f>
        <v/>
      </c>
      <c r="AU56" s="31">
        <f>IF(AN56&lt;&gt;"Y","",IF(AH56="· enter odds","⚠ type the 3 odds (1/X/2) to grade this bet",IF(OR(AV56="",AO56="",AP56=""),"⚠ log backed pick, odds &amp; stake",IF(AZ56&lt;&gt;"BET","⚠ FUN BET — engine said pass · staked £"&amp;AP56&amp;" vs engine £"&amp;BA56,IF(AV56&lt;&gt;IF(AY56="",AC56,AY56),"⚠ backed "&amp;AV56&amp;" but engine pick was "&amp;IF(AY56="",AC56,AY56),IF(AP56&gt;BA56,"⚠ stake over engine £"&amp;BA56,IF(ABS(AO56-IFERROR(INDEX(L56:N56,1,MATCH(AV56,{"H","D","A"},0)),AE56))&gt;0.02,"⚠ odds moved — re-check value","✓ engine bet")))))))</f>
        <v/>
      </c>
      <c r="AV56" s="59">
        <f>IF(Matchday!O58="","",Matchday!O58)</f>
        <v/>
      </c>
      <c r="AW56" s="79" t="n"/>
      <c r="AX56" s="79" t="n"/>
      <c r="AY56" s="79" t="n"/>
      <c r="AZ56" s="79">
        <f>IF(AW56="",AH56,AW56)</f>
        <v/>
      </c>
      <c r="BA56" s="75">
        <f>IF(AX56&lt;&gt;"",AX56,IF(AH56&lt;&gt;"BET",0,IF(AI56*Method!$B$10/100&lt;Method!$B$9,0,ROUND(AI56*Method!$B$10/100,0))))</f>
        <v/>
      </c>
      <c r="BB56" s="77" t="n">
        <v>-13.99</v>
      </c>
      <c r="BC56" s="77" t="n">
        <v>0.3458639708566515</v>
      </c>
      <c r="BD56" s="77" t="n">
        <v>0.2611623753141922</v>
      </c>
      <c r="BE56" s="77" t="n">
        <v>0.3929736538291563</v>
      </c>
      <c r="BF56" s="14" t="inlineStr">
        <is>
          <t>Ecuador team-wide: +4 · Germany team-wide: -14 · Germany weather: -4</t>
        </is>
      </c>
      <c r="BG56" s="77" t="n">
        <v>7</v>
      </c>
      <c r="BH56" s="77" t="inlineStr">
        <is>
          <t>warm_humid</t>
        </is>
      </c>
      <c r="BI56" s="77" t="n">
        <v>1747.3</v>
      </c>
    </row>
    <row r="57" ht="15" customHeight="1" s="153">
      <c r="A57" s="59" t="n">
        <v>56</v>
      </c>
      <c r="B57" s="58" t="n">
        <v>46198</v>
      </c>
      <c r="C57" s="59" t="inlineStr">
        <is>
          <t>E</t>
        </is>
      </c>
      <c r="D57" s="66" t="inlineStr">
        <is>
          <t>Curacao</t>
        </is>
      </c>
      <c r="E57" s="66" t="inlineStr">
        <is>
          <t>Ivory Coast</t>
        </is>
      </c>
      <c r="F57" s="66" t="inlineStr">
        <is>
          <t>Philadelphia</t>
        </is>
      </c>
      <c r="G57" s="61" t="n">
        <v>0.6666666666666666</v>
      </c>
      <c r="H57" s="61" t="n">
        <v>0.875</v>
      </c>
      <c r="I57" s="64" t="n">
        <v>0.1275095752142818</v>
      </c>
      <c r="J57" s="64" t="n">
        <v>0.2387129724266831</v>
      </c>
      <c r="K57" s="64" t="n">
        <v>0.6337774523590349</v>
      </c>
      <c r="L57" s="63">
        <f>IF(Matchday!E59="","",Matchday!E59)</f>
        <v/>
      </c>
      <c r="M57" s="63">
        <f>IF(Matchday!F59="","",Matchday!F59)</f>
        <v/>
      </c>
      <c r="N57" s="63">
        <f>IF(Matchday!G59="","",Matchday!G59)</f>
        <v/>
      </c>
      <c r="O57" s="64">
        <f>IF(L57="","",1/L57)</f>
        <v/>
      </c>
      <c r="P57" s="64">
        <f>IF(M57="","",1/M57)</f>
        <v/>
      </c>
      <c r="Q57" s="64">
        <f>IF(N57="","",1/N57)</f>
        <v/>
      </c>
      <c r="R57" s="64">
        <f>IF(COUNT(L57:N57)&lt;3,"",O57+P57+Q57)</f>
        <v/>
      </c>
      <c r="S57" s="64">
        <f t="array" ref="S57">IF($R57="","",IF(Method!$B$56="proportional",O57/$R57,IF(Method!$B$56="power",IFERROR(INDEX(power_devig($L57,$M57,$N57),1,1),O57/$R57),IFERROR(INDEX(shin($L57,$M57,$N57),1,1),O57/$R57))))</f>
        <v/>
      </c>
      <c r="T57" s="64">
        <f t="array" ref="T57">IF($R57="","",IF(Method!$B$56="proportional",P57/$R57,IF(Method!$B$56="power",IFERROR(INDEX(power_devig($L57,$M57,$N57),2,1),P57/$R57),IFERROR(INDEX(shin($L57,$M57,$N57),2,1),P57/$R57))))</f>
        <v/>
      </c>
      <c r="U57" s="64">
        <f t="array" ref="U57">IF($R57="","",IF(Method!$B$56="proportional",Q57/$R57,IF(Method!$B$56="power",IFERROR(INDEX(power_devig($L57,$M57,$N57),3,1),Q57/$R57),IFERROR(INDEX(shin($L57,$M57,$N57),3,1),Q57/$R57))))</f>
        <v/>
      </c>
      <c r="V57" s="64">
        <f>IF(S57="","",Method!$B$4*IF(BC57="",I57,BC57)+(1-Method!$B$4)*S57/($S57+$T57+$U57))</f>
        <v/>
      </c>
      <c r="W57" s="64">
        <f>IF(T57="","",Method!$B$4*IF(BD57="",J57,BD57)+(1-Method!$B$4)*T57/($S57+$T57+$U57))</f>
        <v/>
      </c>
      <c r="X57" s="64">
        <f>IF(U57="","",Method!$B$4*IF(BE57="",K57,BE57)+(1-Method!$B$4)*U57/($S57+$T57+$U57))</f>
        <v/>
      </c>
      <c r="Y57" s="65">
        <f>IF(V57="","",V57*L57-1)</f>
        <v/>
      </c>
      <c r="Z57" s="65">
        <f>IF(W57="","",W57*M57-1)</f>
        <v/>
      </c>
      <c r="AA57" s="65">
        <f>IF(X57="","",X57*N57-1)</f>
        <v/>
      </c>
      <c r="AB57" s="66">
        <f>IF(Y57="","",MATCH(MAX(Y57:AA57),Y57:AA57,0))</f>
        <v/>
      </c>
      <c r="AC57" s="66">
        <f>IF(AB57="","",CHOOSE(AB57,"H","D","A"))</f>
        <v/>
      </c>
      <c r="AD57" s="67">
        <f>IF(AB57="","",CHOOSE(AB57,"1  "&amp;D57,"X  Draw","2  "&amp;E57))</f>
        <v/>
      </c>
      <c r="AE57" s="33">
        <f>IF(AB57="","",INDEX(L57:N57,1,AB57))</f>
        <v/>
      </c>
      <c r="AF57" s="65">
        <f>IF(AB57="","",INDEX(Y57:AA57,1,AB57))</f>
        <v/>
      </c>
      <c r="AG57" s="65">
        <f>IF(AB57="","",INDEX(V57:X57,1,AB57)-INDEX(S57:U57,1,AB57))</f>
        <v/>
      </c>
      <c r="AH57" s="68">
        <f>IF(AB57="","· enter odds",IF(OR(AF57&gt;Method!$B$87,IFERROR(INDEX(BC57:BE57,1,AB57)/INDEX(S57:U57,1,AB57),0)&gt;Method!$B$88),"PASS",IF(AND(AF57&gt;=Method!$B$7,AG57&gt;=Method!$B$8),"BET","PASS")))</f>
        <v/>
      </c>
      <c r="AI57" s="69">
        <f>IF(AH57&lt;&gt;"BET",0,ROUND(MIN(Method!$B$6,Method!$B$5*AL57)*100,1))</f>
        <v/>
      </c>
      <c r="AJ57" s="70">
        <f>IF(OR(AH57&lt;&gt;"BET",Method!$B$55=TRUE()),0,IF(AI57*Method!$B$10/100&lt;Method!$B$9,0,ROUND(AI57*Method!$B$10/100,0)))</f>
        <v/>
      </c>
      <c r="AK57" s="64">
        <f>IF(AB57="","",INDEX(V57:X57,1,AB57))</f>
        <v/>
      </c>
      <c r="AL57" s="64">
        <f>IF(AH57&lt;&gt;"BET","",MAX(0,(AK57*AE57-1)/(AE57-1)))</f>
        <v/>
      </c>
      <c r="AM57" s="65">
        <f>IF(AH57="BET",AF57+A57/1000000,"")</f>
        <v/>
      </c>
      <c r="AN57" s="71">
        <f>IF(Matchday!N59="","",Matchday!N59)</f>
        <v/>
      </c>
      <c r="AO57" s="63">
        <f>IF(Matchday!P59="","",Matchday!P59)</f>
        <v/>
      </c>
      <c r="AP57" s="72">
        <f>IF(Matchday!Q59="","",Matchday!Q59)</f>
        <v/>
      </c>
      <c r="AQ57" s="71">
        <f>IF(Matchday!R59="","",Matchday!R59)</f>
        <v/>
      </c>
      <c r="AR57" s="73">
        <f>IF(OR(AN57&lt;&gt;"Y",AQ57="",AV57=""),"",IF(AQ57="Void",0,IF(AQ57=AV57,ROUND(AP57*(AO57-1),2),-AP57)))</f>
        <v/>
      </c>
      <c r="AS57" s="73">
        <f>IF(AR57="","",SUM($AR$2:AR57))</f>
        <v/>
      </c>
      <c r="AT57" s="31">
        <f>IF(AB57="","Type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pauses.")),IF(AH57="BET",IF(AJ57=0,"Edge found but stake rounds under £"&amp;Method!$B$9&amp;" — skip",IF(AND(AE57&gt;=6,AG57&gt;=0.15),"🟡 WAIT — long-shot review: odds "&amp;TEXT(AE57,"0.00")&amp;" + edge "&amp;TEXT(AG57,"0.0%")&amp;" — verify sharp-book + team news + stake comfort before Placed=Y","Value found: EV "&amp;TEXT(AF57,"0.0%")&amp;", edge "&amp;TEXT(AG57,"0.0%"))),IF(OR(AF57&gt;Method!$B$87,IFERROR(INDEX(BC57:BE57,1,AB57)/INDEX(S57:U57,1,AB57),0)&gt;Method!$B$88),"🛑 Tail trap — auto-PASS · EV "&amp;TEXT(AF57,"0.0%")&amp;" (cap "&amp;TEXT(Method!$B$87,"0%")&amp;") · model/market "&amp;TEXT(IFERROR(INDEX(BC57:BE57,1,AB57)/INDEX(S57:U57,1,AB57),0),"0.0")&amp;"× (cap "&amp;TEXT(Method!$B$88,"0.0")&amp;"×)",IF(AF57&lt;Method!$B$7,"Price too short — EV "&amp;TEXT(AF57,"0.0%")&amp;" (need "&amp;TEXT(Method!$B$7,"0.0%")&amp;"+)","Model ≈ market — edge "&amp;TEXT(AG57,"0.0%")&amp;" (need "&amp;TEXT(Method!$B$8,"0.0%")&amp;"+)")))))</f>
        <v/>
      </c>
      <c r="AU57" s="31">
        <f>IF(AN57&lt;&gt;"Y","",IF(AH57="· enter odds","⚠ type the 3 odds (1/X/2) to grade this bet",IF(OR(AV57="",AO57="",AP57=""),"⚠ log backed pick, odds &amp; stake",IF(AZ57&lt;&gt;"BET","⚠ FUN BET — engine said pass · staked £"&amp;AP57&amp;" vs engine £"&amp;BA57,IF(AV57&lt;&gt;IF(AY57="",AC57,AY57),"⚠ backed "&amp;AV57&amp;" but engine pick was "&amp;IF(AY57="",AC57,AY57),IF(AP57&gt;BA57,"⚠ stake over engine £"&amp;BA57,IF(ABS(AO57-IFERROR(INDEX(L57:N57,1,MATCH(AV57,{"H","D","A"},0)),AE57))&gt;0.02,"⚠ odds moved — re-check value","✓ engine bet")))))))</f>
        <v/>
      </c>
      <c r="AV57" s="59">
        <f>IF(Matchday!O59="","",Matchday!O59)</f>
        <v/>
      </c>
      <c r="AW57" s="79" t="n"/>
      <c r="AX57" s="79" t="n"/>
      <c r="AY57" s="79" t="n"/>
      <c r="AZ57" s="79">
        <f>IF(AW57="",AH57,AW57)</f>
        <v/>
      </c>
      <c r="BA57" s="75">
        <f>IF(AX57&lt;&gt;"",AX57,IF(AH57&lt;&gt;"BET",0,IF(AI57*Method!$B$10/100&lt;Method!$B$9,0,ROUND(AI57*Method!$B$10/100,0))))</f>
        <v/>
      </c>
      <c r="BB57" s="77" t="n">
        <v>-12.15</v>
      </c>
      <c r="BC57" s="77" t="n">
        <v>0.1112478028761551</v>
      </c>
      <c r="BD57" s="77" t="n">
        <v>0.267461942444106</v>
      </c>
      <c r="BE57" s="77" t="n">
        <v>0.6212902546797389</v>
      </c>
      <c r="BF57" s="14" t="inlineStr">
        <is>
          <t>Curacao team-wide: -13 · Ivory Coast team-wide: +1</t>
        </is>
      </c>
      <c r="BG57" s="77" t="n">
        <v>12</v>
      </c>
      <c r="BH57" s="77" t="inlineStr">
        <is>
          <t>warm_humid</t>
        </is>
      </c>
      <c r="BI57" s="77" t="n">
        <v>1657.4</v>
      </c>
    </row>
    <row r="58" ht="15" customHeight="1" s="153">
      <c r="A58" s="59" t="n">
        <v>57</v>
      </c>
      <c r="B58" s="58" t="n">
        <v>46198</v>
      </c>
      <c r="C58" s="59" t="inlineStr">
        <is>
          <t>F</t>
        </is>
      </c>
      <c r="D58" s="66" t="inlineStr">
        <is>
          <t>Japan</t>
        </is>
      </c>
      <c r="E58" s="66" t="inlineStr">
        <is>
          <t>Sweden</t>
        </is>
      </c>
      <c r="F58" s="66" t="inlineStr">
        <is>
          <t>Arlington</t>
        </is>
      </c>
      <c r="G58" s="61" t="n">
        <v>0.7916666666666666</v>
      </c>
      <c r="H58" s="59" t="inlineStr">
        <is>
          <t>01:00 +1d</t>
        </is>
      </c>
      <c r="I58" s="64" t="n">
        <v>0.5531851057144598</v>
      </c>
      <c r="J58" s="64" t="n">
        <v>0.2627537869393949</v>
      </c>
      <c r="K58" s="64" t="n">
        <v>0.1840611073461454</v>
      </c>
      <c r="L58" s="63">
        <f>IF(Matchday!E60="","",Matchday!E60)</f>
        <v/>
      </c>
      <c r="M58" s="63">
        <f>IF(Matchday!F60="","",Matchday!F60)</f>
        <v/>
      </c>
      <c r="N58" s="63">
        <f>IF(Matchday!G60="","",Matchday!G60)</f>
        <v/>
      </c>
      <c r="O58" s="64">
        <f>IF(L58="","",1/L58)</f>
        <v/>
      </c>
      <c r="P58" s="64">
        <f>IF(M58="","",1/M58)</f>
        <v/>
      </c>
      <c r="Q58" s="64">
        <f>IF(N58="","",1/N58)</f>
        <v/>
      </c>
      <c r="R58" s="64">
        <f>IF(COUNT(L58:N58)&lt;3,"",O58+P58+Q58)</f>
        <v/>
      </c>
      <c r="S58" s="64">
        <f t="array" ref="S58">IF($R58="","",IF(Method!$B$56="proportional",O58/$R58,IF(Method!$B$56="power",IFERROR(INDEX(power_devig($L58,$M58,$N58),1,1),O58/$R58),IFERROR(INDEX(shin($L58,$M58,$N58),1,1),O58/$R58))))</f>
        <v/>
      </c>
      <c r="T58" s="64">
        <f t="array" ref="T58">IF($R58="","",IF(Method!$B$56="proportional",P58/$R58,IF(Method!$B$56="power",IFERROR(INDEX(power_devig($L58,$M58,$N58),2,1),P58/$R58),IFERROR(INDEX(shin($L58,$M58,$N58),2,1),P58/$R58))))</f>
        <v/>
      </c>
      <c r="U58" s="64">
        <f t="array" ref="U58">IF($R58="","",IF(Method!$B$56="proportional",Q58/$R58,IF(Method!$B$56="power",IFERROR(INDEX(power_devig($L58,$M58,$N58),3,1),Q58/$R58),IFERROR(INDEX(shin($L58,$M58,$N58),3,1),Q58/$R58))))</f>
        <v/>
      </c>
      <c r="V58" s="64">
        <f>IF(S58="","",Method!$B$4*IF(BC58="",I58,BC58)+(1-Method!$B$4)*S58/($S58+$T58+$U58))</f>
        <v/>
      </c>
      <c r="W58" s="64">
        <f>IF(T58="","",Method!$B$4*IF(BD58="",J58,BD58)+(1-Method!$B$4)*T58/($S58+$T58+$U58))</f>
        <v/>
      </c>
      <c r="X58" s="64">
        <f>IF(U58="","",Method!$B$4*IF(BE58="",K58,BE58)+(1-Method!$B$4)*U58/($S58+$T58+$U58))</f>
        <v/>
      </c>
      <c r="Y58" s="65">
        <f>IF(V58="","",V58*L58-1)</f>
        <v/>
      </c>
      <c r="Z58" s="65">
        <f>IF(W58="","",W58*M58-1)</f>
        <v/>
      </c>
      <c r="AA58" s="65">
        <f>IF(X58="","",X58*N58-1)</f>
        <v/>
      </c>
      <c r="AB58" s="66">
        <f>IF(Y58="","",MATCH(MAX(Y58:AA58),Y58:AA58,0))</f>
        <v/>
      </c>
      <c r="AC58" s="66">
        <f>IF(AB58="","",CHOOSE(AB58,"H","D","A"))</f>
        <v/>
      </c>
      <c r="AD58" s="67">
        <f>IF(AB58="","",CHOOSE(AB58,"1  "&amp;D58,"X  Draw","2  "&amp;E58))</f>
        <v/>
      </c>
      <c r="AE58" s="33">
        <f>IF(AB58="","",INDEX(L58:N58,1,AB58))</f>
        <v/>
      </c>
      <c r="AF58" s="65">
        <f>IF(AB58="","",INDEX(Y58:AA58,1,AB58))</f>
        <v/>
      </c>
      <c r="AG58" s="65">
        <f>IF(AB58="","",INDEX(V58:X58,1,AB58)-INDEX(S58:U58,1,AB58))</f>
        <v/>
      </c>
      <c r="AH58" s="68">
        <f>IF(AB58="","· enter odds",IF(OR(AF58&gt;Method!$B$87,IFERROR(INDEX(BC58:BE58,1,AB58)/INDEX(S58:U58,1,AB58),0)&gt;Method!$B$88),"PASS",IF(AND(AF58&gt;=Method!$B$7,AG58&gt;=Method!$B$8),"BET","PASS")))</f>
        <v/>
      </c>
      <c r="AI58" s="69">
        <f>IF(AH58&lt;&gt;"BET",0,ROUND(MIN(Method!$B$6,Method!$B$5*AL58)*100,1))</f>
        <v/>
      </c>
      <c r="AJ58" s="70">
        <f>IF(OR(AH58&lt;&gt;"BET",Method!$B$55=TRUE()),0,IF(AI58*Method!$B$10/100&lt;Method!$B$9,0,ROUND(AI58*Method!$B$10/100,0)))</f>
        <v/>
      </c>
      <c r="AK58" s="64">
        <f>IF(AB58="","",INDEX(V58:X58,1,AB58))</f>
        <v/>
      </c>
      <c r="AL58" s="64">
        <f>IF(AH58&lt;&gt;"BET","",MAX(0,(AK58*AE58-1)/(AE58-1)))</f>
        <v/>
      </c>
      <c r="AM58" s="66">
        <f>IF(AH58="BET",AF58+A58/1000000,"")</f>
        <v/>
      </c>
      <c r="AN58" s="71">
        <f>IF(Matchday!N60="","",Matchday!N60)</f>
        <v/>
      </c>
      <c r="AO58" s="63">
        <f>IF(Matchday!P60="","",Matchday!P60)</f>
        <v/>
      </c>
      <c r="AP58" s="72">
        <f>IF(Matchday!Q60="","",Matchday!Q60)</f>
        <v/>
      </c>
      <c r="AQ58" s="71">
        <f>IF(Matchday!R60="","",Matchday!R60)</f>
        <v/>
      </c>
      <c r="AR58" s="73">
        <f>IF(OR(AN58&lt;&gt;"Y",AQ58="",AV58=""),"",IF(AQ58="Void",0,IF(AQ58=AV58,ROUND(AP58*(AO58-1),2),-AP58)))</f>
        <v/>
      </c>
      <c r="AS58" s="73">
        <f>IF(AR58="","",SUM($AR$2:AR58))</f>
        <v/>
      </c>
      <c r="AT58" s="31">
        <f>IF(AB58="","Type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pauses.")),IF(AH58="BET",IF(AJ58=0,"Edge found but stake rounds under £"&amp;Method!$B$9&amp;" — skip",IF(AND(AE58&gt;=6,AG58&gt;=0.15),"🟡 WAIT — long-shot review: odds "&amp;TEXT(AE58,"0.00")&amp;" + edge "&amp;TEXT(AG58,"0.0%")&amp;" — verify sharp-book + team news + stake comfort before Placed=Y","Value found: EV "&amp;TEXT(AF58,"0.0%")&amp;", edge "&amp;TEXT(AG58,"0.0%"))),IF(OR(AF58&gt;Method!$B$87,IFERROR(INDEX(BC58:BE58,1,AB58)/INDEX(S58:U58,1,AB58),0)&gt;Method!$B$88),"🛑 Tail trap — auto-PASS · EV "&amp;TEXT(AF58,"0.0%")&amp;" (cap "&amp;TEXT(Method!$B$87,"0%")&amp;") · model/market "&amp;TEXT(IFERROR(INDEX(BC58:BE58,1,AB58)/INDEX(S58:U58,1,AB58),0),"0.0")&amp;"× (cap "&amp;TEXT(Method!$B$88,"0.0")&amp;"×)",IF(AF58&lt;Method!$B$7,"Price too short — EV "&amp;TEXT(AF58,"0.0%")&amp;" (need "&amp;TEXT(Method!$B$7,"0.0%")&amp;"+)","Model ≈ market — edge "&amp;TEXT(AG58,"0.0%")&amp;" (need "&amp;TEXT(Method!$B$8,"0.0%")&amp;"+)")))))</f>
        <v/>
      </c>
      <c r="AU58" s="31">
        <f>IF(AN58&lt;&gt;"Y","",IF(AH58="· enter odds","⚠ type the 3 odds (1/X/2) to grade this bet",IF(OR(AV58="",AO58="",AP58=""),"⚠ log backed pick, odds &amp; stake",IF(AZ58&lt;&gt;"BET","⚠ FUN BET — engine said pass · staked £"&amp;AP58&amp;" vs engine £"&amp;BA58,IF(AV58&lt;&gt;IF(AY58="",AC58,AY58),"⚠ backed "&amp;AV58&amp;" but engine pick was "&amp;IF(AY58="",AC58,AY58),IF(AP58&gt;BA58,"⚠ stake over engine £"&amp;BA58,IF(ABS(AO58-IFERROR(INDEX(L58:N58,1,MATCH(AV58,{"H","D","A"},0)),AE58))&gt;0.02,"⚠ odds moved — re-check value","✓ engine bet")))))))</f>
        <v/>
      </c>
      <c r="AV58" s="59">
        <f>IF(Matchday!O60="","",Matchday!O60)</f>
        <v/>
      </c>
      <c r="AW58" s="79" t="n"/>
      <c r="AX58" s="79" t="n"/>
      <c r="AY58" s="79" t="n"/>
      <c r="AZ58" s="79">
        <f>IF(AW58="",AH58,AW58)</f>
        <v/>
      </c>
      <c r="BA58" s="75">
        <f>IF(AX58&lt;&gt;"",AX58,IF(AH58&lt;&gt;"BET",0,IF(AI58*Method!$B$10/100&lt;Method!$B$9,0,ROUND(AI58*Method!$B$10/100,0))))</f>
        <v/>
      </c>
      <c r="BB58" s="77" t="n">
        <v>-41.26000000000001</v>
      </c>
      <c r="BC58" s="77" t="n">
        <v>0.5348710932270948</v>
      </c>
      <c r="BD58" s="77" t="n">
        <v>0.2767488614364281</v>
      </c>
      <c r="BE58" s="77" t="n">
        <v>0.1883800453364771</v>
      </c>
      <c r="BF58" s="77" t="inlineStr">
        <is>
          <t>Japan team-wide: -30 · Sweden team-wide: -12</t>
        </is>
      </c>
      <c r="BG58" s="77" t="n">
        <v>175</v>
      </c>
      <c r="BH58" s="77" t="inlineStr">
        <is>
          <t>very_hot_indoor</t>
        </is>
      </c>
      <c r="BI58" s="77" t="n">
        <v>844.2</v>
      </c>
    </row>
    <row r="59" ht="15" customHeight="1" s="153">
      <c r="A59" s="59" t="n">
        <v>58</v>
      </c>
      <c r="B59" s="58" t="n">
        <v>46198</v>
      </c>
      <c r="C59" s="59" t="inlineStr">
        <is>
          <t>F</t>
        </is>
      </c>
      <c r="D59" s="66" t="inlineStr">
        <is>
          <t>Tunisia</t>
        </is>
      </c>
      <c r="E59" s="66" t="inlineStr">
        <is>
          <t>Netherlands</t>
        </is>
      </c>
      <c r="F59" s="66" t="inlineStr">
        <is>
          <t>Kansas City</t>
        </is>
      </c>
      <c r="G59" s="61" t="n">
        <v>0.7916666666666666</v>
      </c>
      <c r="H59" s="59" t="inlineStr">
        <is>
          <t>01:00 +1d</t>
        </is>
      </c>
      <c r="I59" s="64" t="n">
        <v>0.1023347032588001</v>
      </c>
      <c r="J59" s="64" t="n">
        <v>0.2126327042075745</v>
      </c>
      <c r="K59" s="64" t="n">
        <v>0.6850325925336255</v>
      </c>
      <c r="L59" s="63">
        <f>IF(Matchday!E61="","",Matchday!E61)</f>
        <v/>
      </c>
      <c r="M59" s="63">
        <f>IF(Matchday!F61="","",Matchday!F61)</f>
        <v/>
      </c>
      <c r="N59" s="63">
        <f>IF(Matchday!G61="","",Matchday!G61)</f>
        <v/>
      </c>
      <c r="O59" s="64">
        <f>IF(L59="","",1/L59)</f>
        <v/>
      </c>
      <c r="P59" s="64">
        <f>IF(M59="","",1/M59)</f>
        <v/>
      </c>
      <c r="Q59" s="64">
        <f>IF(N59="","",1/N59)</f>
        <v/>
      </c>
      <c r="R59" s="64">
        <f>IF(COUNT(L59:N59)&lt;3,"",O59+P59+Q59)</f>
        <v/>
      </c>
      <c r="S59" s="64">
        <f t="array" ref="S59">IF($R59="","",IF(Method!$B$56="proportional",O59/$R59,IF(Method!$B$56="power",IFERROR(INDEX(power_devig($L59,$M59,$N59),1,1),O59/$R59),IFERROR(INDEX(shin($L59,$M59,$N59),1,1),O59/$R59))))</f>
        <v/>
      </c>
      <c r="T59" s="64">
        <f t="array" ref="T59">IF($R59="","",IF(Method!$B$56="proportional",P59/$R59,IF(Method!$B$56="power",IFERROR(INDEX(power_devig($L59,$M59,$N59),2,1),P59/$R59),IFERROR(INDEX(shin($L59,$M59,$N59),2,1),P59/$R59))))</f>
        <v/>
      </c>
      <c r="U59" s="64">
        <f t="array" ref="U59">IF($R59="","",IF(Method!$B$56="proportional",Q59/$R59,IF(Method!$B$56="power",IFERROR(INDEX(power_devig($L59,$M59,$N59),3,1),Q59/$R59),IFERROR(INDEX(shin($L59,$M59,$N59),3,1),Q59/$R59))))</f>
        <v/>
      </c>
      <c r="V59" s="64">
        <f>IF(S59="","",Method!$B$4*IF(BC59="",I59,BC59)+(1-Method!$B$4)*S59/($S59+$T59+$U59))</f>
        <v/>
      </c>
      <c r="W59" s="64">
        <f>IF(T59="","",Method!$B$4*IF(BD59="",J59,BD59)+(1-Method!$B$4)*T59/($S59+$T59+$U59))</f>
        <v/>
      </c>
      <c r="X59" s="64">
        <f>IF(U59="","",Method!$B$4*IF(BE59="",K59,BE59)+(1-Method!$B$4)*U59/($S59+$T59+$U59))</f>
        <v/>
      </c>
      <c r="Y59" s="65">
        <f>IF(V59="","",V59*L59-1)</f>
        <v/>
      </c>
      <c r="Z59" s="65">
        <f>IF(W59="","",W59*M59-1)</f>
        <v/>
      </c>
      <c r="AA59" s="65">
        <f>IF(X59="","",X59*N59-1)</f>
        <v/>
      </c>
      <c r="AB59" s="66">
        <f>IF(Y59="","",MATCH(MAX(Y59:AA59),Y59:AA59,0))</f>
        <v/>
      </c>
      <c r="AC59" s="66">
        <f>IF(AB59="","",CHOOSE(AB59,"H","D","A"))</f>
        <v/>
      </c>
      <c r="AD59" s="67">
        <f>IF(AB59="","",CHOOSE(AB59,"1  "&amp;D59,"X  Draw","2  "&amp;E59))</f>
        <v/>
      </c>
      <c r="AE59" s="33">
        <f>IF(AB59="","",INDEX(L59:N59,1,AB59))</f>
        <v/>
      </c>
      <c r="AF59" s="65">
        <f>IF(AB59="","",INDEX(Y59:AA59,1,AB59))</f>
        <v/>
      </c>
      <c r="AG59" s="65">
        <f>IF(AB59="","",INDEX(V59:X59,1,AB59)-INDEX(S59:U59,1,AB59))</f>
        <v/>
      </c>
      <c r="AH59" s="68">
        <f>IF(AB59="","· enter odds",IF(OR(AF59&gt;Method!$B$87,IFERROR(INDEX(BC59:BE59,1,AB59)/INDEX(S59:U59,1,AB59),0)&gt;Method!$B$88),"PASS",IF(AND(AF59&gt;=Method!$B$7,AG59&gt;=Method!$B$8),"BET","PASS")))</f>
        <v/>
      </c>
      <c r="AI59" s="69">
        <f>IF(AH59&lt;&gt;"BET",0,ROUND(MIN(Method!$B$6,Method!$B$5*AL59)*100,1))</f>
        <v/>
      </c>
      <c r="AJ59" s="70">
        <f>IF(OR(AH59&lt;&gt;"BET",Method!$B$55=TRUE()),0,IF(AI59*Method!$B$10/100&lt;Method!$B$9,0,ROUND(AI59*Method!$B$10/100,0)))</f>
        <v/>
      </c>
      <c r="AK59" s="64">
        <f>IF(AB59="","",INDEX(V59:X59,1,AB59))</f>
        <v/>
      </c>
      <c r="AL59" s="64">
        <f>IF(AH59&lt;&gt;"BET","",MAX(0,(AK59*AE59-1)/(AE59-1)))</f>
        <v/>
      </c>
      <c r="AM59" s="66">
        <f>IF(AH59="BET",AF59+A59/1000000,"")</f>
        <v/>
      </c>
      <c r="AN59" s="71">
        <f>IF(Matchday!N61="","",Matchday!N61)</f>
        <v/>
      </c>
      <c r="AO59" s="63">
        <f>IF(Matchday!P61="","",Matchday!P61)</f>
        <v/>
      </c>
      <c r="AP59" s="72">
        <f>IF(Matchday!Q61="","",Matchday!Q61)</f>
        <v/>
      </c>
      <c r="AQ59" s="71">
        <f>IF(Matchday!R61="","",Matchday!R61)</f>
        <v/>
      </c>
      <c r="AR59" s="73">
        <f>IF(OR(AN59&lt;&gt;"Y",AQ59="",AV59=""),"",IF(AQ59="Void",0,IF(AQ59=AV59,ROUND(AP59*(AO59-1),2),-AP59)))</f>
        <v/>
      </c>
      <c r="AS59" s="73">
        <f>IF(AR59="","",SUM($AR$2:AR59))</f>
        <v/>
      </c>
      <c r="AT59" s="31">
        <f>IF(AB59="","Type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pauses.")),IF(AH59="BET",IF(AJ59=0,"Edge found but stake rounds under £"&amp;Method!$B$9&amp;" — skip",IF(AND(AE59&gt;=6,AG59&gt;=0.15),"🟡 WAIT — long-shot review: odds "&amp;TEXT(AE59,"0.00")&amp;" + edge "&amp;TEXT(AG59,"0.0%")&amp;" — verify sharp-book + team news + stake comfort before Placed=Y","Value found: EV "&amp;TEXT(AF59,"0.0%")&amp;", edge "&amp;TEXT(AG59,"0.0%"))),IF(OR(AF59&gt;Method!$B$87,IFERROR(INDEX(BC59:BE59,1,AB59)/INDEX(S59:U59,1,AB59),0)&gt;Method!$B$88),"🛑 Tail trap — auto-PASS · EV "&amp;TEXT(AF59,"0.0%")&amp;" (cap "&amp;TEXT(Method!$B$87,"0%")&amp;") · model/market "&amp;TEXT(IFERROR(INDEX(BC59:BE59,1,AB59)/INDEX(S59:U59,1,AB59),0),"0.0")&amp;"× (cap "&amp;TEXT(Method!$B$88,"0.0")&amp;"×)",IF(AF59&lt;Method!$B$7,"Price too short — EV "&amp;TEXT(AF59,"0.0%")&amp;" (need "&amp;TEXT(Method!$B$7,"0.0%")&amp;"+)","Model ≈ market — edge "&amp;TEXT(AG59,"0.0%")&amp;" (need "&amp;TEXT(Method!$B$8,"0.0%")&amp;"+)")))))</f>
        <v/>
      </c>
      <c r="AU59" s="31">
        <f>IF(AN59&lt;&gt;"Y","",IF(AH59="· enter odds","⚠ type the 3 odds (1/X/2) to grade this bet",IF(OR(AV59="",AO59="",AP59=""),"⚠ log backed pick, odds &amp; stake",IF(AZ59&lt;&gt;"BET","⚠ FUN BET — engine said pass · staked £"&amp;AP59&amp;" vs engine £"&amp;BA59,IF(AV59&lt;&gt;IF(AY59="",AC59,AY59),"⚠ backed "&amp;AV59&amp;" but engine pick was "&amp;IF(AY59="",AC59,AY59),IF(AP59&gt;BA59,"⚠ stake over engine £"&amp;BA59,IF(ABS(AO59-IFERROR(INDEX(L59:N59,1,MATCH(AV59,{"H","D","A"},0)),AE59))&gt;0.02,"⚠ odds moved — re-check value","✓ engine bet")))))))</f>
        <v/>
      </c>
      <c r="AV59" s="59">
        <f>IF(Matchday!O61="","",Matchday!O61)</f>
        <v/>
      </c>
      <c r="AW59" s="79" t="n"/>
      <c r="AX59" s="79" t="n"/>
      <c r="AY59" s="79" t="n"/>
      <c r="AZ59" s="79">
        <f>IF(AW59="",AH59,AW59)</f>
        <v/>
      </c>
      <c r="BA59" s="75">
        <f>IF(AX59&lt;&gt;"",AX59,IF(AH59&lt;&gt;"BET",0,IF(AI59*Method!$B$10/100&lt;Method!$B$9,0,ROUND(AI59*Method!$B$10/100,0))))</f>
        <v/>
      </c>
      <c r="BB59" s="77" t="n">
        <v>-29.76</v>
      </c>
      <c r="BC59" s="77" t="n">
        <v>0.0939853421990401</v>
      </c>
      <c r="BD59" s="77" t="n">
        <v>0.2370235924413312</v>
      </c>
      <c r="BE59" s="77" t="n">
        <v>0.6689910653596287</v>
      </c>
      <c r="BF59" s="77" t="inlineStr">
        <is>
          <t>Netherlands team-wide: +4 · Tunisia team-wide: -33</t>
        </is>
      </c>
      <c r="BG59" s="77" t="n">
        <v>270</v>
      </c>
      <c r="BH59" s="77" t="inlineStr">
        <is>
          <t>hot</t>
        </is>
      </c>
      <c r="BI59" s="77" t="n">
        <v>1582.1</v>
      </c>
    </row>
    <row r="60" ht="15" customHeight="1" s="153">
      <c r="A60" s="59" t="n">
        <v>59</v>
      </c>
      <c r="B60" s="58" t="n">
        <v>46198</v>
      </c>
      <c r="C60" s="59" t="inlineStr">
        <is>
          <t>D</t>
        </is>
      </c>
      <c r="D60" s="66" t="inlineStr">
        <is>
          <t>Turkey</t>
        </is>
      </c>
      <c r="E60" s="66" t="inlineStr">
        <is>
          <t>United States</t>
        </is>
      </c>
      <c r="F60" s="66" t="inlineStr">
        <is>
          <t>Inglewood</t>
        </is>
      </c>
      <c r="G60" s="61" t="n">
        <v>0.9166666666666666</v>
      </c>
      <c r="H60" s="59" t="inlineStr">
        <is>
          <t>06:00 +1d</t>
        </is>
      </c>
      <c r="I60" s="64" t="n">
        <v>0.4695716828585269</v>
      </c>
      <c r="J60" s="64" t="n">
        <v>0.2650698480770919</v>
      </c>
      <c r="K60" s="64" t="n">
        <v>0.2653584690643813</v>
      </c>
      <c r="L60" s="63">
        <f>IF(Matchday!E62="","",Matchday!E62)</f>
        <v/>
      </c>
      <c r="M60" s="63">
        <f>IF(Matchday!F62="","",Matchday!F62)</f>
        <v/>
      </c>
      <c r="N60" s="63">
        <f>IF(Matchday!G62="","",Matchday!G62)</f>
        <v/>
      </c>
      <c r="O60" s="64">
        <f>IF(L60="","",1/L60)</f>
        <v/>
      </c>
      <c r="P60" s="64">
        <f>IF(M60="","",1/M60)</f>
        <v/>
      </c>
      <c r="Q60" s="64">
        <f>IF(N60="","",1/N60)</f>
        <v/>
      </c>
      <c r="R60" s="64">
        <f>IF(COUNT(L60:N60)&lt;3,"",O60+P60+Q60)</f>
        <v/>
      </c>
      <c r="S60" s="64">
        <f t="array" ref="S60">IF($R60="","",IF(Method!$B$56="proportional",O60/$R60,IF(Method!$B$56="power",IFERROR(INDEX(power_devig($L60,$M60,$N60),1,1),O60/$R60),IFERROR(INDEX(shin($L60,$M60,$N60),1,1),O60/$R60))))</f>
        <v/>
      </c>
      <c r="T60" s="64">
        <f t="array" ref="T60">IF($R60="","",IF(Method!$B$56="proportional",P60/$R60,IF(Method!$B$56="power",IFERROR(INDEX(power_devig($L60,$M60,$N60),2,1),P60/$R60),IFERROR(INDEX(shin($L60,$M60,$N60),2,1),P60/$R60))))</f>
        <v/>
      </c>
      <c r="U60" s="64">
        <f t="array" ref="U60">IF($R60="","",IF(Method!$B$56="proportional",Q60/$R60,IF(Method!$B$56="power",IFERROR(INDEX(power_devig($L60,$M60,$N60),3,1),Q60/$R60),IFERROR(INDEX(shin($L60,$M60,$N60),3,1),Q60/$R60))))</f>
        <v/>
      </c>
      <c r="V60" s="64">
        <f>IF(S60="","",Method!$B$4*IF(BC60="",I60,BC60)+(1-Method!$B$4)*S60/($S60+$T60+$U60))</f>
        <v/>
      </c>
      <c r="W60" s="64">
        <f>IF(T60="","",Method!$B$4*IF(BD60="",J60,BD60)+(1-Method!$B$4)*T60/($S60+$T60+$U60))</f>
        <v/>
      </c>
      <c r="X60" s="64">
        <f>IF(U60="","",Method!$B$4*IF(BE60="",K60,BE60)+(1-Method!$B$4)*U60/($S60+$T60+$U60))</f>
        <v/>
      </c>
      <c r="Y60" s="65">
        <f>IF(V60="","",V60*L60-1)</f>
        <v/>
      </c>
      <c r="Z60" s="65">
        <f>IF(W60="","",W60*M60-1)</f>
        <v/>
      </c>
      <c r="AA60" s="65">
        <f>IF(X60="","",X60*N60-1)</f>
        <v/>
      </c>
      <c r="AB60" s="66">
        <f>IF(Y60="","",MATCH(MAX(Y60:AA60),Y60:AA60,0))</f>
        <v/>
      </c>
      <c r="AC60" s="66">
        <f>IF(AB60="","",CHOOSE(AB60,"H","D","A"))</f>
        <v/>
      </c>
      <c r="AD60" s="67">
        <f>IF(AB60="","",CHOOSE(AB60,"1  "&amp;D60,"X  Draw","2  "&amp;E60))</f>
        <v/>
      </c>
      <c r="AE60" s="33">
        <f>IF(AB60="","",INDEX(L60:N60,1,AB60))</f>
        <v/>
      </c>
      <c r="AF60" s="65">
        <f>IF(AB60="","",INDEX(Y60:AA60,1,AB60))</f>
        <v/>
      </c>
      <c r="AG60" s="65">
        <f>IF(AB60="","",INDEX(V60:X60,1,AB60)-INDEX(S60:U60,1,AB60))</f>
        <v/>
      </c>
      <c r="AH60" s="68">
        <f>IF(AB60="","· enter odds",IF(OR(AF60&gt;Method!$B$87,IFERROR(INDEX(BC60:BE60,1,AB60)/INDEX(S60:U60,1,AB60),0)&gt;Method!$B$88),"PASS",IF(AND(AF60&gt;=Method!$B$7,AG60&gt;=Method!$B$8),"BET","PASS")))</f>
        <v/>
      </c>
      <c r="AI60" s="69">
        <f>IF(AH60&lt;&gt;"BET",0,ROUND(MIN(Method!$B$6,Method!$B$5*AL60)*100,1))</f>
        <v/>
      </c>
      <c r="AJ60" s="70">
        <f>IF(OR(AH60&lt;&gt;"BET",Method!$B$55=TRUE()),0,IF(AI60*Method!$B$10/100&lt;Method!$B$9,0,ROUND(AI60*Method!$B$10/100,0)))</f>
        <v/>
      </c>
      <c r="AK60" s="64">
        <f>IF(AB60="","",INDEX(V60:X60,1,AB60))</f>
        <v/>
      </c>
      <c r="AL60" s="64">
        <f>IF(AH60&lt;&gt;"BET","",MAX(0,(AK60*AE60-1)/(AE60-1)))</f>
        <v/>
      </c>
      <c r="AM60" s="65">
        <f>IF(AH60="BET",AF60+A60/1000000,"")</f>
        <v/>
      </c>
      <c r="AN60" s="71">
        <f>IF(Matchday!N62="","",Matchday!N62)</f>
        <v/>
      </c>
      <c r="AO60" s="63">
        <f>IF(Matchday!P62="","",Matchday!P62)</f>
        <v/>
      </c>
      <c r="AP60" s="72">
        <f>IF(Matchday!Q62="","",Matchday!Q62)</f>
        <v/>
      </c>
      <c r="AQ60" s="71">
        <f>IF(Matchday!R62="","",Matchday!R62)</f>
        <v/>
      </c>
      <c r="AR60" s="73">
        <f>IF(OR(AN60&lt;&gt;"Y",AQ60="",AV60=""),"",IF(AQ60="Void",0,IF(AQ60=AV60,ROUND(AP60*(AO60-1),2),-AP60)))</f>
        <v/>
      </c>
      <c r="AS60" s="73">
        <f>IF(AR60="","",SUM($AR$2:AR60))</f>
        <v/>
      </c>
      <c r="AT60" s="31">
        <f>IF(AB60="","Type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pauses.")),IF(AH60="BET",IF(AJ60=0,"Edge found but stake rounds under £"&amp;Method!$B$9&amp;" — skip",IF(AND(AE60&gt;=6,AG60&gt;=0.15),"🟡 WAIT — long-shot review: odds "&amp;TEXT(AE60,"0.00")&amp;" + edge "&amp;TEXT(AG60,"0.0%")&amp;" — verify sharp-book + team news + stake comfort before Placed=Y","Value found: EV "&amp;TEXT(AF60,"0.0%")&amp;", edge "&amp;TEXT(AG60,"0.0%"))),IF(OR(AF60&gt;Method!$B$87,IFERROR(INDEX(BC60:BE60,1,AB60)/INDEX(S60:U60,1,AB60),0)&gt;Method!$B$88),"🛑 Tail trap — auto-PASS · EV "&amp;TEXT(AF60,"0.0%")&amp;" (cap "&amp;TEXT(Method!$B$87,"0%")&amp;") · model/market "&amp;TEXT(IFERROR(INDEX(BC60:BE60,1,AB60)/INDEX(S60:U60,1,AB60),0),"0.0")&amp;"× (cap "&amp;TEXT(Method!$B$88,"0.0")&amp;"×)",IF(AF60&lt;Method!$B$7,"Price too short — EV "&amp;TEXT(AF60,"0.0%")&amp;" (need "&amp;TEXT(Method!$B$7,"0.0%")&amp;"+)","Model ≈ market — edge "&amp;TEXT(AG60,"0.0%")&amp;" (need "&amp;TEXT(Method!$B$8,"0.0%")&amp;"+)")))))</f>
        <v/>
      </c>
      <c r="AU60" s="31">
        <f>IF(AN60&lt;&gt;"Y","",IF(AH60="· enter odds","⚠ type the 3 odds (1/X/2) to grade this bet",IF(OR(AV60="",AO60="",AP60=""),"⚠ log backed pick, odds &amp; stake",IF(AZ60&lt;&gt;"BET","⚠ FUN BET — engine said pass · staked £"&amp;AP60&amp;" vs engine £"&amp;BA60,IF(AV60&lt;&gt;IF(AY60="",AC60,AY60),"⚠ backed "&amp;AV60&amp;" but engine pick was "&amp;IF(AY60="",AC60,AY60),IF(AP60&gt;BA60,"⚠ stake over engine £"&amp;BA60,IF(ABS(AO60-IFERROR(INDEX(L60:N60,1,MATCH(AV60,{"H","D","A"},0)),AE60))&gt;0.02,"⚠ odds moved — re-check value","✓ engine bet")))))))</f>
        <v/>
      </c>
      <c r="AV60" s="59">
        <f>IF(Matchday!O62="","",Matchday!O62)</f>
        <v/>
      </c>
      <c r="AW60" s="79" t="n"/>
      <c r="AX60" s="79" t="n"/>
      <c r="AY60" s="79" t="n"/>
      <c r="AZ60" s="79">
        <f>IF(AW60="",AH60,AW60)</f>
        <v/>
      </c>
      <c r="BA60" s="75">
        <f>IF(AX60&lt;&gt;"",AX60,IF(AH60&lt;&gt;"BET",0,IF(AI60*Method!$B$10/100&lt;Method!$B$9,0,ROUND(AI60*Method!$B$10/100,0))))</f>
        <v/>
      </c>
      <c r="BB60" s="77" t="n">
        <v>-13.51</v>
      </c>
      <c r="BC60" s="77" t="n">
        <v>0.4537122300851802</v>
      </c>
      <c r="BD60" s="77" t="n">
        <v>0.2729254370463086</v>
      </c>
      <c r="BE60" s="77" t="n">
        <v>0.2733623328685113</v>
      </c>
      <c r="BF60" s="14" t="inlineStr">
        <is>
          <t>Turkey team-wide: +4 · United States team-wide: -18</t>
        </is>
      </c>
      <c r="BG60" s="77" t="n">
        <v>30</v>
      </c>
      <c r="BH60" s="77" t="inlineStr">
        <is>
          <t>warm_dry_indoor</t>
        </is>
      </c>
      <c r="BI60" s="77" t="n">
        <v>504.6</v>
      </c>
    </row>
    <row r="61" ht="15" customHeight="1" s="153">
      <c r="A61" s="59" t="n">
        <v>60</v>
      </c>
      <c r="B61" s="58" t="n">
        <v>46198</v>
      </c>
      <c r="C61" s="59" t="inlineStr">
        <is>
          <t>D</t>
        </is>
      </c>
      <c r="D61" s="66" t="inlineStr">
        <is>
          <t>Paraguay</t>
        </is>
      </c>
      <c r="E61" s="66" t="inlineStr">
        <is>
          <t>Australia</t>
        </is>
      </c>
      <c r="F61" s="66" t="inlineStr">
        <is>
          <t>Santa Clara</t>
        </is>
      </c>
      <c r="G61" s="61" t="n">
        <v>0.9166666666666666</v>
      </c>
      <c r="H61" s="59" t="inlineStr">
        <is>
          <t>06:00 +1d</t>
        </is>
      </c>
      <c r="I61" s="64" t="n">
        <v>0.3736629590874133</v>
      </c>
      <c r="J61" s="64" t="n">
        <v>0.3085762778734776</v>
      </c>
      <c r="K61" s="64" t="n">
        <v>0.3177607630391093</v>
      </c>
      <c r="L61" s="63">
        <f>IF(Matchday!E63="","",Matchday!E63)</f>
        <v/>
      </c>
      <c r="M61" s="63">
        <f>IF(Matchday!F63="","",Matchday!F63)</f>
        <v/>
      </c>
      <c r="N61" s="63">
        <f>IF(Matchday!G63="","",Matchday!G63)</f>
        <v/>
      </c>
      <c r="O61" s="64">
        <f>IF(L61="","",1/L61)</f>
        <v/>
      </c>
      <c r="P61" s="64">
        <f>IF(M61="","",1/M61)</f>
        <v/>
      </c>
      <c r="Q61" s="64">
        <f>IF(N61="","",1/N61)</f>
        <v/>
      </c>
      <c r="R61" s="64">
        <f>IF(COUNT(L61:N61)&lt;3,"",O61+P61+Q61)</f>
        <v/>
      </c>
      <c r="S61" s="64">
        <f t="array" ref="S61">IF($R61="","",IF(Method!$B$56="proportional",O61/$R61,IF(Method!$B$56="power",IFERROR(INDEX(power_devig($L61,$M61,$N61),1,1),O61/$R61),IFERROR(INDEX(shin($L61,$M61,$N61),1,1),O61/$R61))))</f>
        <v/>
      </c>
      <c r="T61" s="64">
        <f t="array" ref="T61">IF($R61="","",IF(Method!$B$56="proportional",P61/$R61,IF(Method!$B$56="power",IFERROR(INDEX(power_devig($L61,$M61,$N61),2,1),P61/$R61),IFERROR(INDEX(shin($L61,$M61,$N61),2,1),P61/$R61))))</f>
        <v/>
      </c>
      <c r="U61" s="64">
        <f t="array" ref="U61">IF($R61="","",IF(Method!$B$56="proportional",Q61/$R61,IF(Method!$B$56="power",IFERROR(INDEX(power_devig($L61,$M61,$N61),3,1),Q61/$R61),IFERROR(INDEX(shin($L61,$M61,$N61),3,1),Q61/$R61))))</f>
        <v/>
      </c>
      <c r="V61" s="64">
        <f>IF(S61="","",Method!$B$4*IF(BC61="",I61,BC61)+(1-Method!$B$4)*S61/($S61+$T61+$U61))</f>
        <v/>
      </c>
      <c r="W61" s="64">
        <f>IF(T61="","",Method!$B$4*IF(BD61="",J61,BD61)+(1-Method!$B$4)*T61/($S61+$T61+$U61))</f>
        <v/>
      </c>
      <c r="X61" s="64">
        <f>IF(U61="","",Method!$B$4*IF(BE61="",K61,BE61)+(1-Method!$B$4)*U61/($S61+$T61+$U61))</f>
        <v/>
      </c>
      <c r="Y61" s="65">
        <f>IF(V61="","",V61*L61-1)</f>
        <v/>
      </c>
      <c r="Z61" s="65">
        <f>IF(W61="","",W61*M61-1)</f>
        <v/>
      </c>
      <c r="AA61" s="65">
        <f>IF(X61="","",X61*N61-1)</f>
        <v/>
      </c>
      <c r="AB61" s="66">
        <f>IF(Y61="","",MATCH(MAX(Y61:AA61),Y61:AA61,0))</f>
        <v/>
      </c>
      <c r="AC61" s="66">
        <f>IF(AB61="","",CHOOSE(AB61,"H","D","A"))</f>
        <v/>
      </c>
      <c r="AD61" s="67">
        <f>IF(AB61="","",CHOOSE(AB61,"1  "&amp;D61,"X  Draw","2  "&amp;E61))</f>
        <v/>
      </c>
      <c r="AE61" s="33">
        <f>IF(AB61="","",INDEX(L61:N61,1,AB61))</f>
        <v/>
      </c>
      <c r="AF61" s="65">
        <f>IF(AB61="","",INDEX(Y61:AA61,1,AB61))</f>
        <v/>
      </c>
      <c r="AG61" s="65">
        <f>IF(AB61="","",INDEX(V61:X61,1,AB61)-INDEX(S61:U61,1,AB61))</f>
        <v/>
      </c>
      <c r="AH61" s="68">
        <f>IF(AB61="","· enter odds",IF(OR(AF61&gt;Method!$B$87,IFERROR(INDEX(BC61:BE61,1,AB61)/INDEX(S61:U61,1,AB61),0)&gt;Method!$B$88),"PASS",IF(AND(AF61&gt;=Method!$B$7,AG61&gt;=Method!$B$8),"BET","PASS")))</f>
        <v/>
      </c>
      <c r="AI61" s="69">
        <f>IF(AH61&lt;&gt;"BET",0,ROUND(MIN(Method!$B$6,Method!$B$5*AL61)*100,1))</f>
        <v/>
      </c>
      <c r="AJ61" s="70">
        <f>IF(OR(AH61&lt;&gt;"BET",Method!$B$55=TRUE()),0,IF(AI61*Method!$B$10/100&lt;Method!$B$9,0,ROUND(AI61*Method!$B$10/100,0)))</f>
        <v/>
      </c>
      <c r="AK61" s="64">
        <f>IF(AB61="","",INDEX(V61:X61,1,AB61))</f>
        <v/>
      </c>
      <c r="AL61" s="64">
        <f>IF(AH61&lt;&gt;"BET","",MAX(0,(AK61*AE61-1)/(AE61-1)))</f>
        <v/>
      </c>
      <c r="AM61" s="65">
        <f>IF(AH61="BET",AF61+A61/1000000,"")</f>
        <v/>
      </c>
      <c r="AN61" s="71">
        <f>IF(Matchday!N63="","",Matchday!N63)</f>
        <v/>
      </c>
      <c r="AO61" s="63">
        <f>IF(Matchday!P63="","",Matchday!P63)</f>
        <v/>
      </c>
      <c r="AP61" s="72">
        <f>IF(Matchday!Q63="","",Matchday!Q63)</f>
        <v/>
      </c>
      <c r="AQ61" s="71">
        <f>IF(Matchday!R63="","",Matchday!R63)</f>
        <v/>
      </c>
      <c r="AR61" s="73">
        <f>IF(OR(AN61&lt;&gt;"Y",AQ61="",AV61=""),"",IF(AQ61="Void",0,IF(AQ61=AV61,ROUND(AP61*(AO61-1),2),-AP61)))</f>
        <v/>
      </c>
      <c r="AS61" s="73">
        <f>IF(AR61="","",SUM($AR$2:AR61))</f>
        <v/>
      </c>
      <c r="AT61" s="31">
        <f>IF(AB61="","Type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pauses.")),IF(AH61="BET",IF(AJ61=0,"Edge found but stake rounds under £"&amp;Method!$B$9&amp;" — skip",IF(AND(AE61&gt;=6,AG61&gt;=0.15),"🟡 WAIT — long-shot review: odds "&amp;TEXT(AE61,"0.00")&amp;" + edge "&amp;TEXT(AG61,"0.0%")&amp;" — verify sharp-book + team news + stake comfort before Placed=Y","Value found: EV "&amp;TEXT(AF61,"0.0%")&amp;", edge "&amp;TEXT(AG61,"0.0%"))),IF(OR(AF61&gt;Method!$B$87,IFERROR(INDEX(BC61:BE61,1,AB61)/INDEX(S61:U61,1,AB61),0)&gt;Method!$B$88),"🛑 Tail trap — auto-PASS · EV "&amp;TEXT(AF61,"0.0%")&amp;" (cap "&amp;TEXT(Method!$B$87,"0%")&amp;") · model/market "&amp;TEXT(IFERROR(INDEX(BC61:BE61,1,AB61)/INDEX(S61:U61,1,AB61),0),"0.0")&amp;"× (cap "&amp;TEXT(Method!$B$88,"0.0")&amp;"×)",IF(AF61&lt;Method!$B$7,"Price too short — EV "&amp;TEXT(AF61,"0.0%")&amp;" (need "&amp;TEXT(Method!$B$7,"0.0%")&amp;"+)","Model ≈ market — edge "&amp;TEXT(AG61,"0.0%")&amp;" (need "&amp;TEXT(Method!$B$8,"0.0%")&amp;"+)")))))</f>
        <v/>
      </c>
      <c r="AU61" s="31">
        <f>IF(AN61&lt;&gt;"Y","",IF(AH61="· enter odds","⚠ type the 3 odds (1/X/2) to grade this bet",IF(OR(AV61="",AO61="",AP61=""),"⚠ log backed pick, odds &amp; stake",IF(AZ61&lt;&gt;"BET","⚠ FUN BET — engine said pass · staked £"&amp;AP61&amp;" vs engine £"&amp;BA61,IF(AV61&lt;&gt;IF(AY61="",AC61,AY61),"⚠ backed "&amp;AV61&amp;" but engine pick was "&amp;IF(AY61="",AC61,AY61),IF(AP61&gt;BA61,"⚠ stake over engine £"&amp;BA61,IF(ABS(AO61-IFERROR(INDEX(L61:N61,1,MATCH(AV61,{"H","D","A"},0)),AE61))&gt;0.02,"⚠ odds moved — re-check value","✓ engine bet")))))))</f>
        <v/>
      </c>
      <c r="AV61" s="59">
        <f>IF(Matchday!O63="","",Matchday!O63)</f>
        <v/>
      </c>
      <c r="AW61" s="79" t="n"/>
      <c r="AX61" s="79" t="n"/>
      <c r="AY61" s="79" t="n"/>
      <c r="AZ61" s="79">
        <f>IF(AW61="",AH61,AW61)</f>
        <v/>
      </c>
      <c r="BA61" s="75">
        <f>IF(AX61&lt;&gt;"",AX61,IF(AH61&lt;&gt;"BET",0,IF(AI61*Method!$B$10/100&lt;Method!$B$9,0,ROUND(AI61*Method!$B$10/100,0))))</f>
        <v/>
      </c>
      <c r="BB61" s="77" t="n">
        <v>-63.89</v>
      </c>
      <c r="BC61" s="77" t="n">
        <v>0.3825482790871476</v>
      </c>
      <c r="BD61" s="77" t="n">
        <v>0.2600653270839828</v>
      </c>
      <c r="BE61" s="77" t="n">
        <v>0.3573863938288697</v>
      </c>
      <c r="BF61" s="14" t="inlineStr">
        <is>
          <t>Australia team-wide: -26 · Paraguay team-wide: -35 · Paraguay suspension: -3</t>
        </is>
      </c>
      <c r="BG61" s="77" t="n">
        <v>8</v>
      </c>
      <c r="BH61" s="77" t="inlineStr">
        <is>
          <t>mild_dry</t>
        </is>
      </c>
      <c r="BI61" s="77" t="n">
        <v>0</v>
      </c>
    </row>
    <row r="62" ht="15" customHeight="1" s="153">
      <c r="A62" s="59" t="n">
        <v>61</v>
      </c>
      <c r="B62" s="58" t="n">
        <v>46199</v>
      </c>
      <c r="C62" s="59" t="inlineStr">
        <is>
          <t>I</t>
        </is>
      </c>
      <c r="D62" s="66" t="inlineStr">
        <is>
          <t>Norway</t>
        </is>
      </c>
      <c r="E62" s="66" t="inlineStr">
        <is>
          <t>France</t>
        </is>
      </c>
      <c r="F62" s="66" t="inlineStr">
        <is>
          <t>Foxborough</t>
        </is>
      </c>
      <c r="G62" s="61" t="n">
        <v>0.625</v>
      </c>
      <c r="H62" s="61" t="n">
        <v>0.8333333333333334</v>
      </c>
      <c r="I62" s="64" t="n">
        <v>0.2996623498755426</v>
      </c>
      <c r="J62" s="64" t="n">
        <v>0.2449035402768611</v>
      </c>
      <c r="K62" s="64" t="n">
        <v>0.4554341098475963</v>
      </c>
      <c r="L62" s="63">
        <f>IF(Matchday!E64="","",Matchday!E64)</f>
        <v/>
      </c>
      <c r="M62" s="63">
        <f>IF(Matchday!F64="","",Matchday!F64)</f>
        <v/>
      </c>
      <c r="N62" s="63">
        <f>IF(Matchday!G64="","",Matchday!G64)</f>
        <v/>
      </c>
      <c r="O62" s="64">
        <f>IF(L62="","",1/L62)</f>
        <v/>
      </c>
      <c r="P62" s="64">
        <f>IF(M62="","",1/M62)</f>
        <v/>
      </c>
      <c r="Q62" s="64">
        <f>IF(N62="","",1/N62)</f>
        <v/>
      </c>
      <c r="R62" s="64">
        <f>IF(COUNT(L62:N62)&lt;3,"",O62+P62+Q62)</f>
        <v/>
      </c>
      <c r="S62" s="64">
        <f t="array" ref="S62">IF($R62="","",IF(Method!$B$56="proportional",O62/$R62,IF(Method!$B$56="power",IFERROR(INDEX(power_devig($L62,$M62,$N62),1,1),O62/$R62),IFERROR(INDEX(shin($L62,$M62,$N62),1,1),O62/$R62))))</f>
        <v/>
      </c>
      <c r="T62" s="64">
        <f t="array" ref="T62">IF($R62="","",IF(Method!$B$56="proportional",P62/$R62,IF(Method!$B$56="power",IFERROR(INDEX(power_devig($L62,$M62,$N62),2,1),P62/$R62),IFERROR(INDEX(shin($L62,$M62,$N62),2,1),P62/$R62))))</f>
        <v/>
      </c>
      <c r="U62" s="64">
        <f t="array" ref="U62">IF($R62="","",IF(Method!$B$56="proportional",Q62/$R62,IF(Method!$B$56="power",IFERROR(INDEX(power_devig($L62,$M62,$N62),3,1),Q62/$R62),IFERROR(INDEX(shin($L62,$M62,$N62),3,1),Q62/$R62))))</f>
        <v/>
      </c>
      <c r="V62" s="64">
        <f>IF(S62="","",Method!$B$4*IF(BC62="",I62,BC62)+(1-Method!$B$4)*S62/($S62+$T62+$U62))</f>
        <v/>
      </c>
      <c r="W62" s="64">
        <f>IF(T62="","",Method!$B$4*IF(BD62="",J62,BD62)+(1-Method!$B$4)*T62/($S62+$T62+$U62))</f>
        <v/>
      </c>
      <c r="X62" s="64">
        <f>IF(U62="","",Method!$B$4*IF(BE62="",K62,BE62)+(1-Method!$B$4)*U62/($S62+$T62+$U62))</f>
        <v/>
      </c>
      <c r="Y62" s="65">
        <f>IF(V62="","",V62*L62-1)</f>
        <v/>
      </c>
      <c r="Z62" s="65">
        <f>IF(W62="","",W62*M62-1)</f>
        <v/>
      </c>
      <c r="AA62" s="65">
        <f>IF(X62="","",X62*N62-1)</f>
        <v/>
      </c>
      <c r="AB62" s="66">
        <f>IF(Y62="","",MATCH(MAX(Y62:AA62),Y62:AA62,0))</f>
        <v/>
      </c>
      <c r="AC62" s="66">
        <f>IF(AB62="","",CHOOSE(AB62,"H","D","A"))</f>
        <v/>
      </c>
      <c r="AD62" s="67">
        <f>IF(AB62="","",CHOOSE(AB62,"1  "&amp;D62,"X  Draw","2  "&amp;E62))</f>
        <v/>
      </c>
      <c r="AE62" s="33">
        <f>IF(AB62="","",INDEX(L62:N62,1,AB62))</f>
        <v/>
      </c>
      <c r="AF62" s="65">
        <f>IF(AB62="","",INDEX(Y62:AA62,1,AB62))</f>
        <v/>
      </c>
      <c r="AG62" s="65">
        <f>IF(AB62="","",INDEX(V62:X62,1,AB62)-INDEX(S62:U62,1,AB62))</f>
        <v/>
      </c>
      <c r="AH62" s="68">
        <f>IF(AB62="","· enter odds",IF(OR(AF62&gt;Method!$B$87,IFERROR(INDEX(BC62:BE62,1,AB62)/INDEX(S62:U62,1,AB62),0)&gt;Method!$B$88),"PASS",IF(AND(AF62&gt;=Method!$B$7,AG62&gt;=Method!$B$8),"BET","PASS")))</f>
        <v/>
      </c>
      <c r="AI62" s="69">
        <f>IF(AH62&lt;&gt;"BET",0,ROUND(MIN(Method!$B$6,Method!$B$5*AL62)*100,1))</f>
        <v/>
      </c>
      <c r="AJ62" s="70">
        <f>IF(OR(AH62&lt;&gt;"BET",Method!$B$55=TRUE()),0,IF(AI62*Method!$B$10/100&lt;Method!$B$9,0,ROUND(AI62*Method!$B$10/100,0)))</f>
        <v/>
      </c>
      <c r="AK62" s="64">
        <f>IF(AB62="","",INDEX(V62:X62,1,AB62))</f>
        <v/>
      </c>
      <c r="AL62" s="64">
        <f>IF(AH62&lt;&gt;"BET","",MAX(0,(AK62*AE62-1)/(AE62-1)))</f>
        <v/>
      </c>
      <c r="AM62" s="65">
        <f>IF(AH62="BET",AF62+A62/1000000,"")</f>
        <v/>
      </c>
      <c r="AN62" s="71">
        <f>IF(Matchday!N64="","",Matchday!N64)</f>
        <v/>
      </c>
      <c r="AO62" s="63">
        <f>IF(Matchday!P64="","",Matchday!P64)</f>
        <v/>
      </c>
      <c r="AP62" s="72">
        <f>IF(Matchday!Q64="","",Matchday!Q64)</f>
        <v/>
      </c>
      <c r="AQ62" s="71">
        <f>IF(Matchday!R64="","",Matchday!R64)</f>
        <v/>
      </c>
      <c r="AR62" s="73">
        <f>IF(OR(AN62&lt;&gt;"Y",AQ62="",AV62=""),"",IF(AQ62="Void",0,IF(AQ62=AV62,ROUND(AP62*(AO62-1),2),-AP62)))</f>
        <v/>
      </c>
      <c r="AS62" s="73">
        <f>IF(AR62="","",SUM($AR$2:AR62))</f>
        <v/>
      </c>
      <c r="AT62" s="31">
        <f>IF(AB62="","Type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pauses.")),IF(AH62="BET",IF(AJ62=0,"Edge found but stake rounds under £"&amp;Method!$B$9&amp;" — skip",IF(AND(AE62&gt;=6,AG62&gt;=0.15),"🟡 WAIT — long-shot review: odds "&amp;TEXT(AE62,"0.00")&amp;" + edge "&amp;TEXT(AG62,"0.0%")&amp;" — verify sharp-book + team news + stake comfort before Placed=Y","Value found: EV "&amp;TEXT(AF62,"0.0%")&amp;", edge "&amp;TEXT(AG62,"0.0%"))),IF(OR(AF62&gt;Method!$B$87,IFERROR(INDEX(BC62:BE62,1,AB62)/INDEX(S62:U62,1,AB62),0)&gt;Method!$B$88),"🛑 Tail trap — auto-PASS · EV "&amp;TEXT(AF62,"0.0%")&amp;" (cap "&amp;TEXT(Method!$B$87,"0%")&amp;") · model/market "&amp;TEXT(IFERROR(INDEX(BC62:BE62,1,AB62)/INDEX(S62:U62,1,AB62),0),"0.0")&amp;"× (cap "&amp;TEXT(Method!$B$88,"0.0")&amp;"×)",IF(AF62&lt;Method!$B$7,"Price too short — EV "&amp;TEXT(AF62,"0.0%")&amp;" (need "&amp;TEXT(Method!$B$7,"0.0%")&amp;"+)","Model ≈ market — edge "&amp;TEXT(AG62,"0.0%")&amp;" (need "&amp;TEXT(Method!$B$8,"0.0%")&amp;"+)")))))</f>
        <v/>
      </c>
      <c r="AU62" s="31">
        <f>IF(AN62&lt;&gt;"Y","",IF(AH62="· enter odds","⚠ type the 3 odds (1/X/2) to grade this bet",IF(OR(AV62="",AO62="",AP62=""),"⚠ log backed pick, odds &amp; stake",IF(AZ62&lt;&gt;"BET","⚠ FUN BET — engine said pass · staked £"&amp;AP62&amp;" vs engine £"&amp;BA62,IF(AV62&lt;&gt;IF(AY62="",AC62,AY62),"⚠ backed "&amp;AV62&amp;" but engine pick was "&amp;IF(AY62="",AC62,AY62),IF(AP62&gt;BA62,"⚠ stake over engine £"&amp;BA62,IF(ABS(AO62-IFERROR(INDEX(L62:N62,1,MATCH(AV62,{"H","D","A"},0)),AE62))&gt;0.02,"⚠ odds moved — re-check value","✓ engine bet")))))))</f>
        <v/>
      </c>
      <c r="AV62" s="59">
        <f>IF(Matchday!O64="","",Matchday!O64)</f>
        <v/>
      </c>
      <c r="AW62" s="79" t="n"/>
      <c r="AX62" s="79" t="n"/>
      <c r="AY62" s="79" t="n"/>
      <c r="AZ62" s="79">
        <f>IF(AW62="",AH62,AW62)</f>
        <v/>
      </c>
      <c r="BA62" s="75">
        <f>IF(AX62&lt;&gt;"",AX62,IF(AH62&lt;&gt;"BET",0,IF(AI62*Method!$B$10/100&lt;Method!$B$9,0,ROUND(AI62*Method!$B$10/100,0))))</f>
        <v/>
      </c>
      <c r="BB62" s="77" t="n">
        <v>15.87</v>
      </c>
      <c r="BC62" s="77" t="n">
        <v>0.2873095429322305</v>
      </c>
      <c r="BD62" s="77" t="n">
        <v>0.2725757634620399</v>
      </c>
      <c r="BE62" s="77" t="n">
        <v>0.4401146936057295</v>
      </c>
      <c r="BF62" s="77" t="inlineStr">
        <is>
          <t>France team-wide: +16 · Norway team-wide: -1</t>
        </is>
      </c>
      <c r="BG62" s="77" t="n">
        <v>40</v>
      </c>
      <c r="BH62" s="77" t="inlineStr">
        <is>
          <t>warm</t>
        </is>
      </c>
      <c r="BI62" s="77" t="n">
        <v>273.9</v>
      </c>
    </row>
    <row r="63" ht="15" customHeight="1" s="153">
      <c r="A63" s="59" t="n">
        <v>62</v>
      </c>
      <c r="B63" s="58" t="n">
        <v>46199</v>
      </c>
      <c r="C63" s="59" t="inlineStr">
        <is>
          <t>I</t>
        </is>
      </c>
      <c r="D63" s="66" t="inlineStr">
        <is>
          <t>Senegal</t>
        </is>
      </c>
      <c r="E63" s="66" t="inlineStr">
        <is>
          <t>Iraq</t>
        </is>
      </c>
      <c r="F63" s="66" t="inlineStr">
        <is>
          <t>Toronto</t>
        </is>
      </c>
      <c r="G63" s="61" t="n">
        <v>0.625</v>
      </c>
      <c r="H63" s="61" t="n">
        <v>0.8333333333333334</v>
      </c>
      <c r="I63" s="64" t="n">
        <v>0.5508660795770921</v>
      </c>
      <c r="J63" s="64" t="n">
        <v>0.2772821977178713</v>
      </c>
      <c r="K63" s="64" t="n">
        <v>0.1718517227050365</v>
      </c>
      <c r="L63" s="63">
        <f>IF(Matchday!E65="","",Matchday!E65)</f>
        <v/>
      </c>
      <c r="M63" s="63">
        <f>IF(Matchday!F65="","",Matchday!F65)</f>
        <v/>
      </c>
      <c r="N63" s="63">
        <f>IF(Matchday!G65="","",Matchday!G65)</f>
        <v/>
      </c>
      <c r="O63" s="64">
        <f>IF(L63="","",1/L63)</f>
        <v/>
      </c>
      <c r="P63" s="64">
        <f>IF(M63="","",1/M63)</f>
        <v/>
      </c>
      <c r="Q63" s="64">
        <f>IF(N63="","",1/N63)</f>
        <v/>
      </c>
      <c r="R63" s="64">
        <f>IF(COUNT(L63:N63)&lt;3,"",O63+P63+Q63)</f>
        <v/>
      </c>
      <c r="S63" s="64">
        <f t="array" ref="S63">IF($R63="","",IF(Method!$B$56="proportional",O63/$R63,IF(Method!$B$56="power",IFERROR(INDEX(power_devig($L63,$M63,$N63),1,1),O63/$R63),IFERROR(INDEX(shin($L63,$M63,$N63),1,1),O63/$R63))))</f>
        <v/>
      </c>
      <c r="T63" s="64">
        <f t="array" ref="T63">IF($R63="","",IF(Method!$B$56="proportional",P63/$R63,IF(Method!$B$56="power",IFERROR(INDEX(power_devig($L63,$M63,$N63),2,1),P63/$R63),IFERROR(INDEX(shin($L63,$M63,$N63),2,1),P63/$R63))))</f>
        <v/>
      </c>
      <c r="U63" s="64">
        <f t="array" ref="U63">IF($R63="","",IF(Method!$B$56="proportional",Q63/$R63,IF(Method!$B$56="power",IFERROR(INDEX(power_devig($L63,$M63,$N63),3,1),Q63/$R63),IFERROR(INDEX(shin($L63,$M63,$N63),3,1),Q63/$R63))))</f>
        <v/>
      </c>
      <c r="V63" s="64">
        <f>IF(S63="","",Method!$B$4*IF(BC63="",I63,BC63)+(1-Method!$B$4)*S63/($S63+$T63+$U63))</f>
        <v/>
      </c>
      <c r="W63" s="64">
        <f>IF(T63="","",Method!$B$4*IF(BD63="",J63,BD63)+(1-Method!$B$4)*T63/($S63+$T63+$U63))</f>
        <v/>
      </c>
      <c r="X63" s="64">
        <f>IF(U63="","",Method!$B$4*IF(BE63="",K63,BE63)+(1-Method!$B$4)*U63/($S63+$T63+$U63))</f>
        <v/>
      </c>
      <c r="Y63" s="65">
        <f>IF(V63="","",V63*L63-1)</f>
        <v/>
      </c>
      <c r="Z63" s="65">
        <f>IF(W63="","",W63*M63-1)</f>
        <v/>
      </c>
      <c r="AA63" s="65">
        <f>IF(X63="","",X63*N63-1)</f>
        <v/>
      </c>
      <c r="AB63" s="66">
        <f>IF(Y63="","",MATCH(MAX(Y63:AA63),Y63:AA63,0))</f>
        <v/>
      </c>
      <c r="AC63" s="66">
        <f>IF(AB63="","",CHOOSE(AB63,"H","D","A"))</f>
        <v/>
      </c>
      <c r="AD63" s="67">
        <f>IF(AB63="","",CHOOSE(AB63,"1  "&amp;D63,"X  Draw","2  "&amp;E63))</f>
        <v/>
      </c>
      <c r="AE63" s="33">
        <f>IF(AB63="","",INDEX(L63:N63,1,AB63))</f>
        <v/>
      </c>
      <c r="AF63" s="65">
        <f>IF(AB63="","",INDEX(Y63:AA63,1,AB63))</f>
        <v/>
      </c>
      <c r="AG63" s="65">
        <f>IF(AB63="","",INDEX(V63:X63,1,AB63)-INDEX(S63:U63,1,AB63))</f>
        <v/>
      </c>
      <c r="AH63" s="68">
        <f>IF(AB63="","· enter odds",IF(OR(AF63&gt;Method!$B$87,IFERROR(INDEX(BC63:BE63,1,AB63)/INDEX(S63:U63,1,AB63),0)&gt;Method!$B$88),"PASS",IF(AND(AF63&gt;=Method!$B$7,AG63&gt;=Method!$B$8),"BET","PASS")))</f>
        <v/>
      </c>
      <c r="AI63" s="69">
        <f>IF(AH63&lt;&gt;"BET",0,ROUND(MIN(Method!$B$6,Method!$B$5*AL63)*100,1))</f>
        <v/>
      </c>
      <c r="AJ63" s="70">
        <f>IF(OR(AH63&lt;&gt;"BET",Method!$B$55=TRUE()),0,IF(AI63*Method!$B$10/100&lt;Method!$B$9,0,ROUND(AI63*Method!$B$10/100,0)))</f>
        <v/>
      </c>
      <c r="AK63" s="64">
        <f>IF(AB63="","",INDEX(V63:X63,1,AB63))</f>
        <v/>
      </c>
      <c r="AL63" s="64">
        <f>IF(AH63&lt;&gt;"BET","",MAX(0,(AK63*AE63-1)/(AE63-1)))</f>
        <v/>
      </c>
      <c r="AM63" s="65">
        <f>IF(AH63="BET",AF63+A63/1000000,"")</f>
        <v/>
      </c>
      <c r="AN63" s="71">
        <f>IF(Matchday!N65="","",Matchday!N65)</f>
        <v/>
      </c>
      <c r="AO63" s="63">
        <f>IF(Matchday!P65="","",Matchday!P65)</f>
        <v/>
      </c>
      <c r="AP63" s="72">
        <f>IF(Matchday!Q65="","",Matchday!Q65)</f>
        <v/>
      </c>
      <c r="AQ63" s="71">
        <f>IF(Matchday!R65="","",Matchday!R65)</f>
        <v/>
      </c>
      <c r="AR63" s="73">
        <f>IF(OR(AN63&lt;&gt;"Y",AQ63="",AV63=""),"",IF(AQ63="Void",0,IF(AQ63=AV63,ROUND(AP63*(AO63-1),2),-AP63)))</f>
        <v/>
      </c>
      <c r="AS63" s="73">
        <f>IF(AR63="","",SUM($AR$2:AR63))</f>
        <v/>
      </c>
      <c r="AT63" s="31">
        <f>IF(AB63="","Type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pauses.")),IF(AH63="BET",IF(AJ63=0,"Edge found but stake rounds under £"&amp;Method!$B$9&amp;" — skip",IF(AND(AE63&gt;=6,AG63&gt;=0.15),"🟡 WAIT — long-shot review: odds "&amp;TEXT(AE63,"0.00")&amp;" + edge "&amp;TEXT(AG63,"0.0%")&amp;" — verify sharp-book + team news + stake comfort before Placed=Y","Value found: EV "&amp;TEXT(AF63,"0.0%")&amp;", edge "&amp;TEXT(AG63,"0.0%"))),IF(OR(AF63&gt;Method!$B$87,IFERROR(INDEX(BC63:BE63,1,AB63)/INDEX(S63:U63,1,AB63),0)&gt;Method!$B$88),"🛑 Tail trap — auto-PASS · EV "&amp;TEXT(AF63,"0.0%")&amp;" (cap "&amp;TEXT(Method!$B$87,"0%")&amp;") · model/market "&amp;TEXT(IFERROR(INDEX(BC63:BE63,1,AB63)/INDEX(S63:U63,1,AB63),0),"0.0")&amp;"× (cap "&amp;TEXT(Method!$B$88,"0.0")&amp;"×)",IF(AF63&lt;Method!$B$7,"Price too short — EV "&amp;TEXT(AF63,"0.0%")&amp;" (need "&amp;TEXT(Method!$B$7,"0.0%")&amp;"+)","Model ≈ market — edge "&amp;TEXT(AG63,"0.0%")&amp;" (need "&amp;TEXT(Method!$B$8,"0.0%")&amp;"+)")))))</f>
        <v/>
      </c>
      <c r="AU63" s="31">
        <f>IF(AN63&lt;&gt;"Y","",IF(AH63="· enter odds","⚠ type the 3 odds (1/X/2) to grade this bet",IF(OR(AV63="",AO63="",AP63=""),"⚠ log backed pick, odds &amp; stake",IF(AZ63&lt;&gt;"BET","⚠ FUN BET — engine said pass · staked £"&amp;AP63&amp;" vs engine £"&amp;BA63,IF(AV63&lt;&gt;IF(AY63="",AC63,AY63),"⚠ backed "&amp;AV63&amp;" but engine pick was "&amp;IF(AY63="",AC63,AY63),IF(AP63&gt;BA63,"⚠ stake over engine £"&amp;BA63,IF(ABS(AO63-IFERROR(INDEX(L63:N63,1,MATCH(AV63,{"H","D","A"},0)),AE63))&gt;0.02,"⚠ odds moved — re-check value","✓ engine bet")))))))</f>
        <v/>
      </c>
      <c r="AV63" s="59">
        <f>IF(Matchday!O65="","",Matchday!O65)</f>
        <v/>
      </c>
      <c r="AW63" s="79" t="n"/>
      <c r="AX63" s="79" t="n"/>
      <c r="AY63" s="79" t="n"/>
      <c r="AZ63" s="79">
        <f>IF(AW63="",AH63,AW63)</f>
        <v/>
      </c>
      <c r="BA63" s="75">
        <f>IF(AX63&lt;&gt;"",AX63,IF(AH63&lt;&gt;"BET",0,IF(AI63*Method!$B$10/100&lt;Method!$B$9,0,ROUND(AI63*Method!$B$10/100,0))))</f>
        <v/>
      </c>
      <c r="BB63" s="77" t="n">
        <v>-24.12</v>
      </c>
      <c r="BC63" s="77" t="n">
        <v>0.5464556013210332</v>
      </c>
      <c r="BD63" s="77" t="n">
        <v>0.2734841317004237</v>
      </c>
      <c r="BE63" s="77" t="n">
        <v>0.1800602669785431</v>
      </c>
      <c r="BF63" s="14" t="inlineStr">
        <is>
          <t>Iraq team-wide: -12 · Senegal team-wide: -12</t>
        </is>
      </c>
      <c r="BG63" s="77" t="n">
        <v>76</v>
      </c>
      <c r="BH63" s="77" t="inlineStr">
        <is>
          <t>mild</t>
        </is>
      </c>
      <c r="BI63" s="77" t="n">
        <v>540.1</v>
      </c>
    </row>
    <row r="64" ht="15" customHeight="1" s="153">
      <c r="A64" s="59" t="n">
        <v>63</v>
      </c>
      <c r="B64" s="58" t="n">
        <v>46199</v>
      </c>
      <c r="C64" s="59" t="inlineStr">
        <is>
          <t>H</t>
        </is>
      </c>
      <c r="D64" s="66" t="inlineStr">
        <is>
          <t>Uruguay</t>
        </is>
      </c>
      <c r="E64" s="66" t="inlineStr">
        <is>
          <t>Spain</t>
        </is>
      </c>
      <c r="F64" s="66" t="inlineStr">
        <is>
          <t>Zapopan</t>
        </is>
      </c>
      <c r="G64" s="61" t="n">
        <v>0.8333333333333334</v>
      </c>
      <c r="H64" s="59" t="inlineStr">
        <is>
          <t>03:00 +1d</t>
        </is>
      </c>
      <c r="I64" s="64" t="n">
        <v>0.06257160722333607</v>
      </c>
      <c r="J64" s="64" t="n">
        <v>0.1930552634034717</v>
      </c>
      <c r="K64" s="64" t="n">
        <v>0.7443731293731921</v>
      </c>
      <c r="L64" s="63">
        <f>IF(Matchday!E66="","",Matchday!E66)</f>
        <v/>
      </c>
      <c r="M64" s="63">
        <f>IF(Matchday!F66="","",Matchday!F66)</f>
        <v/>
      </c>
      <c r="N64" s="63">
        <f>IF(Matchday!G66="","",Matchday!G66)</f>
        <v/>
      </c>
      <c r="O64" s="64">
        <f>IF(L64="","",1/L64)</f>
        <v/>
      </c>
      <c r="P64" s="64">
        <f>IF(M64="","",1/M64)</f>
        <v/>
      </c>
      <c r="Q64" s="64">
        <f>IF(N64="","",1/N64)</f>
        <v/>
      </c>
      <c r="R64" s="64">
        <f>IF(COUNT(L64:N64)&lt;3,"",O64+P64+Q64)</f>
        <v/>
      </c>
      <c r="S64" s="64">
        <f t="array" ref="S64">IF($R64="","",IF(Method!$B$56="proportional",O64/$R64,IF(Method!$B$56="power",IFERROR(INDEX(power_devig($L64,$M64,$N64),1,1),O64/$R64),IFERROR(INDEX(shin($L64,$M64,$N64),1,1),O64/$R64))))</f>
        <v/>
      </c>
      <c r="T64" s="64">
        <f t="array" ref="T64">IF($R64="","",IF(Method!$B$56="proportional",P64/$R64,IF(Method!$B$56="power",IFERROR(INDEX(power_devig($L64,$M64,$N64),2,1),P64/$R64),IFERROR(INDEX(shin($L64,$M64,$N64),2,1),P64/$R64))))</f>
        <v/>
      </c>
      <c r="U64" s="64">
        <f t="array" ref="U64">IF($R64="","",IF(Method!$B$56="proportional",Q64/$R64,IF(Method!$B$56="power",IFERROR(INDEX(power_devig($L64,$M64,$N64),3,1),Q64/$R64),IFERROR(INDEX(shin($L64,$M64,$N64),3,1),Q64/$R64))))</f>
        <v/>
      </c>
      <c r="V64" s="64">
        <f>IF(S64="","",Method!$B$4*IF(BC64="",I64,BC64)+(1-Method!$B$4)*S64/($S64+$T64+$U64))</f>
        <v/>
      </c>
      <c r="W64" s="64">
        <f>IF(T64="","",Method!$B$4*IF(BD64="",J64,BD64)+(1-Method!$B$4)*T64/($S64+$T64+$U64))</f>
        <v/>
      </c>
      <c r="X64" s="64">
        <f>IF(U64="","",Method!$B$4*IF(BE64="",K64,BE64)+(1-Method!$B$4)*U64/($S64+$T64+$U64))</f>
        <v/>
      </c>
      <c r="Y64" s="65">
        <f>IF(V64="","",V64*L64-1)</f>
        <v/>
      </c>
      <c r="Z64" s="65">
        <f>IF(W64="","",W64*M64-1)</f>
        <v/>
      </c>
      <c r="AA64" s="65">
        <f>IF(X64="","",X64*N64-1)</f>
        <v/>
      </c>
      <c r="AB64" s="66">
        <f>IF(Y64="","",MATCH(MAX(Y64:AA64),Y64:AA64,0))</f>
        <v/>
      </c>
      <c r="AC64" s="66">
        <f>IF(AB64="","",CHOOSE(AB64,"H","D","A"))</f>
        <v/>
      </c>
      <c r="AD64" s="67">
        <f>IF(AB64="","",CHOOSE(AB64,"1  "&amp;D64,"X  Draw","2  "&amp;E64))</f>
        <v/>
      </c>
      <c r="AE64" s="33">
        <f>IF(AB64="","",INDEX(L64:N64,1,AB64))</f>
        <v/>
      </c>
      <c r="AF64" s="65">
        <f>IF(AB64="","",INDEX(Y64:AA64,1,AB64))</f>
        <v/>
      </c>
      <c r="AG64" s="65">
        <f>IF(AB64="","",INDEX(V64:X64,1,AB64)-INDEX(S64:U64,1,AB64))</f>
        <v/>
      </c>
      <c r="AH64" s="68">
        <f>IF(AB64="","· enter odds",IF(OR(AF64&gt;Method!$B$87,IFERROR(INDEX(BC64:BE64,1,AB64)/INDEX(S64:U64,1,AB64),0)&gt;Method!$B$88),"PASS",IF(AND(AF64&gt;=Method!$B$7,AG64&gt;=Method!$B$8),"BET","PASS")))</f>
        <v/>
      </c>
      <c r="AI64" s="69">
        <f>IF(AH64&lt;&gt;"BET",0,ROUND(MIN(Method!$B$6,Method!$B$5*AL64)*100,1))</f>
        <v/>
      </c>
      <c r="AJ64" s="70">
        <f>IF(OR(AH64&lt;&gt;"BET",Method!$B$55=TRUE()),0,IF(AI64*Method!$B$10/100&lt;Method!$B$9,0,ROUND(AI64*Method!$B$10/100,0)))</f>
        <v/>
      </c>
      <c r="AK64" s="64">
        <f>IF(AB64="","",INDEX(V64:X64,1,AB64))</f>
        <v/>
      </c>
      <c r="AL64" s="64">
        <f>IF(AH64&lt;&gt;"BET","",MAX(0,(AK64*AE64-1)/(AE64-1)))</f>
        <v/>
      </c>
      <c r="AM64" s="65">
        <f>IF(AH64="BET",AF64+A64/1000000,"")</f>
        <v/>
      </c>
      <c r="AN64" s="71">
        <f>IF(Matchday!N66="","",Matchday!N66)</f>
        <v/>
      </c>
      <c r="AO64" s="63">
        <f>IF(Matchday!P66="","",Matchday!P66)</f>
        <v/>
      </c>
      <c r="AP64" s="72">
        <f>IF(Matchday!Q66="","",Matchday!Q66)</f>
        <v/>
      </c>
      <c r="AQ64" s="71">
        <f>IF(Matchday!R66="","",Matchday!R66)</f>
        <v/>
      </c>
      <c r="AR64" s="73">
        <f>IF(OR(AN64&lt;&gt;"Y",AQ64="",AV64=""),"",IF(AQ64="Void",0,IF(AQ64=AV64,ROUND(AP64*(AO64-1),2),-AP64)))</f>
        <v/>
      </c>
      <c r="AS64" s="73">
        <f>IF(AR64="","",SUM($AR$2:AR64))</f>
        <v/>
      </c>
      <c r="AT64" s="31">
        <f>IF(AB64="","Type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pauses.")),IF(AH64="BET",IF(AJ64=0,"Edge found but stake rounds under £"&amp;Method!$B$9&amp;" — skip",IF(AND(AE64&gt;=6,AG64&gt;=0.15),"🟡 WAIT — long-shot review: odds "&amp;TEXT(AE64,"0.00")&amp;" + edge "&amp;TEXT(AG64,"0.0%")&amp;" — verify sharp-book + team news + stake comfort before Placed=Y","Value found: EV "&amp;TEXT(AF64,"0.0%")&amp;", edge "&amp;TEXT(AG64,"0.0%"))),IF(OR(AF64&gt;Method!$B$87,IFERROR(INDEX(BC64:BE64,1,AB64)/INDEX(S64:U64,1,AB64),0)&gt;Method!$B$88),"🛑 Tail trap — auto-PASS · EV "&amp;TEXT(AF64,"0.0%")&amp;" (cap "&amp;TEXT(Method!$B$87,"0%")&amp;") · model/market "&amp;TEXT(IFERROR(INDEX(BC64:BE64,1,AB64)/INDEX(S64:U64,1,AB64),0),"0.0")&amp;"× (cap "&amp;TEXT(Method!$B$88,"0.0")&amp;"×)",IF(AF64&lt;Method!$B$7,"Price too short — EV "&amp;TEXT(AF64,"0.0%")&amp;" (need "&amp;TEXT(Method!$B$7,"0.0%")&amp;"+)","Model ≈ market — edge "&amp;TEXT(AG64,"0.0%")&amp;" (need "&amp;TEXT(Method!$B$8,"0.0%")&amp;"+)")))))</f>
        <v/>
      </c>
      <c r="AU64" s="31">
        <f>IF(AN64&lt;&gt;"Y","",IF(AH64="· enter odds","⚠ type the 3 odds (1/X/2) to grade this bet",IF(OR(AV64="",AO64="",AP64=""),"⚠ log backed pick, odds &amp; stake",IF(AZ64&lt;&gt;"BET","⚠ FUN BET — engine said pass · staked £"&amp;AP64&amp;" vs engine £"&amp;BA64,IF(AV64&lt;&gt;IF(AY64="",AC64,AY64),"⚠ backed "&amp;AV64&amp;" but engine pick was "&amp;IF(AY64="",AC64,AY64),IF(AP64&gt;BA64,"⚠ stake over engine £"&amp;BA64,IF(ABS(AO64-IFERROR(INDEX(L64:N64,1,MATCH(AV64,{"H","D","A"},0)),AE64))&gt;0.02,"⚠ odds moved — re-check value","✓ engine bet")))))))</f>
        <v/>
      </c>
      <c r="AV64" s="59">
        <f>IF(Matchday!O66="","",Matchday!O66)</f>
        <v/>
      </c>
      <c r="AW64" s="79" t="n"/>
      <c r="AX64" s="79" t="n"/>
      <c r="AY64" s="79" t="n"/>
      <c r="AZ64" s="79">
        <f>IF(AW64="",AH64,AW64)</f>
        <v/>
      </c>
      <c r="BA64" s="75">
        <f>IF(AX64&lt;&gt;"",AX64,IF(AH64&lt;&gt;"BET",0,IF(AI64*Method!$B$10/100&lt;Method!$B$9,0,ROUND(AI64*Method!$B$10/100,0))))</f>
        <v/>
      </c>
      <c r="BB64" s="77" t="n">
        <v>-5.870000000000001</v>
      </c>
      <c r="BC64" s="77" t="n">
        <v>0.06661932070065393</v>
      </c>
      <c r="BD64" s="77" t="n">
        <v>0.2123880065870939</v>
      </c>
      <c r="BE64" s="77" t="n">
        <v>0.7209926727122522</v>
      </c>
      <c r="BF64" s="14" t="inlineStr">
        <is>
          <t>Spain team-wide: +18 · Spain weather: -4 · Uruguay team-wide: -20</t>
        </is>
      </c>
      <c r="BG64" s="77" t="n">
        <v>1560</v>
      </c>
      <c r="BH64" s="77" t="inlineStr">
        <is>
          <t>warm_humid</t>
        </is>
      </c>
      <c r="BI64" s="77" t="n">
        <v>2439.1</v>
      </c>
    </row>
    <row r="65" ht="15" customHeight="1" s="153">
      <c r="A65" s="59" t="n">
        <v>64</v>
      </c>
      <c r="B65" s="58" t="n">
        <v>46199</v>
      </c>
      <c r="C65" s="59" t="inlineStr">
        <is>
          <t>H</t>
        </is>
      </c>
      <c r="D65" s="66" t="inlineStr">
        <is>
          <t>Cape Verde</t>
        </is>
      </c>
      <c r="E65" s="66" t="inlineStr">
        <is>
          <t>Saudi Arabia</t>
        </is>
      </c>
      <c r="F65" s="66" t="inlineStr">
        <is>
          <t>Houston</t>
        </is>
      </c>
      <c r="G65" s="61" t="n">
        <v>0.8333333333333334</v>
      </c>
      <c r="H65" s="59" t="inlineStr">
        <is>
          <t>02:00 +1d</t>
        </is>
      </c>
      <c r="I65" s="64" t="n">
        <v>0.3160177902625797</v>
      </c>
      <c r="J65" s="64" t="n">
        <v>0.3222664773535867</v>
      </c>
      <c r="K65" s="64" t="n">
        <v>0.3617157323838335</v>
      </c>
      <c r="L65" s="63">
        <f>IF(Matchday!E67="","",Matchday!E67)</f>
        <v/>
      </c>
      <c r="M65" s="63">
        <f>IF(Matchday!F67="","",Matchday!F67)</f>
        <v/>
      </c>
      <c r="N65" s="63">
        <f>IF(Matchday!G67="","",Matchday!G67)</f>
        <v/>
      </c>
      <c r="O65" s="64">
        <f>IF(L65="","",1/L65)</f>
        <v/>
      </c>
      <c r="P65" s="64">
        <f>IF(M65="","",1/M65)</f>
        <v/>
      </c>
      <c r="Q65" s="64">
        <f>IF(N65="","",1/N65)</f>
        <v/>
      </c>
      <c r="R65" s="64">
        <f>IF(COUNT(L65:N65)&lt;3,"",O65+P65+Q65)</f>
        <v/>
      </c>
      <c r="S65" s="64">
        <f t="array" ref="S65">IF($R65="","",IF(Method!$B$56="proportional",O65/$R65,IF(Method!$B$56="power",IFERROR(INDEX(power_devig($L65,$M65,$N65),1,1),O65/$R65),IFERROR(INDEX(shin($L65,$M65,$N65),1,1),O65/$R65))))</f>
        <v/>
      </c>
      <c r="T65" s="64">
        <f t="array" ref="T65">IF($R65="","",IF(Method!$B$56="proportional",P65/$R65,IF(Method!$B$56="power",IFERROR(INDEX(power_devig($L65,$M65,$N65),2,1),P65/$R65),IFERROR(INDEX(shin($L65,$M65,$N65),2,1),P65/$R65))))</f>
        <v/>
      </c>
      <c r="U65" s="64">
        <f t="array" ref="U65">IF($R65="","",IF(Method!$B$56="proportional",Q65/$R65,IF(Method!$B$56="power",IFERROR(INDEX(power_devig($L65,$M65,$N65),3,1),Q65/$R65),IFERROR(INDEX(shin($L65,$M65,$N65),3,1),Q65/$R65))))</f>
        <v/>
      </c>
      <c r="V65" s="64">
        <f>IF(S65="","",Method!$B$4*IF(BC65="",I65,BC65)+(1-Method!$B$4)*S65/($S65+$T65+$U65))</f>
        <v/>
      </c>
      <c r="W65" s="64">
        <f>IF(T65="","",Method!$B$4*IF(BD65="",J65,BD65)+(1-Method!$B$4)*T65/($S65+$T65+$U65))</f>
        <v/>
      </c>
      <c r="X65" s="64">
        <f>IF(U65="","",Method!$B$4*IF(BE65="",K65,BE65)+(1-Method!$B$4)*U65/($S65+$T65+$U65))</f>
        <v/>
      </c>
      <c r="Y65" s="65">
        <f>IF(V65="","",V65*L65-1)</f>
        <v/>
      </c>
      <c r="Z65" s="65">
        <f>IF(W65="","",W65*M65-1)</f>
        <v/>
      </c>
      <c r="AA65" s="65">
        <f>IF(X65="","",X65*N65-1)</f>
        <v/>
      </c>
      <c r="AB65" s="66">
        <f>IF(Y65="","",MATCH(MAX(Y65:AA65),Y65:AA65,0))</f>
        <v/>
      </c>
      <c r="AC65" s="66">
        <f>IF(AB65="","",CHOOSE(AB65,"H","D","A"))</f>
        <v/>
      </c>
      <c r="AD65" s="67">
        <f>IF(AB65="","",CHOOSE(AB65,"1  "&amp;D65,"X  Draw","2  "&amp;E65))</f>
        <v/>
      </c>
      <c r="AE65" s="33">
        <f>IF(AB65="","",INDEX(L65:N65,1,AB65))</f>
        <v/>
      </c>
      <c r="AF65" s="65">
        <f>IF(AB65="","",INDEX(Y65:AA65,1,AB65))</f>
        <v/>
      </c>
      <c r="AG65" s="65">
        <f>IF(AB65="","",INDEX(V65:X65,1,AB65)-INDEX(S65:U65,1,AB65))</f>
        <v/>
      </c>
      <c r="AH65" s="68">
        <f>IF(AB65="","· enter odds",IF(OR(AF65&gt;Method!$B$87,IFERROR(INDEX(BC65:BE65,1,AB65)/INDEX(S65:U65,1,AB65),0)&gt;Method!$B$88),"PASS",IF(AND(AF65&gt;=Method!$B$7,AG65&gt;=Method!$B$8),"BET","PASS")))</f>
        <v/>
      </c>
      <c r="AI65" s="69">
        <f>IF(AH65&lt;&gt;"BET",0,ROUND(MIN(Method!$B$6,Method!$B$5*AL65)*100,1))</f>
        <v/>
      </c>
      <c r="AJ65" s="70">
        <f>IF(OR(AH65&lt;&gt;"BET",Method!$B$55=TRUE()),0,IF(AI65*Method!$B$10/100&lt;Method!$B$9,0,ROUND(AI65*Method!$B$10/100,0)))</f>
        <v/>
      </c>
      <c r="AK65" s="64">
        <f>IF(AB65="","",INDEX(V65:X65,1,AB65))</f>
        <v/>
      </c>
      <c r="AL65" s="64">
        <f>IF(AH65&lt;&gt;"BET","",MAX(0,(AK65*AE65-1)/(AE65-1)))</f>
        <v/>
      </c>
      <c r="AM65" s="66">
        <f>IF(AH65="BET",AF65+A65/1000000,"")</f>
        <v/>
      </c>
      <c r="AN65" s="71">
        <f>IF(Matchday!N67="","",Matchday!N67)</f>
        <v/>
      </c>
      <c r="AO65" s="63">
        <f>IF(Matchday!P67="","",Matchday!P67)</f>
        <v/>
      </c>
      <c r="AP65" s="72">
        <f>IF(Matchday!Q67="","",Matchday!Q67)</f>
        <v/>
      </c>
      <c r="AQ65" s="71">
        <f>IF(Matchday!R67="","",Matchday!R67)</f>
        <v/>
      </c>
      <c r="AR65" s="73">
        <f>IF(OR(AN65&lt;&gt;"Y",AQ65="",AV65=""),"",IF(AQ65="Void",0,IF(AQ65=AV65,ROUND(AP65*(AO65-1),2),-AP65)))</f>
        <v/>
      </c>
      <c r="AS65" s="73">
        <f>IF(AR65="","",SUM($AR$2:AR65))</f>
        <v/>
      </c>
      <c r="AT65" s="31">
        <f>IF(AB65="","Type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pauses.")),IF(AH65="BET",IF(AJ65=0,"Edge found but stake rounds under £"&amp;Method!$B$9&amp;" — skip",IF(AND(AE65&gt;=6,AG65&gt;=0.15),"🟡 WAIT — long-shot review: odds "&amp;TEXT(AE65,"0.00")&amp;" + edge "&amp;TEXT(AG65,"0.0%")&amp;" — verify sharp-book + team news + stake comfort before Placed=Y","Value found: EV "&amp;TEXT(AF65,"0.0%")&amp;", edge "&amp;TEXT(AG65,"0.0%"))),IF(OR(AF65&gt;Method!$B$87,IFERROR(INDEX(BC65:BE65,1,AB65)/INDEX(S65:U65,1,AB65),0)&gt;Method!$B$88),"🛑 Tail trap — auto-PASS · EV "&amp;TEXT(AF65,"0.0%")&amp;" (cap "&amp;TEXT(Method!$B$87,"0%")&amp;") · model/market "&amp;TEXT(IFERROR(INDEX(BC65:BE65,1,AB65)/INDEX(S65:U65,1,AB65),0),"0.0")&amp;"× (cap "&amp;TEXT(Method!$B$88,"0.0")&amp;"×)",IF(AF65&lt;Method!$B$7,"Price too short — EV "&amp;TEXT(AF65,"0.0%")&amp;" (need "&amp;TEXT(Method!$B$7,"0.0%")&amp;"+)","Model ≈ market — edge "&amp;TEXT(AG65,"0.0%")&amp;" (need "&amp;TEXT(Method!$B$8,"0.0%")&amp;"+)")))))</f>
        <v/>
      </c>
      <c r="AU65" s="31">
        <f>IF(AN65&lt;&gt;"Y","",IF(AH65="· enter odds","⚠ type the 3 odds (1/X/2) to grade this bet",IF(OR(AV65="",AO65="",AP65=""),"⚠ log backed pick, odds &amp; stake",IF(AZ65&lt;&gt;"BET","⚠ FUN BET — engine said pass · staked £"&amp;AP65&amp;" vs engine £"&amp;BA65,IF(AV65&lt;&gt;IF(AY65="",AC65,AY65),"⚠ backed "&amp;AV65&amp;" but engine pick was "&amp;IF(AY65="",AC65,AY65),IF(AP65&gt;BA65,"⚠ stake over engine £"&amp;BA65,IF(ABS(AO65-IFERROR(INDEX(L65:N65,1,MATCH(AV65,{"H","D","A"},0)),AE65))&gt;0.02,"⚠ odds moved — re-check value","✓ engine bet")))))))</f>
        <v/>
      </c>
      <c r="AV65" s="59">
        <f>IF(Matchday!O67="","",Matchday!O67)</f>
        <v/>
      </c>
      <c r="AW65" s="79" t="n"/>
      <c r="AX65" s="79" t="n"/>
      <c r="AY65" s="79" t="n"/>
      <c r="AZ65" s="79">
        <f>IF(AW65="",AH65,AW65)</f>
        <v/>
      </c>
      <c r="BA65" s="75">
        <f>IF(AX65&lt;&gt;"",AX65,IF(AH65&lt;&gt;"BET",0,IF(AI65*Method!$B$10/100&lt;Method!$B$9,0,ROUND(AI65*Method!$B$10/100,0))))</f>
        <v/>
      </c>
      <c r="BB65" s="77" t="n">
        <v>-32.13</v>
      </c>
      <c r="BC65" s="77" t="n">
        <v>0.3251429460631143</v>
      </c>
      <c r="BD65" s="77" t="n">
        <v>0.2643031802532715</v>
      </c>
      <c r="BE65" s="77" t="n">
        <v>0.4105538736836142</v>
      </c>
      <c r="BF65" s="77" t="inlineStr">
        <is>
          <t>Cape Verde team-wide: -18 · Cape Verde suspension: -3 · Saudi Arabia team-wide: -11</t>
        </is>
      </c>
      <c r="BG65" s="77" t="n">
        <v>15</v>
      </c>
      <c r="BH65" s="77" t="inlineStr">
        <is>
          <t>very_hot_humid_indoor</t>
        </is>
      </c>
      <c r="BI65" s="77" t="n">
        <v>1547.1</v>
      </c>
    </row>
    <row r="66" ht="15" customHeight="1" s="153">
      <c r="A66" s="59" t="n">
        <v>65</v>
      </c>
      <c r="B66" s="58" t="n">
        <v>46199</v>
      </c>
      <c r="C66" s="59" t="inlineStr">
        <is>
          <t>G</t>
        </is>
      </c>
      <c r="D66" s="66" t="inlineStr">
        <is>
          <t>Egypt</t>
        </is>
      </c>
      <c r="E66" s="66" t="inlineStr">
        <is>
          <t>Iran</t>
        </is>
      </c>
      <c r="F66" s="66" t="inlineStr">
        <is>
          <t>Seattle</t>
        </is>
      </c>
      <c r="G66" s="61" t="n">
        <v>0.9583333333333334</v>
      </c>
      <c r="H66" s="59" t="inlineStr">
        <is>
          <t>07:00 +1d</t>
        </is>
      </c>
      <c r="I66" s="64" t="n">
        <v>0.2895640835393227</v>
      </c>
      <c r="J66" s="64" t="n">
        <v>0.3101989532716737</v>
      </c>
      <c r="K66" s="64" t="n">
        <v>0.4002369631890036</v>
      </c>
      <c r="L66" s="63">
        <f>IF(Matchday!E68="","",Matchday!E68)</f>
        <v/>
      </c>
      <c r="M66" s="63">
        <f>IF(Matchday!F68="","",Matchday!F68)</f>
        <v/>
      </c>
      <c r="N66" s="63">
        <f>IF(Matchday!G68="","",Matchday!G68)</f>
        <v/>
      </c>
      <c r="O66" s="64">
        <f>IF(L66="","",1/L66)</f>
        <v/>
      </c>
      <c r="P66" s="64">
        <f>IF(M66="","",1/M66)</f>
        <v/>
      </c>
      <c r="Q66" s="64">
        <f>IF(N66="","",1/N66)</f>
        <v/>
      </c>
      <c r="R66" s="64">
        <f>IF(COUNT(L66:N66)&lt;3,"",O66+P66+Q66)</f>
        <v/>
      </c>
      <c r="S66" s="64">
        <f t="array" ref="S66">IF($R66="","",IF(Method!$B$56="proportional",O66/$R66,IF(Method!$B$56="power",IFERROR(INDEX(power_devig($L66,$M66,$N66),1,1),O66/$R66),IFERROR(INDEX(shin($L66,$M66,$N66),1,1),O66/$R66))))</f>
        <v/>
      </c>
      <c r="T66" s="64">
        <f t="array" ref="T66">IF($R66="","",IF(Method!$B$56="proportional",P66/$R66,IF(Method!$B$56="power",IFERROR(INDEX(power_devig($L66,$M66,$N66),2,1),P66/$R66),IFERROR(INDEX(shin($L66,$M66,$N66),2,1),P66/$R66))))</f>
        <v/>
      </c>
      <c r="U66" s="64">
        <f t="array" ref="U66">IF($R66="","",IF(Method!$B$56="proportional",Q66/$R66,IF(Method!$B$56="power",IFERROR(INDEX(power_devig($L66,$M66,$N66),3,1),Q66/$R66),IFERROR(INDEX(shin($L66,$M66,$N66),3,1),Q66/$R66))))</f>
        <v/>
      </c>
      <c r="V66" s="64">
        <f>IF(S66="","",Method!$B$4*IF(BC66="",I66,BC66)+(1-Method!$B$4)*S66/($S66+$T66+$U66))</f>
        <v/>
      </c>
      <c r="W66" s="64">
        <f>IF(T66="","",Method!$B$4*IF(BD66="",J66,BD66)+(1-Method!$B$4)*T66/($S66+$T66+$U66))</f>
        <v/>
      </c>
      <c r="X66" s="64">
        <f>IF(U66="","",Method!$B$4*IF(BE66="",K66,BE66)+(1-Method!$B$4)*U66/($S66+$T66+$U66))</f>
        <v/>
      </c>
      <c r="Y66" s="65">
        <f>IF(V66="","",V66*L66-1)</f>
        <v/>
      </c>
      <c r="Z66" s="65">
        <f>IF(W66="","",W66*M66-1)</f>
        <v/>
      </c>
      <c r="AA66" s="65">
        <f>IF(X66="","",X66*N66-1)</f>
        <v/>
      </c>
      <c r="AB66" s="66">
        <f>IF(Y66="","",MATCH(MAX(Y66:AA66),Y66:AA66,0))</f>
        <v/>
      </c>
      <c r="AC66" s="66">
        <f>IF(AB66="","",CHOOSE(AB66,"H","D","A"))</f>
        <v/>
      </c>
      <c r="AD66" s="67">
        <f>IF(AB66="","",CHOOSE(AB66,"1  "&amp;D66,"X  Draw","2  "&amp;E66))</f>
        <v/>
      </c>
      <c r="AE66" s="33">
        <f>IF(AB66="","",INDEX(L66:N66,1,AB66))</f>
        <v/>
      </c>
      <c r="AF66" s="65">
        <f>IF(AB66="","",INDEX(Y66:AA66,1,AB66))</f>
        <v/>
      </c>
      <c r="AG66" s="65">
        <f>IF(AB66="","",INDEX(V66:X66,1,AB66)-INDEX(S66:U66,1,AB66))</f>
        <v/>
      </c>
      <c r="AH66" s="68">
        <f>IF(AB66="","· enter odds",IF(OR(AF66&gt;Method!$B$87,IFERROR(INDEX(BC66:BE66,1,AB66)/INDEX(S66:U66,1,AB66),0)&gt;Method!$B$88),"PASS",IF(AND(AF66&gt;=Method!$B$7,AG66&gt;=Method!$B$8),"BET","PASS")))</f>
        <v/>
      </c>
      <c r="AI66" s="69">
        <f>IF(AH66&lt;&gt;"BET",0,ROUND(MIN(Method!$B$6,Method!$B$5*AL66)*100,1))</f>
        <v/>
      </c>
      <c r="AJ66" s="70">
        <f>IF(OR(AH66&lt;&gt;"BET",Method!$B$55=TRUE()),0,IF(AI66*Method!$B$10/100&lt;Method!$B$9,0,ROUND(AI66*Method!$B$10/100,0)))</f>
        <v/>
      </c>
      <c r="AK66" s="64">
        <f>IF(AB66="","",INDEX(V66:X66,1,AB66))</f>
        <v/>
      </c>
      <c r="AL66" s="64">
        <f>IF(AH66&lt;&gt;"BET","",MAX(0,(AK66*AE66-1)/(AE66-1)))</f>
        <v/>
      </c>
      <c r="AM66" s="65">
        <f>IF(AH66="BET",AF66+A66/1000000,"")</f>
        <v/>
      </c>
      <c r="AN66" s="71">
        <f>IF(Matchday!N68="","",Matchday!N68)</f>
        <v/>
      </c>
      <c r="AO66" s="63">
        <f>IF(Matchday!P68="","",Matchday!P68)</f>
        <v/>
      </c>
      <c r="AP66" s="72">
        <f>IF(Matchday!Q68="","",Matchday!Q68)</f>
        <v/>
      </c>
      <c r="AQ66" s="71">
        <f>IF(Matchday!R68="","",Matchday!R68)</f>
        <v/>
      </c>
      <c r="AR66" s="73">
        <f>IF(OR(AN66&lt;&gt;"Y",AQ66="",AV66=""),"",IF(AQ66="Void",0,IF(AQ66=AV66,ROUND(AP66*(AO66-1),2),-AP66)))</f>
        <v/>
      </c>
      <c r="AS66" s="73">
        <f>IF(AR66="","",SUM($AR$2:AR66))</f>
        <v/>
      </c>
      <c r="AT66" s="31">
        <f>IF(AB66="","Type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pauses.")),IF(AH66="BET",IF(AJ66=0,"Edge found but stake rounds under £"&amp;Method!$B$9&amp;" — skip",IF(AND(AE66&gt;=6,AG66&gt;=0.15),"🟡 WAIT — long-shot review: odds "&amp;TEXT(AE66,"0.00")&amp;" + edge "&amp;TEXT(AG66,"0.0%")&amp;" — verify sharp-book + team news + stake comfort before Placed=Y","Value found: EV "&amp;TEXT(AF66,"0.0%")&amp;", edge "&amp;TEXT(AG66,"0.0%"))),IF(OR(AF66&gt;Method!$B$87,IFERROR(INDEX(BC66:BE66,1,AB66)/INDEX(S66:U66,1,AB66),0)&gt;Method!$B$88),"🛑 Tail trap — auto-PASS · EV "&amp;TEXT(AF66,"0.0%")&amp;" (cap "&amp;TEXT(Method!$B$87,"0%")&amp;") · model/market "&amp;TEXT(IFERROR(INDEX(BC66:BE66,1,AB66)/INDEX(S66:U66,1,AB66),0),"0.0")&amp;"× (cap "&amp;TEXT(Method!$B$88,"0.0")&amp;"×)",IF(AF66&lt;Method!$B$7,"Price too short — EV "&amp;TEXT(AF66,"0.0%")&amp;" (need "&amp;TEXT(Method!$B$7,"0.0%")&amp;"+)","Model ≈ market — edge "&amp;TEXT(AG66,"0.0%")&amp;" (need "&amp;TEXT(Method!$B$8,"0.0%")&amp;"+)")))))</f>
        <v/>
      </c>
      <c r="AU66" s="31">
        <f>IF(AN66&lt;&gt;"Y","",IF(AH66="· enter odds","⚠ type the 3 odds (1/X/2) to grade this bet",IF(OR(AV66="",AO66="",AP66=""),"⚠ log backed pick, odds &amp; stake",IF(AZ66&lt;&gt;"BET","⚠ FUN BET — engine said pass · staked £"&amp;AP66&amp;" vs engine £"&amp;BA66,IF(AV66&lt;&gt;IF(AY66="",AC66,AY66),"⚠ backed "&amp;AV66&amp;" but engine pick was "&amp;IF(AY66="",AC66,AY66),IF(AP66&gt;BA66,"⚠ stake over engine £"&amp;BA66,IF(ABS(AO66-IFERROR(INDEX(L66:N66,1,MATCH(AV66,{"H","D","A"},0)),AE66))&gt;0.02,"⚠ odds moved — re-check value","✓ engine bet")))))))</f>
        <v/>
      </c>
      <c r="AV66" s="59">
        <f>IF(Matchday!O68="","",Matchday!O68)</f>
        <v/>
      </c>
      <c r="AW66" s="79" t="n"/>
      <c r="AX66" s="79" t="n"/>
      <c r="AY66" s="79" t="n"/>
      <c r="AZ66" s="79">
        <f>IF(AW66="",AH66,AW66)</f>
        <v/>
      </c>
      <c r="BA66" s="75">
        <f>IF(AX66&lt;&gt;"",AX66,IF(AH66&lt;&gt;"BET",0,IF(AI66*Method!$B$10/100&lt;Method!$B$9,0,ROUND(AI66*Method!$B$10/100,0))))</f>
        <v/>
      </c>
      <c r="BB66" s="77" t="n">
        <v>-28.27</v>
      </c>
      <c r="BC66" s="77" t="n">
        <v>0.2971975144089284</v>
      </c>
      <c r="BD66" s="77" t="n">
        <v>0.2662029416652308</v>
      </c>
      <c r="BE66" s="77" t="n">
        <v>0.4365995439258409</v>
      </c>
      <c r="BF66" s="14" t="inlineStr">
        <is>
          <t>Egypt team-wide: -23 · Iran team-wide: -6</t>
        </is>
      </c>
      <c r="BG66" s="77" t="n">
        <v>5</v>
      </c>
      <c r="BH66" s="77" t="inlineStr">
        <is>
          <t>mild</t>
        </is>
      </c>
      <c r="BI66" s="77" t="n">
        <v>195.6</v>
      </c>
    </row>
    <row r="67" ht="15" customHeight="1" s="153">
      <c r="A67" s="59" t="n">
        <v>66</v>
      </c>
      <c r="B67" s="58" t="n">
        <v>46199</v>
      </c>
      <c r="C67" s="59" t="inlineStr">
        <is>
          <t>G</t>
        </is>
      </c>
      <c r="D67" s="66" t="inlineStr">
        <is>
          <t>New Zealand</t>
        </is>
      </c>
      <c r="E67" s="66" t="inlineStr">
        <is>
          <t>Belgium</t>
        </is>
      </c>
      <c r="F67" s="66" t="inlineStr">
        <is>
          <t>Vancouver</t>
        </is>
      </c>
      <c r="G67" s="61" t="n">
        <v>0.9583333333333334</v>
      </c>
      <c r="H67" s="59" t="inlineStr">
        <is>
          <t>07:00 +1d</t>
        </is>
      </c>
      <c r="I67" s="64" t="n">
        <v>0.1384308624320046</v>
      </c>
      <c r="J67" s="64" t="n">
        <v>0.2344970323514688</v>
      </c>
      <c r="K67" s="64" t="n">
        <v>0.6270721052165265</v>
      </c>
      <c r="L67" s="63">
        <f>IF(Matchday!E69="","",Matchday!E69)</f>
        <v/>
      </c>
      <c r="M67" s="63">
        <f>IF(Matchday!F69="","",Matchday!F69)</f>
        <v/>
      </c>
      <c r="N67" s="63">
        <f>IF(Matchday!G69="","",Matchday!G69)</f>
        <v/>
      </c>
      <c r="O67" s="64">
        <f>IF(L67="","",1/L67)</f>
        <v/>
      </c>
      <c r="P67" s="64">
        <f>IF(M67="","",1/M67)</f>
        <v/>
      </c>
      <c r="Q67" s="64">
        <f>IF(N67="","",1/N67)</f>
        <v/>
      </c>
      <c r="R67" s="64">
        <f>IF(COUNT(L67:N67)&lt;3,"",O67+P67+Q67)</f>
        <v/>
      </c>
      <c r="S67" s="64">
        <f t="array" ref="S67">IF($R67="","",IF(Method!$B$56="proportional",O67/$R67,IF(Method!$B$56="power",IFERROR(INDEX(power_devig($L67,$M67,$N67),1,1),O67/$R67),IFERROR(INDEX(shin($L67,$M67,$N67),1,1),O67/$R67))))</f>
        <v/>
      </c>
      <c r="T67" s="64">
        <f t="array" ref="T67">IF($R67="","",IF(Method!$B$56="proportional",P67/$R67,IF(Method!$B$56="power",IFERROR(INDEX(power_devig($L67,$M67,$N67),2,1),P67/$R67),IFERROR(INDEX(shin($L67,$M67,$N67),2,1),P67/$R67))))</f>
        <v/>
      </c>
      <c r="U67" s="64">
        <f t="array" ref="U67">IF($R67="","",IF(Method!$B$56="proportional",Q67/$R67,IF(Method!$B$56="power",IFERROR(INDEX(power_devig($L67,$M67,$N67),3,1),Q67/$R67),IFERROR(INDEX(shin($L67,$M67,$N67),3,1),Q67/$R67))))</f>
        <v/>
      </c>
      <c r="V67" s="64">
        <f>IF(S67="","",Method!$B$4*IF(BC67="",I67,BC67)+(1-Method!$B$4)*S67/($S67+$T67+$U67))</f>
        <v/>
      </c>
      <c r="W67" s="64">
        <f>IF(T67="","",Method!$B$4*IF(BD67="",J67,BD67)+(1-Method!$B$4)*T67/($S67+$T67+$U67))</f>
        <v/>
      </c>
      <c r="X67" s="64">
        <f>IF(U67="","",Method!$B$4*IF(BE67="",K67,BE67)+(1-Method!$B$4)*U67/($S67+$T67+$U67))</f>
        <v/>
      </c>
      <c r="Y67" s="65">
        <f>IF(V67="","",V67*L67-1)</f>
        <v/>
      </c>
      <c r="Z67" s="65">
        <f>IF(W67="","",W67*M67-1)</f>
        <v/>
      </c>
      <c r="AA67" s="65">
        <f>IF(X67="","",X67*N67-1)</f>
        <v/>
      </c>
      <c r="AB67" s="66">
        <f>IF(Y67="","",MATCH(MAX(Y67:AA67),Y67:AA67,0))</f>
        <v/>
      </c>
      <c r="AC67" s="66">
        <f>IF(AB67="","",CHOOSE(AB67,"H","D","A"))</f>
        <v/>
      </c>
      <c r="AD67" s="67">
        <f>IF(AB67="","",CHOOSE(AB67,"1  "&amp;D67,"X  Draw","2  "&amp;E67))</f>
        <v/>
      </c>
      <c r="AE67" s="33">
        <f>IF(AB67="","",INDEX(L67:N67,1,AB67))</f>
        <v/>
      </c>
      <c r="AF67" s="65">
        <f>IF(AB67="","",INDEX(Y67:AA67,1,AB67))</f>
        <v/>
      </c>
      <c r="AG67" s="65">
        <f>IF(AB67="","",INDEX(V67:X67,1,AB67)-INDEX(S67:U67,1,AB67))</f>
        <v/>
      </c>
      <c r="AH67" s="68">
        <f>IF(AB67="","· enter odds",IF(OR(AF67&gt;Method!$B$87,IFERROR(INDEX(BC67:BE67,1,AB67)/INDEX(S67:U67,1,AB67),0)&gt;Method!$B$88),"PASS",IF(AND(AF67&gt;=Method!$B$7,AG67&gt;=Method!$B$8),"BET","PASS")))</f>
        <v/>
      </c>
      <c r="AI67" s="69">
        <f>IF(AH67&lt;&gt;"BET",0,ROUND(MIN(Method!$B$6,Method!$B$5*AL67)*100,1))</f>
        <v/>
      </c>
      <c r="AJ67" s="70">
        <f>IF(OR(AH67&lt;&gt;"BET",Method!$B$55=TRUE()),0,IF(AI67*Method!$B$10/100&lt;Method!$B$9,0,ROUND(AI67*Method!$B$10/100,0)))</f>
        <v/>
      </c>
      <c r="AK67" s="64">
        <f>IF(AB67="","",INDEX(V67:X67,1,AB67))</f>
        <v/>
      </c>
      <c r="AL67" s="64">
        <f>IF(AH67&lt;&gt;"BET","",MAX(0,(AK67*AE67-1)/(AE67-1)))</f>
        <v/>
      </c>
      <c r="AM67" s="65">
        <f>IF(AH67="BET",AF67+A67/1000000,"")</f>
        <v/>
      </c>
      <c r="AN67" s="71">
        <f>IF(Matchday!N69="","",Matchday!N69)</f>
        <v/>
      </c>
      <c r="AO67" s="63">
        <f>IF(Matchday!P69="","",Matchday!P69)</f>
        <v/>
      </c>
      <c r="AP67" s="72">
        <f>IF(Matchday!Q69="","",Matchday!Q69)</f>
        <v/>
      </c>
      <c r="AQ67" s="71">
        <f>IF(Matchday!R69="","",Matchday!R69)</f>
        <v/>
      </c>
      <c r="AR67" s="73">
        <f>IF(OR(AN67&lt;&gt;"Y",AQ67="",AV67=""),"",IF(AQ67="Void",0,IF(AQ67=AV67,ROUND(AP67*(AO67-1),2),-AP67)))</f>
        <v/>
      </c>
      <c r="AS67" s="73">
        <f>IF(AR67="","",SUM($AR$2:AR67))</f>
        <v/>
      </c>
      <c r="AT67" s="31">
        <f>IF(AB67="","Type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pauses.")),IF(AH67="BET",IF(AJ67=0,"Edge found but stake rounds under £"&amp;Method!$B$9&amp;" — skip",IF(AND(AE67&gt;=6,AG67&gt;=0.15),"🟡 WAIT — long-shot review: odds "&amp;TEXT(AE67,"0.00")&amp;" + edge "&amp;TEXT(AG67,"0.0%")&amp;" — verify sharp-book + team news + stake comfort before Placed=Y","Value found: EV "&amp;TEXT(AF67,"0.0%")&amp;", edge "&amp;TEXT(AG67,"0.0%"))),IF(OR(AF67&gt;Method!$B$87,IFERROR(INDEX(BC67:BE67,1,AB67)/INDEX(S67:U67,1,AB67),0)&gt;Method!$B$88),"🛑 Tail trap — auto-PASS · EV "&amp;TEXT(AF67,"0.0%")&amp;" (cap "&amp;TEXT(Method!$B$87,"0%")&amp;") · model/market "&amp;TEXT(IFERROR(INDEX(BC67:BE67,1,AB67)/INDEX(S67:U67,1,AB67),0),"0.0")&amp;"× (cap "&amp;TEXT(Method!$B$88,"0.0")&amp;"×)",IF(AF67&lt;Method!$B$7,"Price too short — EV "&amp;TEXT(AF67,"0.0%")&amp;" (need "&amp;TEXT(Method!$B$7,"0.0%")&amp;"+)","Model ≈ market — edge "&amp;TEXT(AG67,"0.0%")&amp;" (need "&amp;TEXT(Method!$B$8,"0.0%")&amp;"+)")))))</f>
        <v/>
      </c>
      <c r="AU67" s="31">
        <f>IF(AN67&lt;&gt;"Y","",IF(AH67="· enter odds","⚠ type the 3 odds (1/X/2) to grade this bet",IF(OR(AV67="",AO67="",AP67=""),"⚠ log backed pick, odds &amp; stake",IF(AZ67&lt;&gt;"BET","⚠ FUN BET — engine said pass · staked £"&amp;AP67&amp;" vs engine £"&amp;BA67,IF(AV67&lt;&gt;IF(AY67="",AC67,AY67),"⚠ backed "&amp;AV67&amp;" but engine pick was "&amp;IF(AY67="",AC67,AY67),IF(AP67&gt;BA67,"⚠ stake over engine £"&amp;BA67,IF(ABS(AO67-IFERROR(INDEX(L67:N67,1,MATCH(AV67,{"H","D","A"},0)),AE67))&gt;0.02,"⚠ odds moved — re-check value","✓ engine bet")))))))</f>
        <v/>
      </c>
      <c r="AV67" s="59">
        <f>IF(Matchday!O69="","",Matchday!O69)</f>
        <v/>
      </c>
      <c r="AW67" s="79" t="n"/>
      <c r="AX67" s="79" t="n"/>
      <c r="AY67" s="79" t="n"/>
      <c r="AZ67" s="79">
        <f>IF(AW67="",AH67,AW67)</f>
        <v/>
      </c>
      <c r="BA67" s="75">
        <f>IF(AX67&lt;&gt;"",AX67,IF(AH67&lt;&gt;"BET",0,IF(AI67*Method!$B$10/100&lt;Method!$B$9,0,ROUND(AI67*Method!$B$10/100,0))))</f>
        <v/>
      </c>
      <c r="BB67" s="77" t="n">
        <v>-24.73</v>
      </c>
      <c r="BC67" s="77" t="n">
        <v>0.1189492397600044</v>
      </c>
      <c r="BD67" s="77" t="n">
        <v>0.2635398624667053</v>
      </c>
      <c r="BE67" s="77" t="n">
        <v>0.6175108977732903</v>
      </c>
      <c r="BF67" s="14" t="inlineStr">
        <is>
          <t>Belgium team-wide: -17 · Belgium suspension: -3 · New Zealand team-wide: -4</t>
        </is>
      </c>
      <c r="BG67" s="77" t="n">
        <v>0</v>
      </c>
      <c r="BH67" s="77" t="inlineStr">
        <is>
          <t>mild_indoor</t>
        </is>
      </c>
      <c r="BI67" s="77" t="n">
        <v>0</v>
      </c>
    </row>
    <row r="68" ht="15" customHeight="1" s="153">
      <c r="A68" s="59" t="n">
        <v>67</v>
      </c>
      <c r="B68" s="58" t="n">
        <v>46200</v>
      </c>
      <c r="C68" s="59" t="inlineStr">
        <is>
          <t>L</t>
        </is>
      </c>
      <c r="D68" s="66" t="inlineStr">
        <is>
          <t>Panama</t>
        </is>
      </c>
      <c r="E68" s="66" t="inlineStr">
        <is>
          <t>England</t>
        </is>
      </c>
      <c r="F68" s="66" t="inlineStr">
        <is>
          <t>East Rutherford</t>
        </is>
      </c>
      <c r="G68" s="61" t="n">
        <v>0.7083333333333334</v>
      </c>
      <c r="H68" s="61" t="n">
        <v>0.9166666666666666</v>
      </c>
      <c r="I68" s="64" t="n">
        <v>0.127719667988294</v>
      </c>
      <c r="J68" s="64" t="n">
        <v>0.2263713612010278</v>
      </c>
      <c r="K68" s="64" t="n">
        <v>0.6459089708106782</v>
      </c>
      <c r="L68" s="63">
        <f>IF(Matchday!E70="","",Matchday!E70)</f>
        <v/>
      </c>
      <c r="M68" s="63">
        <f>IF(Matchday!F70="","",Matchday!F70)</f>
        <v/>
      </c>
      <c r="N68" s="63">
        <f>IF(Matchday!G70="","",Matchday!G70)</f>
        <v/>
      </c>
      <c r="O68" s="64">
        <f>IF(L68="","",1/L68)</f>
        <v/>
      </c>
      <c r="P68" s="64">
        <f>IF(M68="","",1/M68)</f>
        <v/>
      </c>
      <c r="Q68" s="64">
        <f>IF(N68="","",1/N68)</f>
        <v/>
      </c>
      <c r="R68" s="64">
        <f>IF(COUNT(L68:N68)&lt;3,"",O68+P68+Q68)</f>
        <v/>
      </c>
      <c r="S68" s="64">
        <f t="array" ref="S68">IF($R68="","",IF(Method!$B$56="proportional",O68/$R68,IF(Method!$B$56="power",IFERROR(INDEX(power_devig($L68,$M68,$N68),1,1),O68/$R68),IFERROR(INDEX(shin($L68,$M68,$N68),1,1),O68/$R68))))</f>
        <v/>
      </c>
      <c r="T68" s="64">
        <f t="array" ref="T68">IF($R68="","",IF(Method!$B$56="proportional",P68/$R68,IF(Method!$B$56="power",IFERROR(INDEX(power_devig($L68,$M68,$N68),2,1),P68/$R68),IFERROR(INDEX(shin($L68,$M68,$N68),2,1),P68/$R68))))</f>
        <v/>
      </c>
      <c r="U68" s="64">
        <f t="array" ref="U68">IF($R68="","",IF(Method!$B$56="proportional",Q68/$R68,IF(Method!$B$56="power",IFERROR(INDEX(power_devig($L68,$M68,$N68),3,1),Q68/$R68),IFERROR(INDEX(shin($L68,$M68,$N68),3,1),Q68/$R68))))</f>
        <v/>
      </c>
      <c r="V68" s="64">
        <f>IF(S68="","",Method!$B$4*IF(BC68="",I68,BC68)+(1-Method!$B$4)*S68/($S68+$T68+$U68))</f>
        <v/>
      </c>
      <c r="W68" s="64">
        <f>IF(T68="","",Method!$B$4*IF(BD68="",J68,BD68)+(1-Method!$B$4)*T68/($S68+$T68+$U68))</f>
        <v/>
      </c>
      <c r="X68" s="64">
        <f>IF(U68="","",Method!$B$4*IF(BE68="",K68,BE68)+(1-Method!$B$4)*U68/($S68+$T68+$U68))</f>
        <v/>
      </c>
      <c r="Y68" s="65">
        <f>IF(V68="","",V68*L68-1)</f>
        <v/>
      </c>
      <c r="Z68" s="65">
        <f>IF(W68="","",W68*M68-1)</f>
        <v/>
      </c>
      <c r="AA68" s="65">
        <f>IF(X68="","",X68*N68-1)</f>
        <v/>
      </c>
      <c r="AB68" s="66">
        <f>IF(Y68="","",MATCH(MAX(Y68:AA68),Y68:AA68,0))</f>
        <v/>
      </c>
      <c r="AC68" s="66">
        <f>IF(AB68="","",CHOOSE(AB68,"H","D","A"))</f>
        <v/>
      </c>
      <c r="AD68" s="67">
        <f>IF(AB68="","",CHOOSE(AB68,"1  "&amp;D68,"X  Draw","2  "&amp;E68))</f>
        <v/>
      </c>
      <c r="AE68" s="33">
        <f>IF(AB68="","",INDEX(L68:N68,1,AB68))</f>
        <v/>
      </c>
      <c r="AF68" s="65">
        <f>IF(AB68="","",INDEX(Y68:AA68,1,AB68))</f>
        <v/>
      </c>
      <c r="AG68" s="65">
        <f>IF(AB68="","",INDEX(V68:X68,1,AB68)-INDEX(S68:U68,1,AB68))</f>
        <v/>
      </c>
      <c r="AH68" s="68">
        <f>IF(AB68="","· enter odds",IF(OR(AF68&gt;Method!$B$87,IFERROR(INDEX(BC68:BE68,1,AB68)/INDEX(S68:U68,1,AB68),0)&gt;Method!$B$88),"PASS",IF(AND(AF68&gt;=Method!$B$7,AG68&gt;=Method!$B$8),"BET","PASS")))</f>
        <v/>
      </c>
      <c r="AI68" s="69">
        <f>IF(AH68&lt;&gt;"BET",0,ROUND(MIN(Method!$B$6,Method!$B$5*AL68)*100,1))</f>
        <v/>
      </c>
      <c r="AJ68" s="70">
        <f>IF(OR(AH68&lt;&gt;"BET",Method!$B$55=TRUE()),0,IF(AI68*Method!$B$10/100&lt;Method!$B$9,0,ROUND(AI68*Method!$B$10/100,0)))</f>
        <v/>
      </c>
      <c r="AK68" s="64">
        <f>IF(AB68="","",INDEX(V68:X68,1,AB68))</f>
        <v/>
      </c>
      <c r="AL68" s="64">
        <f>IF(AH68&lt;&gt;"BET","",MAX(0,(AK68*AE68-1)/(AE68-1)))</f>
        <v/>
      </c>
      <c r="AM68" s="66">
        <f>IF(AH68="BET",AF68+A68/1000000,"")</f>
        <v/>
      </c>
      <c r="AN68" s="71">
        <f>IF(Matchday!N70="","",Matchday!N70)</f>
        <v/>
      </c>
      <c r="AO68" s="63">
        <f>IF(Matchday!P70="","",Matchday!P70)</f>
        <v/>
      </c>
      <c r="AP68" s="72">
        <f>IF(Matchday!Q70="","",Matchday!Q70)</f>
        <v/>
      </c>
      <c r="AQ68" s="71">
        <f>IF(Matchday!R70="","",Matchday!R70)</f>
        <v/>
      </c>
      <c r="AR68" s="73">
        <f>IF(OR(AN68&lt;&gt;"Y",AQ68="",AV68=""),"",IF(AQ68="Void",0,IF(AQ68=AV68,ROUND(AP68*(AO68-1),2),-AP68)))</f>
        <v/>
      </c>
      <c r="AS68" s="73">
        <f>IF(AR68="","",SUM($AR$2:AR68))</f>
        <v/>
      </c>
      <c r="AT68" s="31">
        <f>IF(AB68="","Type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pauses.")),IF(AH68="BET",IF(AJ68=0,"Edge found but stake rounds under £"&amp;Method!$B$9&amp;" — skip",IF(AND(AE68&gt;=6,AG68&gt;=0.15),"🟡 WAIT — long-shot review: odds "&amp;TEXT(AE68,"0.00")&amp;" + edge "&amp;TEXT(AG68,"0.0%")&amp;" — verify sharp-book + team news + stake comfort before Placed=Y","Value found: EV "&amp;TEXT(AF68,"0.0%")&amp;", edge "&amp;TEXT(AG68,"0.0%"))),IF(OR(AF68&gt;Method!$B$87,IFERROR(INDEX(BC68:BE68,1,AB68)/INDEX(S68:U68,1,AB68),0)&gt;Method!$B$88),"🛑 Tail trap — auto-PASS · EV "&amp;TEXT(AF68,"0.0%")&amp;" (cap "&amp;TEXT(Method!$B$87,"0%")&amp;") · model/market "&amp;TEXT(IFERROR(INDEX(BC68:BE68,1,AB68)/INDEX(S68:U68,1,AB68),0),"0.0")&amp;"× (cap "&amp;TEXT(Method!$B$88,"0.0")&amp;"×)",IF(AF68&lt;Method!$B$7,"Price too short — EV "&amp;TEXT(AF68,"0.0%")&amp;" (need "&amp;TEXT(Method!$B$7,"0.0%")&amp;"+)","Model ≈ market — edge "&amp;TEXT(AG68,"0.0%")&amp;" (need "&amp;TEXT(Method!$B$8,"0.0%")&amp;"+)")))))</f>
        <v/>
      </c>
      <c r="AU68" s="31">
        <f>IF(AN68&lt;&gt;"Y","",IF(AH68="· enter odds","⚠ type the 3 odds (1/X/2) to grade this bet",IF(OR(AV68="",AO68="",AP68=""),"⚠ log backed pick, odds &amp; stake",IF(AZ68&lt;&gt;"BET","⚠ FUN BET — engine said pass · staked £"&amp;AP68&amp;" vs engine £"&amp;BA68,IF(AV68&lt;&gt;IF(AY68="",AC68,AY68),"⚠ backed "&amp;AV68&amp;" but engine pick was "&amp;IF(AY68="",AC68,AY68),IF(AP68&gt;BA68,"⚠ stake over engine £"&amp;BA68,IF(ABS(AO68-IFERROR(INDEX(L68:N68,1,MATCH(AV68,{"H","D","A"},0)),AE68))&gt;0.02,"⚠ odds moved — re-check value","✓ engine bet")))))))</f>
        <v/>
      </c>
      <c r="AV68" s="59">
        <f>IF(Matchday!O70="","",Matchday!O70)</f>
        <v/>
      </c>
      <c r="AW68" s="79" t="n"/>
      <c r="AX68" s="79" t="n"/>
      <c r="AY68" s="79" t="n"/>
      <c r="AZ68" s="79">
        <f>IF(AW68="",AH68,AW68)</f>
        <v/>
      </c>
      <c r="BA68" s="75">
        <f>IF(AX68&lt;&gt;"",AX68,IF(AH68&lt;&gt;"BET",0,IF(AI68*Method!$B$10/100&lt;Method!$B$9,0,ROUND(AI68*Method!$B$10/100,0))))</f>
        <v/>
      </c>
      <c r="BB68" s="77" t="n">
        <v>-15.61</v>
      </c>
      <c r="BC68" s="77" t="n">
        <v>0.1117685523752989</v>
      </c>
      <c r="BD68" s="77" t="n">
        <v>0.2543822429321773</v>
      </c>
      <c r="BE68" s="77" t="n">
        <v>0.6338492046925238</v>
      </c>
      <c r="BF68" s="77" t="inlineStr">
        <is>
          <t>England team-wide: -10 · England weather: -4 · Panama team-wide: -2</t>
        </is>
      </c>
      <c r="BG68" s="77" t="n">
        <v>7</v>
      </c>
      <c r="BH68" s="77" t="inlineStr">
        <is>
          <t>warm_humid</t>
        </is>
      </c>
      <c r="BI68" s="77" t="n">
        <v>540.1</v>
      </c>
    </row>
    <row r="69" ht="15" customHeight="1" s="153">
      <c r="A69" s="59" t="n">
        <v>68</v>
      </c>
      <c r="B69" s="58" t="n">
        <v>46200</v>
      </c>
      <c r="C69" s="59" t="inlineStr">
        <is>
          <t>L</t>
        </is>
      </c>
      <c r="D69" s="66" t="inlineStr">
        <is>
          <t>Croatia</t>
        </is>
      </c>
      <c r="E69" s="66" t="inlineStr">
        <is>
          <t>Ghana</t>
        </is>
      </c>
      <c r="F69" s="66" t="inlineStr">
        <is>
          <t>Philadelphia</t>
        </is>
      </c>
      <c r="G69" s="61" t="n">
        <v>0.7083333333333334</v>
      </c>
      <c r="H69" s="61" t="n">
        <v>0.9166666666666666</v>
      </c>
      <c r="I69" s="64" t="n">
        <v>0.6405517013984918</v>
      </c>
      <c r="J69" s="64" t="n">
        <v>0.237465748250216</v>
      </c>
      <c r="K69" s="64" t="n">
        <v>0.1219825503512924</v>
      </c>
      <c r="L69" s="63">
        <f>IF(Matchday!E71="","",Matchday!E71)</f>
        <v/>
      </c>
      <c r="M69" s="63">
        <f>IF(Matchday!F71="","",Matchday!F71)</f>
        <v/>
      </c>
      <c r="N69" s="63">
        <f>IF(Matchday!G71="","",Matchday!G71)</f>
        <v/>
      </c>
      <c r="O69" s="64">
        <f>IF(L69="","",1/L69)</f>
        <v/>
      </c>
      <c r="P69" s="64">
        <f>IF(M69="","",1/M69)</f>
        <v/>
      </c>
      <c r="Q69" s="64">
        <f>IF(N69="","",1/N69)</f>
        <v/>
      </c>
      <c r="R69" s="64">
        <f>IF(COUNT(L69:N69)&lt;3,"",O69+P69+Q69)</f>
        <v/>
      </c>
      <c r="S69" s="64">
        <f t="array" ref="S69">IF($R69="","",IF(Method!$B$56="proportional",O69/$R69,IF(Method!$B$56="power",IFERROR(INDEX(power_devig($L69,$M69,$N69),1,1),O69/$R69),IFERROR(INDEX(shin($L69,$M69,$N69),1,1),O69/$R69))))</f>
        <v/>
      </c>
      <c r="T69" s="64">
        <f t="array" ref="T69">IF($R69="","",IF(Method!$B$56="proportional",P69/$R69,IF(Method!$B$56="power",IFERROR(INDEX(power_devig($L69,$M69,$N69),2,1),P69/$R69),IFERROR(INDEX(shin($L69,$M69,$N69),2,1),P69/$R69))))</f>
        <v/>
      </c>
      <c r="U69" s="64">
        <f t="array" ref="U69">IF($R69="","",IF(Method!$B$56="proportional",Q69/$R69,IF(Method!$B$56="power",IFERROR(INDEX(power_devig($L69,$M69,$N69),3,1),Q69/$R69),IFERROR(INDEX(shin($L69,$M69,$N69),3,1),Q69/$R69))))</f>
        <v/>
      </c>
      <c r="V69" s="64">
        <f>IF(S69="","",Method!$B$4*IF(BC69="",I69,BC69)+(1-Method!$B$4)*S69/($S69+$T69+$U69))</f>
        <v/>
      </c>
      <c r="W69" s="64">
        <f>IF(T69="","",Method!$B$4*IF(BD69="",J69,BD69)+(1-Method!$B$4)*T69/($S69+$T69+$U69))</f>
        <v/>
      </c>
      <c r="X69" s="64">
        <f>IF(U69="","",Method!$B$4*IF(BE69="",K69,BE69)+(1-Method!$B$4)*U69/($S69+$T69+$U69))</f>
        <v/>
      </c>
      <c r="Y69" s="65">
        <f>IF(V69="","",V69*L69-1)</f>
        <v/>
      </c>
      <c r="Z69" s="65">
        <f>IF(W69="","",W69*M69-1)</f>
        <v/>
      </c>
      <c r="AA69" s="65">
        <f>IF(X69="","",X69*N69-1)</f>
        <v/>
      </c>
      <c r="AB69" s="66">
        <f>IF(Y69="","",MATCH(MAX(Y69:AA69),Y69:AA69,0))</f>
        <v/>
      </c>
      <c r="AC69" s="66">
        <f>IF(AB69="","",CHOOSE(AB69,"H","D","A"))</f>
        <v/>
      </c>
      <c r="AD69" s="67">
        <f>IF(AB69="","",CHOOSE(AB69,"1  "&amp;D69,"X  Draw","2  "&amp;E69))</f>
        <v/>
      </c>
      <c r="AE69" s="33">
        <f>IF(AB69="","",INDEX(L69:N69,1,AB69))</f>
        <v/>
      </c>
      <c r="AF69" s="65">
        <f>IF(AB69="","",INDEX(Y69:AA69,1,AB69))</f>
        <v/>
      </c>
      <c r="AG69" s="65">
        <f>IF(AB69="","",INDEX(V69:X69,1,AB69)-INDEX(S69:U69,1,AB69))</f>
        <v/>
      </c>
      <c r="AH69" s="68">
        <f>IF(AB69="","· enter odds",IF(OR(AF69&gt;Method!$B$87,IFERROR(INDEX(BC69:BE69,1,AB69)/INDEX(S69:U69,1,AB69),0)&gt;Method!$B$88),"PASS",IF(AND(AF69&gt;=Method!$B$7,AG69&gt;=Method!$B$8),"BET","PASS")))</f>
        <v/>
      </c>
      <c r="AI69" s="69">
        <f>IF(AH69&lt;&gt;"BET",0,ROUND(MIN(Method!$B$6,Method!$B$5*AL69)*100,1))</f>
        <v/>
      </c>
      <c r="AJ69" s="70">
        <f>IF(OR(AH69&lt;&gt;"BET",Method!$B$55=TRUE()),0,IF(AI69*Method!$B$10/100&lt;Method!$B$9,0,ROUND(AI69*Method!$B$10/100,0)))</f>
        <v/>
      </c>
      <c r="AK69" s="64">
        <f>IF(AB69="","",INDEX(V69:X69,1,AB69))</f>
        <v/>
      </c>
      <c r="AL69" s="64">
        <f>IF(AH69&lt;&gt;"BET","",MAX(0,(AK69*AE69-1)/(AE69-1)))</f>
        <v/>
      </c>
      <c r="AM69" s="66">
        <f>IF(AH69="BET",AF69+A69/1000000,"")</f>
        <v/>
      </c>
      <c r="AN69" s="71">
        <f>IF(Matchday!N71="","",Matchday!N71)</f>
        <v/>
      </c>
      <c r="AO69" s="63">
        <f>IF(Matchday!P71="","",Matchday!P71)</f>
        <v/>
      </c>
      <c r="AP69" s="72">
        <f>IF(Matchday!Q71="","",Matchday!Q71)</f>
        <v/>
      </c>
      <c r="AQ69" s="71">
        <f>IF(Matchday!R71="","",Matchday!R71)</f>
        <v/>
      </c>
      <c r="AR69" s="73">
        <f>IF(OR(AN69&lt;&gt;"Y",AQ69="",AV69=""),"",IF(AQ69="Void",0,IF(AQ69=AV69,ROUND(AP69*(AO69-1),2),-AP69)))</f>
        <v/>
      </c>
      <c r="AS69" s="73">
        <f>IF(AR69="","",SUM($AR$2:AR69))</f>
        <v/>
      </c>
      <c r="AT69" s="31">
        <f>IF(AB69="","Type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pauses.")),IF(AH69="BET",IF(AJ69=0,"Edge found but stake rounds under £"&amp;Method!$B$9&amp;" — skip",IF(AND(AE69&gt;=6,AG69&gt;=0.15),"🟡 WAIT — long-shot review: odds "&amp;TEXT(AE69,"0.00")&amp;" + edge "&amp;TEXT(AG69,"0.0%")&amp;" — verify sharp-book + team news + stake comfort before Placed=Y","Value found: EV "&amp;TEXT(AF69,"0.0%")&amp;", edge "&amp;TEXT(AG69,"0.0%"))),IF(OR(AF69&gt;Method!$B$87,IFERROR(INDEX(BC69:BE69,1,AB69)/INDEX(S69:U69,1,AB69),0)&gt;Method!$B$88),"🛑 Tail trap — auto-PASS · EV "&amp;TEXT(AF69,"0.0%")&amp;" (cap "&amp;TEXT(Method!$B$87,"0%")&amp;") · model/market "&amp;TEXT(IFERROR(INDEX(BC69:BE69,1,AB69)/INDEX(S69:U69,1,AB69),0),"0.0")&amp;"× (cap "&amp;TEXT(Method!$B$88,"0.0")&amp;"×)",IF(AF69&lt;Method!$B$7,"Price too short — EV "&amp;TEXT(AF69,"0.0%")&amp;" (need "&amp;TEXT(Method!$B$7,"0.0%")&amp;"+)","Model ≈ market — edge "&amp;TEXT(AG69,"0.0%")&amp;" (need "&amp;TEXT(Method!$B$8,"0.0%")&amp;"+)")))))</f>
        <v/>
      </c>
      <c r="AU69" s="31">
        <f>IF(AN69&lt;&gt;"Y","",IF(AH69="· enter odds","⚠ type the 3 odds (1/X/2) to grade this bet",IF(OR(AV69="",AO69="",AP69=""),"⚠ log backed pick, odds &amp; stake",IF(AZ69&lt;&gt;"BET","⚠ FUN BET — engine said pass · staked £"&amp;AP69&amp;" vs engine £"&amp;BA69,IF(AV69&lt;&gt;IF(AY69="",AC69,AY69),"⚠ backed "&amp;AV69&amp;" but engine pick was "&amp;IF(AY69="",AC69,AY69),IF(AP69&gt;BA69,"⚠ stake over engine £"&amp;BA69,IF(ABS(AO69-IFERROR(INDEX(L69:N69,1,MATCH(AV69,{"H","D","A"},0)),AE69))&gt;0.02,"⚠ odds moved — re-check value","✓ engine bet")))))))</f>
        <v/>
      </c>
      <c r="AV69" s="59">
        <f>IF(Matchday!O71="","",Matchday!O71)</f>
        <v/>
      </c>
      <c r="AW69" s="79" t="n"/>
      <c r="AX69" s="79" t="n"/>
      <c r="AY69" s="79" t="n"/>
      <c r="AZ69" s="79">
        <f>IF(AW69="",AH69,AW69)</f>
        <v/>
      </c>
      <c r="BA69" s="75">
        <f>IF(AX69&lt;&gt;"",AX69,IF(AH69&lt;&gt;"BET",0,IF(AI69*Method!$B$10/100&lt;Method!$B$9,0,ROUND(AI69*Method!$B$10/100,0))))</f>
        <v/>
      </c>
      <c r="BB69" s="77" t="n">
        <v>-11.92</v>
      </c>
      <c r="BC69" s="77" t="n">
        <v>0.6088062988946973</v>
      </c>
      <c r="BD69" s="77" t="n">
        <v>0.2662261421399632</v>
      </c>
      <c r="BE69" s="77" t="n">
        <v>0.1249675589653395</v>
      </c>
      <c r="BF69" s="77" t="inlineStr">
        <is>
          <t>Croatia team-wide: -2 · Croatia weather: -4 · Ghana team-wide: -6</t>
        </is>
      </c>
      <c r="BG69" s="77" t="n">
        <v>12</v>
      </c>
      <c r="BH69" s="77" t="inlineStr">
        <is>
          <t>warm_humid</t>
        </is>
      </c>
      <c r="BI69" s="77" t="n">
        <v>544.4</v>
      </c>
    </row>
    <row r="70" ht="15" customHeight="1" s="153">
      <c r="A70" s="59" t="n">
        <v>69</v>
      </c>
      <c r="B70" s="58" t="n">
        <v>46200</v>
      </c>
      <c r="C70" s="59" t="inlineStr">
        <is>
          <t>K</t>
        </is>
      </c>
      <c r="D70" s="66" t="inlineStr">
        <is>
          <t>Colombia</t>
        </is>
      </c>
      <c r="E70" s="66" t="inlineStr">
        <is>
          <t>Portugal</t>
        </is>
      </c>
      <c r="F70" s="66" t="inlineStr">
        <is>
          <t>Miami Gardens</t>
        </is>
      </c>
      <c r="G70" s="61" t="n">
        <v>0.8125</v>
      </c>
      <c r="H70" s="59" t="inlineStr">
        <is>
          <t>00:30 +1d</t>
        </is>
      </c>
      <c r="I70" s="64" t="n">
        <v>0.4257386488235737</v>
      </c>
      <c r="J70" s="64" t="n">
        <v>0.2873370811386136</v>
      </c>
      <c r="K70" s="64" t="n">
        <v>0.2869242700378127</v>
      </c>
      <c r="L70" s="63">
        <f>IF(Matchday!E72="","",Matchday!E72)</f>
        <v/>
      </c>
      <c r="M70" s="63">
        <f>IF(Matchday!F72="","",Matchday!F72)</f>
        <v/>
      </c>
      <c r="N70" s="63">
        <f>IF(Matchday!G72="","",Matchday!G72)</f>
        <v/>
      </c>
      <c r="O70" s="64">
        <f>IF(L70="","",1/L70)</f>
        <v/>
      </c>
      <c r="P70" s="64">
        <f>IF(M70="","",1/M70)</f>
        <v/>
      </c>
      <c r="Q70" s="64">
        <f>IF(N70="","",1/N70)</f>
        <v/>
      </c>
      <c r="R70" s="64">
        <f>IF(COUNT(L70:N70)&lt;3,"",O70+P70+Q70)</f>
        <v/>
      </c>
      <c r="S70" s="64">
        <f t="array" ref="S70">IF($R70="","",IF(Method!$B$56="proportional",O70/$R70,IF(Method!$B$56="power",IFERROR(INDEX(power_devig($L70,$M70,$N70),1,1),O70/$R70),IFERROR(INDEX(shin($L70,$M70,$N70),1,1),O70/$R70))))</f>
        <v/>
      </c>
      <c r="T70" s="64">
        <f t="array" ref="T70">IF($R70="","",IF(Method!$B$56="proportional",P70/$R70,IF(Method!$B$56="power",IFERROR(INDEX(power_devig($L70,$M70,$N70),2,1),P70/$R70),IFERROR(INDEX(shin($L70,$M70,$N70),2,1),P70/$R70))))</f>
        <v/>
      </c>
      <c r="U70" s="64">
        <f t="array" ref="U70">IF($R70="","",IF(Method!$B$56="proportional",Q70/$R70,IF(Method!$B$56="power",IFERROR(INDEX(power_devig($L70,$M70,$N70),3,1),Q70/$R70),IFERROR(INDEX(shin($L70,$M70,$N70),3,1),Q70/$R70))))</f>
        <v/>
      </c>
      <c r="V70" s="64">
        <f>IF(S70="","",Method!$B$4*IF(BC70="",I70,BC70)+(1-Method!$B$4)*S70/($S70+$T70+$U70))</f>
        <v/>
      </c>
      <c r="W70" s="64">
        <f>IF(T70="","",Method!$B$4*IF(BD70="",J70,BD70)+(1-Method!$B$4)*T70/($S70+$T70+$U70))</f>
        <v/>
      </c>
      <c r="X70" s="64">
        <f>IF(U70="","",Method!$B$4*IF(BE70="",K70,BE70)+(1-Method!$B$4)*U70/($S70+$T70+$U70))</f>
        <v/>
      </c>
      <c r="Y70" s="65">
        <f>IF(V70="","",V70*L70-1)</f>
        <v/>
      </c>
      <c r="Z70" s="65">
        <f>IF(W70="","",W70*M70-1)</f>
        <v/>
      </c>
      <c r="AA70" s="65">
        <f>IF(X70="","",X70*N70-1)</f>
        <v/>
      </c>
      <c r="AB70" s="66">
        <f>IF(Y70="","",MATCH(MAX(Y70:AA70),Y70:AA70,0))</f>
        <v/>
      </c>
      <c r="AC70" s="66">
        <f>IF(AB70="","",CHOOSE(AB70,"H","D","A"))</f>
        <v/>
      </c>
      <c r="AD70" s="67">
        <f>IF(AB70="","",CHOOSE(AB70,"1  "&amp;D70,"X  Draw","2  "&amp;E70))</f>
        <v/>
      </c>
      <c r="AE70" s="33">
        <f>IF(AB70="","",INDEX(L70:N70,1,AB70))</f>
        <v/>
      </c>
      <c r="AF70" s="65">
        <f>IF(AB70="","",INDEX(Y70:AA70,1,AB70))</f>
        <v/>
      </c>
      <c r="AG70" s="65">
        <f>IF(AB70="","",INDEX(V70:X70,1,AB70)-INDEX(S70:U70,1,AB70))</f>
        <v/>
      </c>
      <c r="AH70" s="68">
        <f>IF(AB70="","· enter odds",IF(OR(AF70&gt;Method!$B$87,IFERROR(INDEX(BC70:BE70,1,AB70)/INDEX(S70:U70,1,AB70),0)&gt;Method!$B$88),"PASS",IF(AND(AF70&gt;=Method!$B$7,AG70&gt;=Method!$B$8),"BET","PASS")))</f>
        <v/>
      </c>
      <c r="AI70" s="69">
        <f>IF(AH70&lt;&gt;"BET",0,ROUND(MIN(Method!$B$6,Method!$B$5*AL70)*100,1))</f>
        <v/>
      </c>
      <c r="AJ70" s="70">
        <f>IF(OR(AH70&lt;&gt;"BET",Method!$B$55=TRUE()),0,IF(AI70*Method!$B$10/100&lt;Method!$B$9,0,ROUND(AI70*Method!$B$10/100,0)))</f>
        <v/>
      </c>
      <c r="AK70" s="64">
        <f>IF(AB70="","",INDEX(V70:X70,1,AB70))</f>
        <v/>
      </c>
      <c r="AL70" s="64">
        <f>IF(AH70&lt;&gt;"BET","",MAX(0,(AK70*AE70-1)/(AE70-1)))</f>
        <v/>
      </c>
      <c r="AM70" s="65">
        <f>IF(AH70="BET",AF70+A70/1000000,"")</f>
        <v/>
      </c>
      <c r="AN70" s="71">
        <f>IF(Matchday!N72="","",Matchday!N72)</f>
        <v/>
      </c>
      <c r="AO70" s="63">
        <f>IF(Matchday!P72="","",Matchday!P72)</f>
        <v/>
      </c>
      <c r="AP70" s="72">
        <f>IF(Matchday!Q72="","",Matchday!Q72)</f>
        <v/>
      </c>
      <c r="AQ70" s="71">
        <f>IF(Matchday!R72="","",Matchday!R72)</f>
        <v/>
      </c>
      <c r="AR70" s="73">
        <f>IF(OR(AN70&lt;&gt;"Y",AQ70="",AV70=""),"",IF(AQ70="Void",0,IF(AQ70=AV70,ROUND(AP70*(AO70-1),2),-AP70)))</f>
        <v/>
      </c>
      <c r="AS70" s="73">
        <f>IF(AR70="","",SUM($AR$2:AR70))</f>
        <v/>
      </c>
      <c r="AT70" s="31">
        <f>IF(AB70="","Type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pauses.")),IF(AH70="BET",IF(AJ70=0,"Edge found but stake rounds under £"&amp;Method!$B$9&amp;" — skip",IF(AND(AE70&gt;=6,AG70&gt;=0.15),"🟡 WAIT — long-shot review: odds "&amp;TEXT(AE70,"0.00")&amp;" + edge "&amp;TEXT(AG70,"0.0%")&amp;" — verify sharp-book + team news + stake comfort before Placed=Y","Value found: EV "&amp;TEXT(AF70,"0.0%")&amp;", edge "&amp;TEXT(AG70,"0.0%"))),IF(OR(AF70&gt;Method!$B$87,IFERROR(INDEX(BC70:BE70,1,AB70)/INDEX(S70:U70,1,AB70),0)&gt;Method!$B$88),"🛑 Tail trap — auto-PASS · EV "&amp;TEXT(AF70,"0.0%")&amp;" (cap "&amp;TEXT(Method!$B$87,"0%")&amp;") · model/market "&amp;TEXT(IFERROR(INDEX(BC70:BE70,1,AB70)/INDEX(S70:U70,1,AB70),0),"0.0")&amp;"× (cap "&amp;TEXT(Method!$B$88,"0.0")&amp;"×)",IF(AF70&lt;Method!$B$7,"Price too short — EV "&amp;TEXT(AF70,"0.0%")&amp;" (need "&amp;TEXT(Method!$B$7,"0.0%")&amp;"+)","Model ≈ market — edge "&amp;TEXT(AG70,"0.0%")&amp;" (need "&amp;TEXT(Method!$B$8,"0.0%")&amp;"+)")))))</f>
        <v/>
      </c>
      <c r="AU70" s="31">
        <f>IF(AN70&lt;&gt;"Y","",IF(AH70="· enter odds","⚠ type the 3 odds (1/X/2) to grade this bet",IF(OR(AV70="",AO70="",AP70=""),"⚠ log backed pick, odds &amp; stake",IF(AZ70&lt;&gt;"BET","⚠ FUN BET — engine said pass · staked £"&amp;AP70&amp;" vs engine £"&amp;BA70,IF(AV70&lt;&gt;IF(AY70="",AC70,AY70),"⚠ backed "&amp;AV70&amp;" but engine pick was "&amp;IF(AY70="",AC70,AY70),IF(AP70&gt;BA70,"⚠ stake over engine £"&amp;BA70,IF(ABS(AO70-IFERROR(INDEX(L70:N70,1,MATCH(AV70,{"H","D","A"},0)),AE70))&gt;0.02,"⚠ odds moved — re-check value","✓ engine bet")))))))</f>
        <v/>
      </c>
      <c r="AV70" s="59">
        <f>IF(Matchday!O72="","",Matchday!O72)</f>
        <v/>
      </c>
      <c r="AW70" s="79" t="inlineStr">
        <is>
          <t>BET</t>
        </is>
      </c>
      <c r="AX70" s="79" t="n">
        <v>19</v>
      </c>
      <c r="AY70" s="79" t="inlineStr">
        <is>
          <t>H</t>
        </is>
      </c>
      <c r="AZ70" s="79">
        <f>IF(AW70="",AH70,AW70)</f>
        <v/>
      </c>
      <c r="BA70" s="75">
        <f>IF(AX70&lt;&gt;"",AX70,IF(AH70&lt;&gt;"BET",0,IF(AI70*Method!$B$10/100&lt;Method!$B$9,0,ROUND(AI70*Method!$B$10/100,0))))</f>
        <v/>
      </c>
      <c r="BB70" s="77" t="n">
        <v>10.56</v>
      </c>
      <c r="BC70" s="77" t="n">
        <v>0.4249048095478979</v>
      </c>
      <c r="BD70" s="77" t="n">
        <v>0.2660852571600624</v>
      </c>
      <c r="BE70" s="77" t="n">
        <v>0.3090099332920396</v>
      </c>
      <c r="BF70" s="77" t="inlineStr">
        <is>
          <t>Colombia team-wide: +10 · Portugal team-wide: +1</t>
        </is>
      </c>
      <c r="BG70" s="77" t="n">
        <v>2</v>
      </c>
      <c r="BH70" s="77" t="inlineStr">
        <is>
          <t>very_hot_humid</t>
        </is>
      </c>
      <c r="BI70" s="77" t="n">
        <v>2439.1</v>
      </c>
    </row>
    <row r="71" ht="15" customHeight="1" s="153">
      <c r="A71" s="59" t="n">
        <v>70</v>
      </c>
      <c r="B71" s="58" t="n">
        <v>46200</v>
      </c>
      <c r="C71" s="59" t="inlineStr">
        <is>
          <t>K</t>
        </is>
      </c>
      <c r="D71" s="66" t="inlineStr">
        <is>
          <t>DR Congo</t>
        </is>
      </c>
      <c r="E71" s="66" t="inlineStr">
        <is>
          <t>Uzbekistan</t>
        </is>
      </c>
      <c r="F71" s="66" t="inlineStr">
        <is>
          <t>Atlanta</t>
        </is>
      </c>
      <c r="G71" s="61" t="n">
        <v>0.8125</v>
      </c>
      <c r="H71" s="59" t="inlineStr">
        <is>
          <t>00:30 +1d</t>
        </is>
      </c>
      <c r="I71" s="64" t="n">
        <v>0.2975112800166501</v>
      </c>
      <c r="J71" s="64" t="n">
        <v>0.3248511069503018</v>
      </c>
      <c r="K71" s="64" t="n">
        <v>0.3776376130330484</v>
      </c>
      <c r="L71" s="63">
        <f>IF(Matchday!E73="","",Matchday!E73)</f>
        <v/>
      </c>
      <c r="M71" s="63">
        <f>IF(Matchday!F73="","",Matchday!F73)</f>
        <v/>
      </c>
      <c r="N71" s="63">
        <f>IF(Matchday!G73="","",Matchday!G73)</f>
        <v/>
      </c>
      <c r="O71" s="64">
        <f>IF(L71="","",1/L71)</f>
        <v/>
      </c>
      <c r="P71" s="64">
        <f>IF(M71="","",1/M71)</f>
        <v/>
      </c>
      <c r="Q71" s="64">
        <f>IF(N71="","",1/N71)</f>
        <v/>
      </c>
      <c r="R71" s="64">
        <f>IF(COUNT(L71:N71)&lt;3,"",O71+P71+Q71)</f>
        <v/>
      </c>
      <c r="S71" s="64">
        <f t="array" ref="S71">IF($R71="","",IF(Method!$B$56="proportional",O71/$R71,IF(Method!$B$56="power",IFERROR(INDEX(power_devig($L71,$M71,$N71),1,1),O71/$R71),IFERROR(INDEX(shin($L71,$M71,$N71),1,1),O71/$R71))))</f>
        <v/>
      </c>
      <c r="T71" s="64">
        <f t="array" ref="T71">IF($R71="","",IF(Method!$B$56="proportional",P71/$R71,IF(Method!$B$56="power",IFERROR(INDEX(power_devig($L71,$M71,$N71),2,1),P71/$R71),IFERROR(INDEX(shin($L71,$M71,$N71),2,1),P71/$R71))))</f>
        <v/>
      </c>
      <c r="U71" s="64">
        <f t="array" ref="U71">IF($R71="","",IF(Method!$B$56="proportional",Q71/$R71,IF(Method!$B$56="power",IFERROR(INDEX(power_devig($L71,$M71,$N71),3,1),Q71/$R71),IFERROR(INDEX(shin($L71,$M71,$N71),3,1),Q71/$R71))))</f>
        <v/>
      </c>
      <c r="V71" s="64">
        <f>IF(S71="","",Method!$B$4*IF(BC71="",I71,BC71)+(1-Method!$B$4)*S71/($S71+$T71+$U71))</f>
        <v/>
      </c>
      <c r="W71" s="64">
        <f>IF(T71="","",Method!$B$4*IF(BD71="",J71,BD71)+(1-Method!$B$4)*T71/($S71+$T71+$U71))</f>
        <v/>
      </c>
      <c r="X71" s="64">
        <f>IF(U71="","",Method!$B$4*IF(BE71="",K71,BE71)+(1-Method!$B$4)*U71/($S71+$T71+$U71))</f>
        <v/>
      </c>
      <c r="Y71" s="65">
        <f>IF(V71="","",V71*L71-1)</f>
        <v/>
      </c>
      <c r="Z71" s="65">
        <f>IF(W71="","",W71*M71-1)</f>
        <v/>
      </c>
      <c r="AA71" s="65">
        <f>IF(X71="","",X71*N71-1)</f>
        <v/>
      </c>
      <c r="AB71" s="66">
        <f>IF(Y71="","",MATCH(MAX(Y71:AA71),Y71:AA71,0))</f>
        <v/>
      </c>
      <c r="AC71" s="66">
        <f>IF(AB71="","",CHOOSE(AB71,"H","D","A"))</f>
        <v/>
      </c>
      <c r="AD71" s="67">
        <f>IF(AB71="","",CHOOSE(AB71,"1  "&amp;D71,"X  Draw","2  "&amp;E71))</f>
        <v/>
      </c>
      <c r="AE71" s="33">
        <f>IF(AB71="","",INDEX(L71:N71,1,AB71))</f>
        <v/>
      </c>
      <c r="AF71" s="65">
        <f>IF(AB71="","",INDEX(Y71:AA71,1,AB71))</f>
        <v/>
      </c>
      <c r="AG71" s="65">
        <f>IF(AB71="","",INDEX(V71:X71,1,AB71)-INDEX(S71:U71,1,AB71))</f>
        <v/>
      </c>
      <c r="AH71" s="68">
        <f>IF(AB71="","· enter odds",IF(OR(AF71&gt;Method!$B$87,IFERROR(INDEX(BC71:BE71,1,AB71)/INDEX(S71:U71,1,AB71),0)&gt;Method!$B$88),"PASS",IF(AND(AF71&gt;=Method!$B$7,AG71&gt;=Method!$B$8),"BET","PASS")))</f>
        <v/>
      </c>
      <c r="AI71" s="69">
        <f>IF(AH71&lt;&gt;"BET",0,ROUND(MIN(Method!$B$6,Method!$B$5*AL71)*100,1))</f>
        <v/>
      </c>
      <c r="AJ71" s="70">
        <f>IF(OR(AH71&lt;&gt;"BET",Method!$B$55=TRUE()),0,IF(AI71*Method!$B$10/100&lt;Method!$B$9,0,ROUND(AI71*Method!$B$10/100,0)))</f>
        <v/>
      </c>
      <c r="AK71" s="64">
        <f>IF(AB71="","",INDEX(V71:X71,1,AB71))</f>
        <v/>
      </c>
      <c r="AL71" s="64">
        <f>IF(AH71&lt;&gt;"BET","",MAX(0,(AK71*AE71-1)/(AE71-1)))</f>
        <v/>
      </c>
      <c r="AM71" s="65">
        <f>IF(AH71="BET",AF71+A71/1000000,"")</f>
        <v/>
      </c>
      <c r="AN71" s="71">
        <f>IF(Matchday!N73="","",Matchday!N73)</f>
        <v/>
      </c>
      <c r="AO71" s="63">
        <f>IF(Matchday!P73="","",Matchday!P73)</f>
        <v/>
      </c>
      <c r="AP71" s="72">
        <f>IF(Matchday!Q73="","",Matchday!Q73)</f>
        <v/>
      </c>
      <c r="AQ71" s="71">
        <f>IF(Matchday!R73="","",Matchday!R73)</f>
        <v/>
      </c>
      <c r="AR71" s="73">
        <f>IF(OR(AN71&lt;&gt;"Y",AQ71="",AV71=""),"",IF(AQ71="Void",0,IF(AQ71=AV71,ROUND(AP71*(AO71-1),2),-AP71)))</f>
        <v/>
      </c>
      <c r="AS71" s="73">
        <f>IF(AR71="","",SUM($AR$2:AR71))</f>
        <v/>
      </c>
      <c r="AT71" s="31">
        <f>IF(AB71="","Type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pauses.")),IF(AH71="BET",IF(AJ71=0,"Edge found but stake rounds under £"&amp;Method!$B$9&amp;" — skip",IF(AND(AE71&gt;=6,AG71&gt;=0.15),"🟡 WAIT — long-shot review: odds "&amp;TEXT(AE71,"0.00")&amp;" + edge "&amp;TEXT(AG71,"0.0%")&amp;" — verify sharp-book + team news + stake comfort before Placed=Y","Value found: EV "&amp;TEXT(AF71,"0.0%")&amp;", edge "&amp;TEXT(AG71,"0.0%"))),IF(OR(AF71&gt;Method!$B$87,IFERROR(INDEX(BC71:BE71,1,AB71)/INDEX(S71:U71,1,AB71),0)&gt;Method!$B$88),"🛑 Tail trap — auto-PASS · EV "&amp;TEXT(AF71,"0.0%")&amp;" (cap "&amp;TEXT(Method!$B$87,"0%")&amp;") · model/market "&amp;TEXT(IFERROR(INDEX(BC71:BE71,1,AB71)/INDEX(S71:U71,1,AB71),0),"0.0")&amp;"× (cap "&amp;TEXT(Method!$B$88,"0.0")&amp;"×)",IF(AF71&lt;Method!$B$7,"Price too short — EV "&amp;TEXT(AF71,"0.0%")&amp;" (need "&amp;TEXT(Method!$B$7,"0.0%")&amp;"+)","Model ≈ market — edge "&amp;TEXT(AG71,"0.0%")&amp;" (need "&amp;TEXT(Method!$B$8,"0.0%")&amp;"+)")))))</f>
        <v/>
      </c>
      <c r="AU71" s="31">
        <f>IF(AN71&lt;&gt;"Y","",IF(AH71="· enter odds","⚠ type the 3 odds (1/X/2) to grade this bet",IF(OR(AV71="",AO71="",AP71=""),"⚠ log backed pick, odds &amp; stake",IF(AZ71&lt;&gt;"BET","⚠ FUN BET — engine said pass · staked £"&amp;AP71&amp;" vs engine £"&amp;BA71,IF(AV71&lt;&gt;IF(AY71="",AC71,AY71),"⚠ backed "&amp;AV71&amp;" but engine pick was "&amp;IF(AY71="",AC71,AY71),IF(AP71&gt;BA71,"⚠ stake over engine £"&amp;BA71,IF(ABS(AO71-IFERROR(INDEX(L71:N71,1,MATCH(AV71,{"H","D","A"},0)),AE71))&gt;0.02,"⚠ odds moved — re-check value","✓ engine bet")))))))</f>
        <v/>
      </c>
      <c r="AV71" s="59">
        <f>IF(Matchday!O73="","",Matchday!O73)</f>
        <v/>
      </c>
      <c r="AW71" s="79" t="inlineStr">
        <is>
          <t>BET</t>
        </is>
      </c>
      <c r="AX71" s="79" t="n">
        <v>16</v>
      </c>
      <c r="AY71" s="79" t="inlineStr">
        <is>
          <t>A</t>
        </is>
      </c>
      <c r="AZ71" s="79">
        <f>IF(AW71="",AH71,AW71)</f>
        <v/>
      </c>
      <c r="BA71" s="75">
        <f>IF(AX71&lt;&gt;"",AX71,IF(AH71&lt;&gt;"BET",0,IF(AI71*Method!$B$10/100&lt;Method!$B$9,0,ROUND(AI71*Method!$B$10/100,0))))</f>
        <v/>
      </c>
      <c r="BB71" s="77" t="n">
        <v>-15.03</v>
      </c>
      <c r="BC71" s="77" t="n">
        <v>0.3076645462812969</v>
      </c>
      <c r="BD71" s="77" t="n">
        <v>0.2673932645278048</v>
      </c>
      <c r="BE71" s="77" t="n">
        <v>0.4249421891908984</v>
      </c>
      <c r="BF71" s="77" t="inlineStr">
        <is>
          <t>DR Congo team-wide: -7 · Uzbekistan team-wide: -8</t>
        </is>
      </c>
      <c r="BG71" s="77" t="n">
        <v>320</v>
      </c>
      <c r="BH71" s="77" t="inlineStr">
        <is>
          <t>hot_humid_indoor</t>
        </is>
      </c>
      <c r="BI71" s="77" t="n">
        <v>2373.1</v>
      </c>
    </row>
    <row r="72" ht="15" customHeight="1" s="153">
      <c r="A72" s="59" t="n">
        <v>71</v>
      </c>
      <c r="B72" s="58" t="n">
        <v>46200</v>
      </c>
      <c r="C72" s="59" t="inlineStr">
        <is>
          <t>J</t>
        </is>
      </c>
      <c r="D72" s="66" t="inlineStr">
        <is>
          <t>Algeria</t>
        </is>
      </c>
      <c r="E72" s="66" t="inlineStr">
        <is>
          <t>Austria</t>
        </is>
      </c>
      <c r="F72" s="66" t="inlineStr">
        <is>
          <t>Kansas City</t>
        </is>
      </c>
      <c r="G72" s="61" t="n">
        <v>0.9166666666666666</v>
      </c>
      <c r="H72" s="59" t="inlineStr">
        <is>
          <t>04:00 +1d</t>
        </is>
      </c>
      <c r="I72" s="64" t="n">
        <v>0.2785783070888885</v>
      </c>
      <c r="J72" s="64" t="n">
        <v>0.307036573057962</v>
      </c>
      <c r="K72" s="64" t="n">
        <v>0.4143851198531496</v>
      </c>
      <c r="L72" s="63">
        <f>IF(Matchday!E74="","",Matchday!E74)</f>
        <v/>
      </c>
      <c r="M72" s="63">
        <f>IF(Matchday!F74="","",Matchday!F74)</f>
        <v/>
      </c>
      <c r="N72" s="63">
        <f>IF(Matchday!G74="","",Matchday!G74)</f>
        <v/>
      </c>
      <c r="O72" s="64">
        <f>IF(L72="","",1/L72)</f>
        <v/>
      </c>
      <c r="P72" s="64">
        <f>IF(M72="","",1/M72)</f>
        <v/>
      </c>
      <c r="Q72" s="64">
        <f>IF(N72="","",1/N72)</f>
        <v/>
      </c>
      <c r="R72" s="64">
        <f>IF(COUNT(L72:N72)&lt;3,"",O72+P72+Q72)</f>
        <v/>
      </c>
      <c r="S72" s="64">
        <f t="array" ref="S72">IF($R72="","",IF(Method!$B$56="proportional",O72/$R72,IF(Method!$B$56="power",IFERROR(INDEX(power_devig($L72,$M72,$N72),1,1),O72/$R72),IFERROR(INDEX(shin($L72,$M72,$N72),1,1),O72/$R72))))</f>
        <v/>
      </c>
      <c r="T72" s="64">
        <f t="array" ref="T72">IF($R72="","",IF(Method!$B$56="proportional",P72/$R72,IF(Method!$B$56="power",IFERROR(INDEX(power_devig($L72,$M72,$N72),2,1),P72/$R72),IFERROR(INDEX(shin($L72,$M72,$N72),2,1),P72/$R72))))</f>
        <v/>
      </c>
      <c r="U72" s="64">
        <f t="array" ref="U72">IF($R72="","",IF(Method!$B$56="proportional",Q72/$R72,IF(Method!$B$56="power",IFERROR(INDEX(power_devig($L72,$M72,$N72),3,1),Q72/$R72),IFERROR(INDEX(shin($L72,$M72,$N72),3,1),Q72/$R72))))</f>
        <v/>
      </c>
      <c r="V72" s="64">
        <f>IF(S72="","",Method!$B$4*IF(BC72="",I72,BC72)+(1-Method!$B$4)*S72/($S72+$T72+$U72))</f>
        <v/>
      </c>
      <c r="W72" s="64">
        <f>IF(T72="","",Method!$B$4*IF(BD72="",J72,BD72)+(1-Method!$B$4)*T72/($S72+$T72+$U72))</f>
        <v/>
      </c>
      <c r="X72" s="64">
        <f>IF(U72="","",Method!$B$4*IF(BE72="",K72,BE72)+(1-Method!$B$4)*U72/($S72+$T72+$U72))</f>
        <v/>
      </c>
      <c r="Y72" s="65">
        <f>IF(V72="","",V72*L72-1)</f>
        <v/>
      </c>
      <c r="Z72" s="65">
        <f>IF(W72="","",W72*M72-1)</f>
        <v/>
      </c>
      <c r="AA72" s="65">
        <f>IF(X72="","",X72*N72-1)</f>
        <v/>
      </c>
      <c r="AB72" s="66">
        <f>IF(Y72="","",MATCH(MAX(Y72:AA72),Y72:AA72,0))</f>
        <v/>
      </c>
      <c r="AC72" s="66">
        <f>IF(AB72="","",CHOOSE(AB72,"H","D","A"))</f>
        <v/>
      </c>
      <c r="AD72" s="67">
        <f>IF(AB72="","",CHOOSE(AB72,"1  "&amp;D72,"X  Draw","2  "&amp;E72))</f>
        <v/>
      </c>
      <c r="AE72" s="33">
        <f>IF(AB72="","",INDEX(L72:N72,1,AB72))</f>
        <v/>
      </c>
      <c r="AF72" s="65">
        <f>IF(AB72="","",INDEX(Y72:AA72,1,AB72))</f>
        <v/>
      </c>
      <c r="AG72" s="65">
        <f>IF(AB72="","",INDEX(V72:X72,1,AB72)-INDEX(S72:U72,1,AB72))</f>
        <v/>
      </c>
      <c r="AH72" s="68">
        <f>IF(AB72="","· enter odds",IF(OR(AF72&gt;Method!$B$87,IFERROR(INDEX(BC72:BE72,1,AB72)/INDEX(S72:U72,1,AB72),0)&gt;Method!$B$88),"PASS",IF(AND(AF72&gt;=Method!$B$7,AG72&gt;=Method!$B$8),"BET","PASS")))</f>
        <v/>
      </c>
      <c r="AI72" s="69">
        <f>IF(AH72&lt;&gt;"BET",0,ROUND(MIN(Method!$B$6,Method!$B$5*AL72)*100,1))</f>
        <v/>
      </c>
      <c r="AJ72" s="70">
        <f>IF(OR(AH72&lt;&gt;"BET",Method!$B$55=TRUE()),0,IF(AI72*Method!$B$10/100&lt;Method!$B$9,0,ROUND(AI72*Method!$B$10/100,0)))</f>
        <v/>
      </c>
      <c r="AK72" s="64">
        <f>IF(AB72="","",INDEX(V72:X72,1,AB72))</f>
        <v/>
      </c>
      <c r="AL72" s="64">
        <f>IF(AH72&lt;&gt;"BET","",MAX(0,(AK72*AE72-1)/(AE72-1)))</f>
        <v/>
      </c>
      <c r="AM72" s="65">
        <f>IF(AH72="BET",AF72+A72/1000000,"")</f>
        <v/>
      </c>
      <c r="AN72" s="71">
        <f>IF(Matchday!N74="","",Matchday!N74)</f>
        <v/>
      </c>
      <c r="AO72" s="63">
        <f>IF(Matchday!P74="","",Matchday!P74)</f>
        <v/>
      </c>
      <c r="AP72" s="72">
        <f>IF(Matchday!Q74="","",Matchday!Q74)</f>
        <v/>
      </c>
      <c r="AQ72" s="71">
        <f>IF(Matchday!R74="","",Matchday!R74)</f>
        <v/>
      </c>
      <c r="AR72" s="73">
        <f>IF(OR(AN72&lt;&gt;"Y",AQ72="",AV72=""),"",IF(AQ72="Void",0,IF(AQ72=AV72,ROUND(AP72*(AO72-1),2),-AP72)))</f>
        <v/>
      </c>
      <c r="AS72" s="73">
        <f>IF(AR72="","",SUM($AR$2:AR72))</f>
        <v/>
      </c>
      <c r="AT72" s="31">
        <f>IF(AB72="","Type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pauses.")),IF(AH72="BET",IF(AJ72=0,"Edge found but stake rounds under £"&amp;Method!$B$9&amp;" — skip",IF(AND(AE72&gt;=6,AG72&gt;=0.15),"🟡 WAIT — long-shot review: odds "&amp;TEXT(AE72,"0.00")&amp;" + edge "&amp;TEXT(AG72,"0.0%")&amp;" — verify sharp-book + team news + stake comfort before Placed=Y","Value found: EV "&amp;TEXT(AF72,"0.0%")&amp;", edge "&amp;TEXT(AG72,"0.0%"))),IF(OR(AF72&gt;Method!$B$87,IFERROR(INDEX(BC72:BE72,1,AB72)/INDEX(S72:U72,1,AB72),0)&gt;Method!$B$88),"🛑 Tail trap — auto-PASS · EV "&amp;TEXT(AF72,"0.0%")&amp;" (cap "&amp;TEXT(Method!$B$87,"0%")&amp;") · model/market "&amp;TEXT(IFERROR(INDEX(BC72:BE72,1,AB72)/INDEX(S72:U72,1,AB72),0),"0.0")&amp;"× (cap "&amp;TEXT(Method!$B$88,"0.0")&amp;"×)",IF(AF72&lt;Method!$B$7,"Price too short — EV "&amp;TEXT(AF72,"0.0%")&amp;" (need "&amp;TEXT(Method!$B$7,"0.0%")&amp;"+)","Model ≈ market — edge "&amp;TEXT(AG72,"0.0%")&amp;" (need "&amp;TEXT(Method!$B$8,"0.0%")&amp;"+)")))))</f>
        <v/>
      </c>
      <c r="AU72" s="31">
        <f>IF(AN72&lt;&gt;"Y","",IF(AH72="· enter odds","⚠ type the 3 odds (1/X/2) to grade this bet",IF(OR(AV72="",AO72="",AP72=""),"⚠ log backed pick, odds &amp; stake",IF(AZ72&lt;&gt;"BET","⚠ FUN BET — engine said pass · staked £"&amp;AP72&amp;" vs engine £"&amp;BA72,IF(AV72&lt;&gt;IF(AY72="",AC72,AY72),"⚠ backed "&amp;AV72&amp;" but engine pick was "&amp;IF(AY72="",AC72,AY72),IF(AP72&gt;BA72,"⚠ stake over engine £"&amp;BA72,IF(ABS(AO72-IFERROR(INDEX(L72:N72,1,MATCH(AV72,{"H","D","A"},0)),AE72))&gt;0.02,"⚠ odds moved — re-check value","✓ engine bet")))))))</f>
        <v/>
      </c>
      <c r="AV72" s="59">
        <f>IF(Matchday!O74="","",Matchday!O74)</f>
        <v/>
      </c>
      <c r="AW72" s="79" t="n"/>
      <c r="AX72" s="79" t="n"/>
      <c r="AY72" s="79" t="n"/>
      <c r="AZ72" s="79">
        <f>IF(AW72="",AH72,AW72)</f>
        <v/>
      </c>
      <c r="BA72" s="75">
        <f>IF(AX72&lt;&gt;"",AX72,IF(AH72&lt;&gt;"BET",0,IF(AI72*Method!$B$10/100&lt;Method!$B$9,0,ROUND(AI72*Method!$B$10/100,0))))</f>
        <v/>
      </c>
      <c r="BB72" s="77" t="n">
        <v>-33.15</v>
      </c>
      <c r="BC72" s="77" t="n">
        <v>0.2857916065803185</v>
      </c>
      <c r="BD72" s="77" t="n">
        <v>0.2672971344490216</v>
      </c>
      <c r="BE72" s="77" t="n">
        <v>0.4469112589706599</v>
      </c>
      <c r="BF72" s="14" t="inlineStr">
        <is>
          <t>Algeria team-wide: -24 · Austria team-wide: -9</t>
        </is>
      </c>
      <c r="BG72" s="77" t="n">
        <v>270</v>
      </c>
      <c r="BH72" s="77" t="inlineStr">
        <is>
          <t>hot</t>
        </is>
      </c>
      <c r="BI72" s="77" t="n">
        <v>2398.8</v>
      </c>
    </row>
    <row r="73" ht="15" customHeight="1" s="153">
      <c r="A73" s="59" t="n">
        <v>72</v>
      </c>
      <c r="B73" s="58" t="n">
        <v>46200</v>
      </c>
      <c r="C73" s="59" t="inlineStr">
        <is>
          <t>J</t>
        </is>
      </c>
      <c r="D73" s="66" t="inlineStr">
        <is>
          <t>Jordan</t>
        </is>
      </c>
      <c r="E73" s="66" t="inlineStr">
        <is>
          <t>Argentina</t>
        </is>
      </c>
      <c r="F73" s="66" t="inlineStr">
        <is>
          <t>Arlington</t>
        </is>
      </c>
      <c r="G73" s="61" t="n">
        <v>0.9166666666666666</v>
      </c>
      <c r="H73" s="59" t="inlineStr">
        <is>
          <t>04:00 +1d</t>
        </is>
      </c>
      <c r="I73" s="64" t="n">
        <v>0.02951286002187716</v>
      </c>
      <c r="J73" s="64" t="n">
        <v>0.114103306058398</v>
      </c>
      <c r="K73" s="64" t="n">
        <v>0.8563838339197249</v>
      </c>
      <c r="L73" s="63">
        <f>IF(Matchday!E75="","",Matchday!E75)</f>
        <v/>
      </c>
      <c r="M73" s="63">
        <f>IF(Matchday!F75="","",Matchday!F75)</f>
        <v/>
      </c>
      <c r="N73" s="63">
        <f>IF(Matchday!G75="","",Matchday!G75)</f>
        <v/>
      </c>
      <c r="O73" s="64">
        <f>IF(L73="","",1/L73)</f>
        <v/>
      </c>
      <c r="P73" s="64">
        <f>IF(M73="","",1/M73)</f>
        <v/>
      </c>
      <c r="Q73" s="64">
        <f>IF(N73="","",1/N73)</f>
        <v/>
      </c>
      <c r="R73" s="64">
        <f>IF(COUNT(L73:N73)&lt;3,"",O73+P73+Q73)</f>
        <v/>
      </c>
      <c r="S73" s="64">
        <f t="array" ref="S73">IF($R73="","",IF(Method!$B$56="proportional",O73/$R73,IF(Method!$B$56="power",IFERROR(INDEX(power_devig($L73,$M73,$N73),1,1),O73/$R73),IFERROR(INDEX(shin($L73,$M73,$N73),1,1),O73/$R73))))</f>
        <v/>
      </c>
      <c r="T73" s="64">
        <f t="array" ref="T73">IF($R73="","",IF(Method!$B$56="proportional",P73/$R73,IF(Method!$B$56="power",IFERROR(INDEX(power_devig($L73,$M73,$N73),2,1),P73/$R73),IFERROR(INDEX(shin($L73,$M73,$N73),2,1),P73/$R73))))</f>
        <v/>
      </c>
      <c r="U73" s="64">
        <f t="array" ref="U73">IF($R73="","",IF(Method!$B$56="proportional",Q73/$R73,IF(Method!$B$56="power",IFERROR(INDEX(power_devig($L73,$M73,$N73),3,1),Q73/$R73),IFERROR(INDEX(shin($L73,$M73,$N73),3,1),Q73/$R73))))</f>
        <v/>
      </c>
      <c r="V73" s="64">
        <f>IF(S73="","",Method!$B$4*IF(BC73="",I73,BC73)+(1-Method!$B$4)*S73/($S73+$T73+$U73))</f>
        <v/>
      </c>
      <c r="W73" s="64">
        <f>IF(T73="","",Method!$B$4*IF(BD73="",J73,BD73)+(1-Method!$B$4)*T73/($S73+$T73+$U73))</f>
        <v/>
      </c>
      <c r="X73" s="64">
        <f>IF(U73="","",Method!$B$4*IF(BE73="",K73,BE73)+(1-Method!$B$4)*U73/($S73+$T73+$U73))</f>
        <v/>
      </c>
      <c r="Y73" s="65">
        <f>IF(V73="","",V73*L73-1)</f>
        <v/>
      </c>
      <c r="Z73" s="65">
        <f>IF(W73="","",W73*M73-1)</f>
        <v/>
      </c>
      <c r="AA73" s="65">
        <f>IF(X73="","",X73*N73-1)</f>
        <v/>
      </c>
      <c r="AB73" s="66">
        <f>IF(Y73="","",MATCH(MAX(Y73:AA73),Y73:AA73,0))</f>
        <v/>
      </c>
      <c r="AC73" s="66">
        <f>IF(AB73="","",CHOOSE(AB73,"H","D","A"))</f>
        <v/>
      </c>
      <c r="AD73" s="67">
        <f>IF(AB73="","",CHOOSE(AB73,"1  "&amp;D73,"X  Draw","2  "&amp;E73))</f>
        <v/>
      </c>
      <c r="AE73" s="33">
        <f>IF(AB73="","",INDEX(L73:N73,1,AB73))</f>
        <v/>
      </c>
      <c r="AF73" s="65">
        <f>IF(AB73="","",INDEX(Y73:AA73,1,AB73))</f>
        <v/>
      </c>
      <c r="AG73" s="65">
        <f>IF(AB73="","",INDEX(V73:X73,1,AB73)-INDEX(S73:U73,1,AB73))</f>
        <v/>
      </c>
      <c r="AH73" s="68">
        <f>IF(AB73="","· enter odds",IF(OR(AF73&gt;Method!$B$87,IFERROR(INDEX(BC73:BE73,1,AB73)/INDEX(S73:U73,1,AB73),0)&gt;Method!$B$88),"PASS",IF(AND(AF73&gt;=Method!$B$7,AG73&gt;=Method!$B$8),"BET","PASS")))</f>
        <v/>
      </c>
      <c r="AI73" s="69">
        <f>IF(AH73&lt;&gt;"BET",0,ROUND(MIN(Method!$B$6,Method!$B$5*AL73)*100,1))</f>
        <v/>
      </c>
      <c r="AJ73" s="70">
        <f>IF(OR(AH73&lt;&gt;"BET",Method!$B$55=TRUE()),0,IF(AI73*Method!$B$10/100&lt;Method!$B$9,0,ROUND(AI73*Method!$B$10/100,0)))</f>
        <v/>
      </c>
      <c r="AK73" s="64">
        <f>IF(AB73="","",INDEX(V73:X73,1,AB73))</f>
        <v/>
      </c>
      <c r="AL73" s="64">
        <f>IF(AH73&lt;&gt;"BET","",MAX(0,(AK73*AE73-1)/(AE73-1)))</f>
        <v/>
      </c>
      <c r="AM73" s="66">
        <f>IF(AH73="BET",AF73+A73/1000000,"")</f>
        <v/>
      </c>
      <c r="AN73" s="71">
        <f>IF(Matchday!N75="","",Matchday!N75)</f>
        <v/>
      </c>
      <c r="AO73" s="63">
        <f>IF(Matchday!P75="","",Matchday!P75)</f>
        <v/>
      </c>
      <c r="AP73" s="72">
        <f>IF(Matchday!Q75="","",Matchday!Q75)</f>
        <v/>
      </c>
      <c r="AQ73" s="71">
        <f>IF(Matchday!R75="","",Matchday!R75)</f>
        <v/>
      </c>
      <c r="AR73" s="73">
        <f>IF(OR(AN73&lt;&gt;"Y",AQ73="",AV73=""),"",IF(AQ73="Void",0,IF(AQ73=AV73,ROUND(AP73*(AO73-1),2),-AP73)))</f>
        <v/>
      </c>
      <c r="AS73" s="73">
        <f>IF(AR73="","",SUM($AR$2:AR73))</f>
        <v/>
      </c>
      <c r="AT73" s="31">
        <f>IF(AB73="","Type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pauses.")),IF(AH73="BET",IF(AJ73=0,"Edge found but stake rounds under £"&amp;Method!$B$9&amp;" — skip",IF(AND(AE73&gt;=6,AG73&gt;=0.15),"🟡 WAIT — long-shot review: odds "&amp;TEXT(AE73,"0.00")&amp;" + edge "&amp;TEXT(AG73,"0.0%")&amp;" — verify sharp-book + team news + stake comfort before Placed=Y","Value found: EV "&amp;TEXT(AF73,"0.0%")&amp;", edge "&amp;TEXT(AG73,"0.0%"))),IF(OR(AF73&gt;Method!$B$87,IFERROR(INDEX(BC73:BE73,1,AB73)/INDEX(S73:U73,1,AB73),0)&gt;Method!$B$88),"🛑 Tail trap — auto-PASS · EV "&amp;TEXT(AF73,"0.0%")&amp;" (cap "&amp;TEXT(Method!$B$87,"0%")&amp;") · model/market "&amp;TEXT(IFERROR(INDEX(BC73:BE73,1,AB73)/INDEX(S73:U73,1,AB73),0),"0.0")&amp;"× (cap "&amp;TEXT(Method!$B$88,"0.0")&amp;"×)",IF(AF73&lt;Method!$B$7,"Price too short — EV "&amp;TEXT(AF73,"0.0%")&amp;" (need "&amp;TEXT(Method!$B$7,"0.0%")&amp;"+)","Model ≈ market — edge "&amp;TEXT(AG73,"0.0%")&amp;" (need "&amp;TEXT(Method!$B$8,"0.0%")&amp;"+)")))))</f>
        <v/>
      </c>
      <c r="AU73" s="31">
        <f>IF(AN73&lt;&gt;"Y","",IF(AH73="· enter odds","⚠ type the 3 odds (1/X/2) to grade this bet",IF(OR(AV73="",AO73="",AP73=""),"⚠ log backed pick, odds &amp; stake",IF(AZ73&lt;&gt;"BET","⚠ FUN BET — engine said pass · staked £"&amp;AP73&amp;" vs engine £"&amp;BA73,IF(AV73&lt;&gt;IF(AY73="",AC73,AY73),"⚠ backed "&amp;AV73&amp;" but engine pick was "&amp;IF(AY73="",AC73,AY73),IF(AP73&gt;BA73,"⚠ stake over engine £"&amp;BA73,IF(ABS(AO73-IFERROR(INDEX(L73:N73,1,MATCH(AV73,{"H","D","A"},0)),AE73))&gt;0.02,"⚠ odds moved — re-check value","✓ engine bet")))))))</f>
        <v/>
      </c>
      <c r="AV73" s="59">
        <f>IF(Matchday!O75="","",Matchday!O75)</f>
        <v/>
      </c>
      <c r="AW73" s="79" t="n"/>
      <c r="AX73" s="79" t="n"/>
      <c r="AY73" s="79" t="n"/>
      <c r="AZ73" s="79">
        <f>IF(AW73="",AH73,AW73)</f>
        <v/>
      </c>
      <c r="BA73" s="75">
        <f>IF(AX73&lt;&gt;"",AX73,IF(AH73&lt;&gt;"BET",0,IF(AI73*Method!$B$10/100&lt;Method!$B$9,0,ROUND(AI73*Method!$B$10/100,0))))</f>
        <v/>
      </c>
      <c r="BB73" s="77" t="n">
        <v>1.050000000000001</v>
      </c>
      <c r="BC73" s="77" t="n">
        <v>0.05377860197253834</v>
      </c>
      <c r="BD73" s="77" t="n">
        <v>0.1144278260501195</v>
      </c>
      <c r="BE73" s="77" t="n">
        <v>0.8317935719773422</v>
      </c>
      <c r="BF73" s="77" t="inlineStr">
        <is>
          <t>Argentina team-wide: +9 · Jordan team-wide: -8</t>
        </is>
      </c>
      <c r="BG73" s="77" t="n">
        <v>175</v>
      </c>
      <c r="BH73" s="77" t="inlineStr">
        <is>
          <t>very_hot_indoor</t>
        </is>
      </c>
      <c r="BI73" s="77" t="n">
        <v>2314.9</v>
      </c>
    </row>
    <row r="74" ht="15.75" customHeight="1" s="153">
      <c r="A74" s="54" t="n">
        <v>73</v>
      </c>
      <c r="B74" s="80" t="n">
        <v>46201</v>
      </c>
      <c r="C74" s="54" t="inlineStr">
        <is>
          <t>R32</t>
        </is>
      </c>
      <c r="D74" s="54" t="inlineStr">
        <is>
          <t>South Africa</t>
        </is>
      </c>
      <c r="E74" s="54" t="inlineStr">
        <is>
          <t>Canada</t>
        </is>
      </c>
      <c r="F74" s="54" t="inlineStr">
        <is>
          <t>Inglewood, CA</t>
        </is>
      </c>
      <c r="G74" s="81" t="n">
        <v>0.5</v>
      </c>
      <c r="H74" s="54" t="n"/>
      <c r="I74" s="54" t="n">
        <v>0.136041585857644</v>
      </c>
      <c r="J74" s="54" t="n">
        <v>0.2564563651026647</v>
      </c>
      <c r="K74" s="54" t="n">
        <v>0.6075020490396913</v>
      </c>
      <c r="L74" s="82">
        <f>IF(Matchday!E76="","",Matchday!E76)</f>
        <v/>
      </c>
      <c r="M74" s="82">
        <f>IF(Matchday!F76="","",Matchday!F76)</f>
        <v/>
      </c>
      <c r="N74" s="82">
        <f>IF(Matchday!G76="","",Matchday!G76)</f>
        <v/>
      </c>
      <c r="O74" s="54">
        <f>IF(L74="","",1/L74)</f>
        <v/>
      </c>
      <c r="P74" s="54">
        <f>IF(M74="","",1/M74)</f>
        <v/>
      </c>
      <c r="Q74" s="54">
        <f>IF(N74="","",1/N74)</f>
        <v/>
      </c>
      <c r="R74" s="54">
        <f>IF(COUNT(L74:N74)&lt;3,"",O74+P74+Q74)</f>
        <v/>
      </c>
      <c r="S74" s="54">
        <f t="array" ref="S74">IF($R74="","",IF(Method!$B$56="proportional",O74/$R74,IF(Method!$B$56="power",IFERROR(INDEX(power_devig($L74,$M74,$N74),1,1),O74/$R74),IFERROR(INDEX(shin($L74,$M74,$N74),1,1),O74/$R74))))</f>
        <v/>
      </c>
      <c r="T74" s="54">
        <f t="array" ref="T74">IF($R74="","",IF(Method!$B$56="proportional",P74/$R74,IF(Method!$B$56="power",IFERROR(INDEX(power_devig($L74,$M74,$N74),2,1),P74/$R74),IFERROR(INDEX(shin($L74,$M74,$N74),2,1),P74/$R74))))</f>
        <v/>
      </c>
      <c r="U74" s="54">
        <f t="array" ref="U74">IF($R74="","",IF(Method!$B$56="proportional",Q74/$R74,IF(Method!$B$56="power",IFERROR(INDEX(power_devig($L74,$M74,$N74),3,1),Q74/$R74),IFERROR(INDEX(shin($L74,$M74,$N74),3,1),Q74/$R74))))</f>
        <v/>
      </c>
      <c r="V74" s="54">
        <f>IF(S74="","",Method!$B$4*IF(BC74="",I74,BC74)+(1-Method!$B$4)*S74/($S74+$T74+$U74))</f>
        <v/>
      </c>
      <c r="W74" s="54">
        <f>IF(T74="","",Method!$B$4*IF(BD74="",J74,BD74)+(1-Method!$B$4)*T74/($S74+$T74+$U74))</f>
        <v/>
      </c>
      <c r="X74" s="54">
        <f>IF(U74="","",Method!$B$4*IF(BE74="",K74,BE74)+(1-Method!$B$4)*U74/($S74+$T74+$U74))</f>
        <v/>
      </c>
      <c r="Y74" s="54">
        <f>IF(V74="","",V74*L74-1)</f>
        <v/>
      </c>
      <c r="Z74" s="54">
        <f>IF(W74="","",W74*M74-1)</f>
        <v/>
      </c>
      <c r="AA74" s="54">
        <f>IF(X74="","",X74*N74-1)</f>
        <v/>
      </c>
      <c r="AB74" s="54">
        <f>IF(Y74="","",MATCH(MAX(Y74:AA74),Y74:AA74,0))</f>
        <v/>
      </c>
      <c r="AC74" s="54">
        <f>IF(AB74="","",CHOOSE(AB74,"H","D","A"))</f>
        <v/>
      </c>
      <c r="AD74" s="54">
        <f>IF(AB74="","",CHOOSE(AB74,"1  "&amp;D74,"X  Draw","2  "&amp;E74))</f>
        <v/>
      </c>
      <c r="AE74" s="82">
        <f>IF(AB74="","",INDEX(L74:N74,1,AB74))</f>
        <v/>
      </c>
      <c r="AF74" s="54">
        <f>IF(AB74="","",INDEX(Y74:AA74,1,AB74))</f>
        <v/>
      </c>
      <c r="AG74" s="54">
        <f>IF(AB74="","",INDEX(V74:X74,1,AB74)-INDEX(S74:U74,1,AB74))</f>
        <v/>
      </c>
      <c r="AH74" s="54">
        <f>IF(AB74="","· enter odds",IF(OR(AF74&gt;Method!$B$87,IFERROR(INDEX(BC74:BE74,1,AB74)/INDEX(S74:U74,1,AB74),0)&gt;Method!$B$88),"PASS",IF(AND(AF74&gt;=Method!$B$7,AG74&gt;=Method!$B$8),"BET","PASS")))</f>
        <v/>
      </c>
      <c r="AI74" s="54">
        <f>IF(AH74&lt;&gt;"BET",0,ROUND(MIN(Method!$B$6,Method!$B$5*AL74)*100,1))</f>
        <v/>
      </c>
      <c r="AJ74" s="54">
        <f>IF(OR(AH74&lt;&gt;"BET",Method!$B$55=TRUE()),0,IF(AI74*Method!$B$10/100&lt;Method!$B$9,0,ROUND(AI74*Method!$B$10/100,0)))</f>
        <v/>
      </c>
      <c r="AK74" s="54">
        <f>IF(AB74="","",INDEX(V74:X74,1,AB74))</f>
        <v/>
      </c>
      <c r="AL74" s="54">
        <f>IF(AH74&lt;&gt;"BET","",MAX(0,(AK74*AE74-1)/(AE74-1)))</f>
        <v/>
      </c>
      <c r="AM74" s="54">
        <f>IF(AH74="BET",AF74+A74/1000000,"")</f>
        <v/>
      </c>
      <c r="AN74" s="54">
        <f>IF(Matchday!N76="","",Matchday!N76)</f>
        <v/>
      </c>
      <c r="AO74" s="54">
        <f>IF(Matchday!P76="","",Matchday!P76)</f>
        <v/>
      </c>
      <c r="AP74" s="54">
        <f>IF(Matchday!Q76="","",Matchday!Q76)</f>
        <v/>
      </c>
      <c r="AQ74" s="54">
        <f>IF(Matchday!R76="","",Matchday!R76)</f>
        <v/>
      </c>
      <c r="AR74" s="54">
        <f>IF(OR(AN74&lt;&gt;"Y",AQ74="",AV74=""),"",IF(AQ74="Void",0,IF(AQ74=AV74,ROUND(AP74*(AO74-1),2),-AP74)))</f>
        <v/>
      </c>
      <c r="AS74" s="54">
        <f>IF(AR74="","",SUM($AR$2:AR74))</f>
        <v/>
      </c>
      <c r="AT74" s="54">
        <f>IF(AB74="","Type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pauses.")),IF(AH74="BET",IF(AJ74=0,"Edge found but stake rounds under £"&amp;Method!$B$9&amp;" — skip",IF(AND(AE74&gt;=6,AG74&gt;=0.15),"🟡 WAIT — long-shot review: odds "&amp;TEXT(AE74,"0.00")&amp;" + edge "&amp;TEXT(AG74,"0.0%")&amp;" — verify sharp-book + team news + stake comfort before Placed=Y","Value found: EV "&amp;TEXT(AF74,"0.0%")&amp;", edge "&amp;TEXT(AG74,"0.0%"))),IF(OR(AF74&gt;Method!$B$87,IFERROR(INDEX(BC74:BE74,1,AB74)/INDEX(S74:U74,1,AB74),0)&gt;Method!$B$88),"🛑 Tail trap — auto-PASS · EV "&amp;TEXT(AF74,"0.0%")&amp;" (cap "&amp;TEXT(Method!$B$87,"0%")&amp;") · model/market "&amp;TEXT(IFERROR(INDEX(BC74:BE74,1,AB74)/INDEX(S74:U74,1,AB74),0),"0.0")&amp;"× (cap "&amp;TEXT(Method!$B$88,"0.0")&amp;"×)",IF(AF74&lt;Method!$B$7,"Price too short — EV "&amp;TEXT(AF74,"0.0%")&amp;" (need "&amp;TEXT(Method!$B$7,"0.0%")&amp;"+)","Model ≈ market — edge "&amp;TEXT(AG74,"0.0%")&amp;" (need "&amp;TEXT(Method!$B$8,"0.0%")&amp;"+)")))))</f>
        <v/>
      </c>
      <c r="AU74" s="54">
        <f>IF(AN74&lt;&gt;"Y","",IF(AH74="· enter odds","⚠ type the 3 odds (1/X/2) to grade this bet",IF(OR(AV74="",AO74="",AP74=""),"⚠ log backed pick, odds &amp; stake",IF(AZ74&lt;&gt;"BET","⚠ FUN BET — engine said pass · staked £"&amp;AP74&amp;" vs engine £"&amp;BA74,IF(AV74&lt;&gt;IF(AY74="",AC74,AY74),"⚠ backed "&amp;AV74&amp;" but engine pick was "&amp;IF(AY74="",AC74,AY74),IF(AP74&gt;BA74,"⚠ stake over engine £"&amp;BA74,IF(ABS(AO74-IFERROR(INDEX(L74:N74,1,MATCH(AV74,{"H","D","A"},0)),AE74))&gt;0.02,"⚠ odds moved — re-check value","✓ engine bet")))))))</f>
        <v/>
      </c>
      <c r="AV74" s="54">
        <f>IF(Matchday!O76="","",Matchday!O76)</f>
        <v/>
      </c>
      <c r="AW74" s="54" t="n"/>
      <c r="AX74" s="54" t="n"/>
      <c r="AY74" s="54" t="n"/>
      <c r="AZ74" s="54">
        <f>IF(AW74="",AH74,AW74)</f>
        <v/>
      </c>
      <c r="BA74" s="54">
        <f>IF(AX74&lt;&gt;"",AX74,IF(AH74&lt;&gt;"BET",0,IF(AI74*Method!$B$10/100&lt;Method!$B$9,0,ROUND(AI74*Method!$B$10/100,0))))</f>
        <v/>
      </c>
      <c r="BB74" s="14" t="n">
        <v>-38.88</v>
      </c>
      <c r="BC74" s="14">
        <f>IF(I74="","",I74)</f>
        <v/>
      </c>
      <c r="BD74" s="14">
        <f>IF(J74="","",J74)</f>
        <v/>
      </c>
      <c r="BE74" s="14">
        <f>IF(K74="","",K74)</f>
        <v/>
      </c>
      <c r="BF74" s="14" t="inlineStr">
        <is>
          <t>Canada team-wide: -10 · South Africa team-wide: -29</t>
        </is>
      </c>
      <c r="BG74" s="14" t="n">
        <v>0</v>
      </c>
    </row>
    <row r="75" ht="15.75" customHeight="1" s="153">
      <c r="A75" s="54" t="n">
        <v>74</v>
      </c>
      <c r="B75" s="80" t="n">
        <v>46202</v>
      </c>
      <c r="C75" s="54" t="inlineStr">
        <is>
          <t>R32</t>
        </is>
      </c>
      <c r="D75" s="54" t="inlineStr">
        <is>
          <t>Germany</t>
        </is>
      </c>
      <c r="E75" s="54" t="inlineStr">
        <is>
          <t>Paraguay</t>
        </is>
      </c>
      <c r="F75" s="54" t="inlineStr">
        <is>
          <t>Foxborough, MA</t>
        </is>
      </c>
      <c r="G75" s="81" t="n">
        <v>0.6875</v>
      </c>
      <c r="H75" s="54" t="n"/>
      <c r="I75" s="54" t="n">
        <v>0.4651327632467073</v>
      </c>
      <c r="J75" s="54" t="n">
        <v>0.294621167673674</v>
      </c>
      <c r="K75" s="54" t="n">
        <v>0.2402460690796188</v>
      </c>
      <c r="L75" s="82">
        <f>IF(Matchday!E77="","",Matchday!E77)</f>
        <v/>
      </c>
      <c r="M75" s="82">
        <f>IF(Matchday!F77="","",Matchday!F77)</f>
        <v/>
      </c>
      <c r="N75" s="82">
        <f>IF(Matchday!G77="","",Matchday!G77)</f>
        <v/>
      </c>
      <c r="O75" s="54">
        <f>IF(L75="","",1/L75)</f>
        <v/>
      </c>
      <c r="P75" s="54">
        <f>IF(M75="","",1/M75)</f>
        <v/>
      </c>
      <c r="Q75" s="54">
        <f>IF(N75="","",1/N75)</f>
        <v/>
      </c>
      <c r="R75" s="54">
        <f>IF(COUNT(L75:N75)&lt;3,"",O75+P75+Q75)</f>
        <v/>
      </c>
      <c r="S75" s="54">
        <f t="array" ref="S75">IF($R75="","",IF(Method!$B$56="proportional",O75/$R75,IF(Method!$B$56="power",IFERROR(INDEX(power_devig($L75,$M75,$N75),1,1),O75/$R75),IFERROR(INDEX(shin($L75,$M75,$N75),1,1),O75/$R75))))</f>
        <v/>
      </c>
      <c r="T75" s="54">
        <f t="array" ref="T75">IF($R75="","",IF(Method!$B$56="proportional",P75/$R75,IF(Method!$B$56="power",IFERROR(INDEX(power_devig($L75,$M75,$N75),2,1),P75/$R75),IFERROR(INDEX(shin($L75,$M75,$N75),2,1),P75/$R75))))</f>
        <v/>
      </c>
      <c r="U75" s="54">
        <f t="array" ref="U75">IF($R75="","",IF(Method!$B$56="proportional",Q75/$R75,IF(Method!$B$56="power",IFERROR(INDEX(power_devig($L75,$M75,$N75),3,1),Q75/$R75),IFERROR(INDEX(shin($L75,$M75,$N75),3,1),Q75/$R75))))</f>
        <v/>
      </c>
      <c r="V75" s="54">
        <f>IF(S75="","",Method!$B$4*IF(BC75="",I75,BC75)+(1-Method!$B$4)*S75/($S75+$T75+$U75))</f>
        <v/>
      </c>
      <c r="W75" s="54">
        <f>IF(T75="","",Method!$B$4*IF(BD75="",J75,BD75)+(1-Method!$B$4)*T75/($S75+$T75+$U75))</f>
        <v/>
      </c>
      <c r="X75" s="54">
        <f>IF(U75="","",Method!$B$4*IF(BE75="",K75,BE75)+(1-Method!$B$4)*U75/($S75+$T75+$U75))</f>
        <v/>
      </c>
      <c r="Y75" s="54">
        <f>IF(V75="","",V75*L75-1)</f>
        <v/>
      </c>
      <c r="Z75" s="54">
        <f>IF(W75="","",W75*M75-1)</f>
        <v/>
      </c>
      <c r="AA75" s="54">
        <f>IF(X75="","",X75*N75-1)</f>
        <v/>
      </c>
      <c r="AB75" s="54">
        <f>IF(Y75="","",MATCH(MAX(Y75:AA75),Y75:AA75,0))</f>
        <v/>
      </c>
      <c r="AC75" s="54">
        <f>IF(AB75="","",CHOOSE(AB75,"H","D","A"))</f>
        <v/>
      </c>
      <c r="AD75" s="54">
        <f>IF(AB75="","",CHOOSE(AB75,"1  "&amp;D75,"X  Draw","2  "&amp;E75))</f>
        <v/>
      </c>
      <c r="AE75" s="82">
        <f>IF(AB75="","",INDEX(L75:N75,1,AB75))</f>
        <v/>
      </c>
      <c r="AF75" s="54">
        <f>IF(AB75="","",INDEX(Y75:AA75,1,AB75))</f>
        <v/>
      </c>
      <c r="AG75" s="54">
        <f>IF(AB75="","",INDEX(V75:X75,1,AB75)-INDEX(S75:U75,1,AB75))</f>
        <v/>
      </c>
      <c r="AH75" s="54">
        <f>IF(AB75="","· enter odds",IF(OR(AF75&gt;Method!$B$87,IFERROR(INDEX(BC75:BE75,1,AB75)/INDEX(S75:U75,1,AB75),0)&gt;Method!$B$88),"PASS",IF(AND(AF75&gt;=Method!$B$7,AG75&gt;=Method!$B$8),"BET","PASS")))</f>
        <v/>
      </c>
      <c r="AI75" s="54">
        <f>IF(AH75&lt;&gt;"BET",0,ROUND(MIN(Method!$B$6,Method!$B$5*AL75)*100,1))</f>
        <v/>
      </c>
      <c r="AJ75" s="54">
        <f>IF(OR(AH75&lt;&gt;"BET",Method!$B$55=TRUE()),0,IF(AI75*Method!$B$10/100&lt;Method!$B$9,0,ROUND(AI75*Method!$B$10/100,0)))</f>
        <v/>
      </c>
      <c r="AK75" s="54">
        <f>IF(AB75="","",INDEX(V75:X75,1,AB75))</f>
        <v/>
      </c>
      <c r="AL75" s="54">
        <f>IF(AH75&lt;&gt;"BET","",MAX(0,(AK75*AE75-1)/(AE75-1)))</f>
        <v/>
      </c>
      <c r="AM75" s="54">
        <f>IF(AH75="BET",AF75+A75/1000000,"")</f>
        <v/>
      </c>
      <c r="AN75" s="54">
        <f>IF(Matchday!N77="","",Matchday!N77)</f>
        <v/>
      </c>
      <c r="AO75" s="54">
        <f>IF(Matchday!P77="","",Matchday!P77)</f>
        <v/>
      </c>
      <c r="AP75" s="54">
        <f>IF(Matchday!Q77="","",Matchday!Q77)</f>
        <v/>
      </c>
      <c r="AQ75" s="54">
        <f>IF(Matchday!R77="","",Matchday!R77)</f>
        <v/>
      </c>
      <c r="AR75" s="54">
        <f>IF(OR(AN75&lt;&gt;"Y",AQ75="",AV75=""),"",IF(AQ75="Void",0,IF(AQ75=AV75,ROUND(AP75*(AO75-1),2),-AP75)))</f>
        <v/>
      </c>
      <c r="AS75" s="54">
        <f>IF(AR75="","",SUM($AR$2:AR75))</f>
        <v/>
      </c>
      <c r="AT75" s="54">
        <f>IF(AB75="","Type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pauses.")),IF(AH75="BET",IF(AJ75=0,"Edge found but stake rounds under £"&amp;Method!$B$9&amp;" — skip",IF(AND(AE75&gt;=6,AG75&gt;=0.15),"🟡 WAIT — long-shot review: odds "&amp;TEXT(AE75,"0.00")&amp;" + edge "&amp;TEXT(AG75,"0.0%")&amp;" — verify sharp-book + team news + stake comfort before Placed=Y","Value found: EV "&amp;TEXT(AF75,"0.0%")&amp;", edge "&amp;TEXT(AG75,"0.0%"))),IF(OR(AF75&gt;Method!$B$87,IFERROR(INDEX(BC75:BE75,1,AB75)/INDEX(S75:U75,1,AB75),0)&gt;Method!$B$88),"🛑 Tail trap — auto-PASS · EV "&amp;TEXT(AF75,"0.0%")&amp;" (cap "&amp;TEXT(Method!$B$87,"0%")&amp;") · model/market "&amp;TEXT(IFERROR(INDEX(BC75:BE75,1,AB75)/INDEX(S75:U75,1,AB75),0),"0.0")&amp;"× (cap "&amp;TEXT(Method!$B$88,"0.0")&amp;"×)",IF(AF75&lt;Method!$B$7,"Price too short — EV "&amp;TEXT(AF75,"0.0%")&amp;" (need "&amp;TEXT(Method!$B$7,"0.0%")&amp;"+)","Model ≈ market — edge "&amp;TEXT(AG75,"0.0%")&amp;" (need "&amp;TEXT(Method!$B$8,"0.0%")&amp;"+)")))))</f>
        <v/>
      </c>
      <c r="AU75" s="54">
        <f>IF(AN75&lt;&gt;"Y","",IF(AH75="· enter odds","⚠ type the 3 odds (1/X/2) to grade this bet",IF(OR(AV75="",AO75="",AP75=""),"⚠ log backed pick, odds &amp; stake",IF(AZ75&lt;&gt;"BET","⚠ FUN BET — engine said pass · staked £"&amp;AP75&amp;" vs engine £"&amp;BA75,IF(AV75&lt;&gt;IF(AY75="",AC75,AY75),"⚠ backed "&amp;AV75&amp;" but engine pick was "&amp;IF(AY75="",AC75,AY75),IF(AP75&gt;BA75,"⚠ stake over engine £"&amp;BA75,IF(ABS(AO75-IFERROR(INDEX(L75:N75,1,MATCH(AV75,{"H","D","A"},0)),AE75))&gt;0.02,"⚠ odds moved — re-check value","✓ engine bet")))))))</f>
        <v/>
      </c>
      <c r="AV75" s="54">
        <f>IF(Matchday!O77="","",Matchday!O77)</f>
        <v/>
      </c>
      <c r="AW75" s="54" t="n"/>
      <c r="AX75" s="54" t="n"/>
      <c r="AY75" s="54" t="n"/>
      <c r="AZ75" s="54">
        <f>IF(AW75="",AH75,AW75)</f>
        <v/>
      </c>
      <c r="BA75" s="54">
        <f>IF(AX75&lt;&gt;"",AX75,IF(AH75&lt;&gt;"BET",0,IF(AI75*Method!$B$10/100&lt;Method!$B$9,0,ROUND(AI75*Method!$B$10/100,0))))</f>
        <v/>
      </c>
      <c r="BB75" s="14" t="n">
        <v>-52.07</v>
      </c>
      <c r="BC75" s="14">
        <f>IF(I75="","",I75)</f>
        <v/>
      </c>
      <c r="BD75" s="14">
        <f>IF(J75="","",J75)</f>
        <v/>
      </c>
      <c r="BE75" s="14">
        <f>IF(K75="","",K75)</f>
        <v/>
      </c>
      <c r="BF75" s="14" t="inlineStr">
        <is>
          <t>Germany team-wide: -14 · Paraguay team-wide: -35 · Paraguay suspension: -3</t>
        </is>
      </c>
      <c r="BG75" s="14" t="n">
        <v>0</v>
      </c>
    </row>
    <row r="76" ht="15.75" customHeight="1" s="153">
      <c r="A76" s="54" t="n">
        <v>75</v>
      </c>
      <c r="B76" s="80" t="n">
        <v>46202</v>
      </c>
      <c r="C76" s="54" t="inlineStr">
        <is>
          <t>R32</t>
        </is>
      </c>
      <c r="D76" s="54" t="inlineStr">
        <is>
          <t>Netherlands</t>
        </is>
      </c>
      <c r="E76" s="54" t="inlineStr">
        <is>
          <t>Morocco</t>
        </is>
      </c>
      <c r="F76" s="54" t="inlineStr">
        <is>
          <t>Guadalupe, Mexico</t>
        </is>
      </c>
      <c r="G76" s="81" t="n">
        <v>0.7916666666666666</v>
      </c>
      <c r="H76" s="54" t="n"/>
      <c r="I76" s="54" t="n">
        <v>0.3777233060790945</v>
      </c>
      <c r="J76" s="54" t="n">
        <v>0.309225521004233</v>
      </c>
      <c r="K76" s="54" t="n">
        <v>0.3130511729166726</v>
      </c>
      <c r="L76" s="82">
        <f>IF(Matchday!E78="","",Matchday!E78)</f>
        <v/>
      </c>
      <c r="M76" s="82">
        <f>IF(Matchday!F78="","",Matchday!F78)</f>
        <v/>
      </c>
      <c r="N76" s="82">
        <f>IF(Matchday!G78="","",Matchday!G78)</f>
        <v/>
      </c>
      <c r="O76" s="54">
        <f>IF(L76="","",1/L76)</f>
        <v/>
      </c>
      <c r="P76" s="54">
        <f>IF(M76="","",1/M76)</f>
        <v/>
      </c>
      <c r="Q76" s="54">
        <f>IF(N76="","",1/N76)</f>
        <v/>
      </c>
      <c r="R76" s="54">
        <f>IF(COUNT(L76:N76)&lt;3,"",O76+P76+Q76)</f>
        <v/>
      </c>
      <c r="S76" s="54">
        <f t="array" ref="S76">IF($R76="","",IF(Method!$B$56="proportional",O76/$R76,IF(Method!$B$56="power",IFERROR(INDEX(power_devig($L76,$M76,$N76),1,1),O76/$R76),IFERROR(INDEX(shin($L76,$M76,$N76),1,1),O76/$R76))))</f>
        <v/>
      </c>
      <c r="T76" s="54">
        <f t="array" ref="T76">IF($R76="","",IF(Method!$B$56="proportional",P76/$R76,IF(Method!$B$56="power",IFERROR(INDEX(power_devig($L76,$M76,$N76),2,1),P76/$R76),IFERROR(INDEX(shin($L76,$M76,$N76),2,1),P76/$R76))))</f>
        <v/>
      </c>
      <c r="U76" s="54">
        <f t="array" ref="U76">IF($R76="","",IF(Method!$B$56="proportional",Q76/$R76,IF(Method!$B$56="power",IFERROR(INDEX(power_devig($L76,$M76,$N76),3,1),Q76/$R76),IFERROR(INDEX(shin($L76,$M76,$N76),3,1),Q76/$R76))))</f>
        <v/>
      </c>
      <c r="V76" s="54">
        <f>IF(S76="","",Method!$B$4*IF(BC76="",I76,BC76)+(1-Method!$B$4)*S76/($S76+$T76+$U76))</f>
        <v/>
      </c>
      <c r="W76" s="54">
        <f>IF(T76="","",Method!$B$4*IF(BD76="",J76,BD76)+(1-Method!$B$4)*T76/($S76+$T76+$U76))</f>
        <v/>
      </c>
      <c r="X76" s="54">
        <f>IF(U76="","",Method!$B$4*IF(BE76="",K76,BE76)+(1-Method!$B$4)*U76/($S76+$T76+$U76))</f>
        <v/>
      </c>
      <c r="Y76" s="54">
        <f>IF(V76="","",V76*L76-1)</f>
        <v/>
      </c>
      <c r="Z76" s="54">
        <f>IF(W76="","",W76*M76-1)</f>
        <v/>
      </c>
      <c r="AA76" s="54">
        <f>IF(X76="","",X76*N76-1)</f>
        <v/>
      </c>
      <c r="AB76" s="54">
        <f>IF(Y76="","",MATCH(MAX(Y76:AA76),Y76:AA76,0))</f>
        <v/>
      </c>
      <c r="AC76" s="54">
        <f>IF(AB76="","",CHOOSE(AB76,"H","D","A"))</f>
        <v/>
      </c>
      <c r="AD76" s="54">
        <f>IF(AB76="","",CHOOSE(AB76,"1  "&amp;D76,"X  Draw","2  "&amp;E76))</f>
        <v/>
      </c>
      <c r="AE76" s="82">
        <f>IF(AB76="","",INDEX(L76:N76,1,AB76))</f>
        <v/>
      </c>
      <c r="AF76" s="54">
        <f>IF(AB76="","",INDEX(Y76:AA76,1,AB76))</f>
        <v/>
      </c>
      <c r="AG76" s="54">
        <f>IF(AB76="","",INDEX(V76:X76,1,AB76)-INDEX(S76:U76,1,AB76))</f>
        <v/>
      </c>
      <c r="AH76" s="54">
        <f>IF(AB76="","· enter odds",IF(OR(AF76&gt;Method!$B$87,IFERROR(INDEX(BC76:BE76,1,AB76)/INDEX(S76:U76,1,AB76),0)&gt;Method!$B$88),"PASS",IF(AND(AF76&gt;=Method!$B$7,AG76&gt;=Method!$B$8),"BET","PASS")))</f>
        <v/>
      </c>
      <c r="AI76" s="54">
        <f>IF(AH76&lt;&gt;"BET",0,ROUND(MIN(Method!$B$6,Method!$B$5*AL76)*100,1))</f>
        <v/>
      </c>
      <c r="AJ76" s="54">
        <f>IF(OR(AH76&lt;&gt;"BET",Method!$B$55=TRUE()),0,IF(AI76*Method!$B$10/100&lt;Method!$B$9,0,ROUND(AI76*Method!$B$10/100,0)))</f>
        <v/>
      </c>
      <c r="AK76" s="54">
        <f>IF(AB76="","",INDEX(V76:X76,1,AB76))</f>
        <v/>
      </c>
      <c r="AL76" s="54">
        <f>IF(AH76&lt;&gt;"BET","",MAX(0,(AK76*AE76-1)/(AE76-1)))</f>
        <v/>
      </c>
      <c r="AM76" s="54">
        <f>IF(AH76="BET",AF76+A76/1000000,"")</f>
        <v/>
      </c>
      <c r="AN76" s="54">
        <f>IF(Matchday!N78="","",Matchday!N78)</f>
        <v/>
      </c>
      <c r="AO76" s="54">
        <f>IF(Matchday!P78="","",Matchday!P78)</f>
        <v/>
      </c>
      <c r="AP76" s="54">
        <f>IF(Matchday!Q78="","",Matchday!Q78)</f>
        <v/>
      </c>
      <c r="AQ76" s="54">
        <f>IF(Matchday!R78="","",Matchday!R78)</f>
        <v/>
      </c>
      <c r="AR76" s="54">
        <f>IF(OR(AN76&lt;&gt;"Y",AQ76="",AV76=""),"",IF(AQ76="Void",0,IF(AQ76=AV76,ROUND(AP76*(AO76-1),2),-AP76)))</f>
        <v/>
      </c>
      <c r="AS76" s="54">
        <f>IF(AR76="","",SUM($AR$2:AR76))</f>
        <v/>
      </c>
      <c r="AT76" s="54">
        <f>IF(AB76="","Type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pauses.")),IF(AH76="BET",IF(AJ76=0,"Edge found but stake rounds under £"&amp;Method!$B$9&amp;" — skip",IF(AND(AE76&gt;=6,AG76&gt;=0.15),"🟡 WAIT — long-shot review: odds "&amp;TEXT(AE76,"0.00")&amp;" + edge "&amp;TEXT(AG76,"0.0%")&amp;" — verify sharp-book + team news + stake comfort before Placed=Y","Value found: EV "&amp;TEXT(AF76,"0.0%")&amp;", edge "&amp;TEXT(AG76,"0.0%"))),IF(OR(AF76&gt;Method!$B$87,IFERROR(INDEX(BC76:BE76,1,AB76)/INDEX(S76:U76,1,AB76),0)&gt;Method!$B$88),"🛑 Tail trap — auto-PASS · EV "&amp;TEXT(AF76,"0.0%")&amp;" (cap "&amp;TEXT(Method!$B$87,"0%")&amp;") · model/market "&amp;TEXT(IFERROR(INDEX(BC76:BE76,1,AB76)/INDEX(S76:U76,1,AB76),0),"0.0")&amp;"× (cap "&amp;TEXT(Method!$B$88,"0.0")&amp;"×)",IF(AF76&lt;Method!$B$7,"Price too short — EV "&amp;TEXT(AF76,"0.0%")&amp;" (need "&amp;TEXT(Method!$B$7,"0.0%")&amp;"+)","Model ≈ market — edge "&amp;TEXT(AG76,"0.0%")&amp;" (need "&amp;TEXT(Method!$B$8,"0.0%")&amp;"+)")))))</f>
        <v/>
      </c>
      <c r="AU76" s="54">
        <f>IF(AN76&lt;&gt;"Y","",IF(AH76="· enter odds","⚠ type the 3 odds (1/X/2) to grade this bet",IF(OR(AV76="",AO76="",AP76=""),"⚠ log backed pick, odds &amp; stake",IF(AZ76&lt;&gt;"BET","⚠ FUN BET — engine said pass · staked £"&amp;AP76&amp;" vs engine £"&amp;BA76,IF(AV76&lt;&gt;IF(AY76="",AC76,AY76),"⚠ backed "&amp;AV76&amp;" but engine pick was "&amp;IF(AY76="",AC76,AY76),IF(AP76&gt;BA76,"⚠ stake over engine £"&amp;BA76,IF(ABS(AO76-IFERROR(INDEX(L76:N76,1,MATCH(AV76,{"H","D","A"},0)),AE76))&gt;0.02,"⚠ odds moved — re-check value","✓ engine bet")))))))</f>
        <v/>
      </c>
      <c r="AV76" s="54">
        <f>IF(Matchday!O78="","",Matchday!O78)</f>
        <v/>
      </c>
      <c r="AW76" s="54" t="n"/>
      <c r="AX76" s="54" t="n"/>
      <c r="AY76" s="54" t="n"/>
      <c r="AZ76" s="54">
        <f>IF(AW76="",AH76,AW76)</f>
        <v/>
      </c>
      <c r="BA76" s="54">
        <f>IF(AX76&lt;&gt;"",AX76,IF(AH76&lt;&gt;"BET",0,IF(AI76*Method!$B$10/100&lt;Method!$B$9,0,ROUND(AI76*Method!$B$10/100,0))))</f>
        <v/>
      </c>
      <c r="BB76" s="14" t="n">
        <v>9.6</v>
      </c>
      <c r="BC76" s="14">
        <f>IF(I76="","",I76)</f>
        <v/>
      </c>
      <c r="BD76" s="14">
        <f>IF(J76="","",J76)</f>
        <v/>
      </c>
      <c r="BE76" s="14">
        <f>IF(K76="","",K76)</f>
        <v/>
      </c>
      <c r="BF76" s="14" t="inlineStr">
        <is>
          <t>Morocco team-wide: +6 · Netherlands team-wide: +4</t>
        </is>
      </c>
      <c r="BG76" s="14" t="n">
        <v>0</v>
      </c>
    </row>
    <row r="77" ht="15.75" customHeight="1" s="153">
      <c r="A77" s="54" t="n">
        <v>76</v>
      </c>
      <c r="B77" s="80" t="n">
        <v>46202</v>
      </c>
      <c r="C77" s="54" t="inlineStr">
        <is>
          <t>R32</t>
        </is>
      </c>
      <c r="D77" s="54" t="inlineStr">
        <is>
          <t>Brazil</t>
        </is>
      </c>
      <c r="E77" s="54" t="inlineStr">
        <is>
          <t>Japan</t>
        </is>
      </c>
      <c r="F77" s="54" t="inlineStr">
        <is>
          <t>Houston, TX</t>
        </is>
      </c>
      <c r="G77" s="81" t="n">
        <v>0.5</v>
      </c>
      <c r="H77" s="54" t="n"/>
      <c r="I77" s="54" t="n">
        <v>0.4598581630080776</v>
      </c>
      <c r="J77" s="54" t="n">
        <v>0.2877508560517006</v>
      </c>
      <c r="K77" s="54" t="n">
        <v>0.2523909809402219</v>
      </c>
      <c r="L77" s="82">
        <f>IF(Matchday!E79="","",Matchday!E79)</f>
        <v/>
      </c>
      <c r="M77" s="82">
        <f>IF(Matchday!F79="","",Matchday!F79)</f>
        <v/>
      </c>
      <c r="N77" s="82">
        <f>IF(Matchday!G79="","",Matchday!G79)</f>
        <v/>
      </c>
      <c r="O77" s="54">
        <f>IF(L77="","",1/L77)</f>
        <v/>
      </c>
      <c r="P77" s="54">
        <f>IF(M77="","",1/M77)</f>
        <v/>
      </c>
      <c r="Q77" s="54">
        <f>IF(N77="","",1/N77)</f>
        <v/>
      </c>
      <c r="R77" s="54">
        <f>IF(COUNT(L77:N77)&lt;3,"",O77+P77+Q77)</f>
        <v/>
      </c>
      <c r="S77" s="54">
        <f t="array" ref="S77">IF($R77="","",IF(Method!$B$56="proportional",O77/$R77,IF(Method!$B$56="power",IFERROR(INDEX(power_devig($L77,$M77,$N77),1,1),O77/$R77),IFERROR(INDEX(shin($L77,$M77,$N77),1,1),O77/$R77))))</f>
        <v/>
      </c>
      <c r="T77" s="54">
        <f t="array" ref="T77">IF($R77="","",IF(Method!$B$56="proportional",P77/$R77,IF(Method!$B$56="power",IFERROR(INDEX(power_devig($L77,$M77,$N77),2,1),P77/$R77),IFERROR(INDEX(shin($L77,$M77,$N77),2,1),P77/$R77))))</f>
        <v/>
      </c>
      <c r="U77" s="54">
        <f t="array" ref="U77">IF($R77="","",IF(Method!$B$56="proportional",Q77/$R77,IF(Method!$B$56="power",IFERROR(INDEX(power_devig($L77,$M77,$N77),3,1),Q77/$R77),IFERROR(INDEX(shin($L77,$M77,$N77),3,1),Q77/$R77))))</f>
        <v/>
      </c>
      <c r="V77" s="54">
        <f>IF(S77="","",Method!$B$4*IF(BC77="",I77,BC77)+(1-Method!$B$4)*S77/($S77+$T77+$U77))</f>
        <v/>
      </c>
      <c r="W77" s="54">
        <f>IF(T77="","",Method!$B$4*IF(BD77="",J77,BD77)+(1-Method!$B$4)*T77/($S77+$T77+$U77))</f>
        <v/>
      </c>
      <c r="X77" s="54">
        <f>IF(U77="","",Method!$B$4*IF(BE77="",K77,BE77)+(1-Method!$B$4)*U77/($S77+$T77+$U77))</f>
        <v/>
      </c>
      <c r="Y77" s="54">
        <f>IF(V77="","",V77*L77-1)</f>
        <v/>
      </c>
      <c r="Z77" s="54">
        <f>IF(W77="","",W77*M77-1)</f>
        <v/>
      </c>
      <c r="AA77" s="54">
        <f>IF(X77="","",X77*N77-1)</f>
        <v/>
      </c>
      <c r="AB77" s="54">
        <f>IF(Y77="","",MATCH(MAX(Y77:AA77),Y77:AA77,0))</f>
        <v/>
      </c>
      <c r="AC77" s="54">
        <f>IF(AB77="","",CHOOSE(AB77,"H","D","A"))</f>
        <v/>
      </c>
      <c r="AD77" s="54">
        <f>IF(AB77="","",CHOOSE(AB77,"1  "&amp;D77,"X  Draw","2  "&amp;E77))</f>
        <v/>
      </c>
      <c r="AE77" s="82">
        <f>IF(AB77="","",INDEX(L77:N77,1,AB77))</f>
        <v/>
      </c>
      <c r="AF77" s="54">
        <f>IF(AB77="","",INDEX(Y77:AA77,1,AB77))</f>
        <v/>
      </c>
      <c r="AG77" s="54">
        <f>IF(AB77="","",INDEX(V77:X77,1,AB77)-INDEX(S77:U77,1,AB77))</f>
        <v/>
      </c>
      <c r="AH77" s="54">
        <f>IF(AB77="","· enter odds",IF(OR(AF77&gt;Method!$B$87,IFERROR(INDEX(BC77:BE77,1,AB77)/INDEX(S77:U77,1,AB77),0)&gt;Method!$B$88),"PASS",IF(AND(AF77&gt;=Method!$B$7,AG77&gt;=Method!$B$8),"BET","PASS")))</f>
        <v/>
      </c>
      <c r="AI77" s="54">
        <f>IF(AH77&lt;&gt;"BET",0,ROUND(MIN(Method!$B$6,Method!$B$5*AL77)*100,1))</f>
        <v/>
      </c>
      <c r="AJ77" s="54">
        <f>IF(OR(AH77&lt;&gt;"BET",Method!$B$55=TRUE()),0,IF(AI77*Method!$B$10/100&lt;Method!$B$9,0,ROUND(AI77*Method!$B$10/100,0)))</f>
        <v/>
      </c>
      <c r="AK77" s="54">
        <f>IF(AB77="","",INDEX(V77:X77,1,AB77))</f>
        <v/>
      </c>
      <c r="AL77" s="54">
        <f>IF(AH77&lt;&gt;"BET","",MAX(0,(AK77*AE77-1)/(AE77-1)))</f>
        <v/>
      </c>
      <c r="AM77" s="54">
        <f>IF(AH77="BET",AF77+A77/1000000,"")</f>
        <v/>
      </c>
      <c r="AN77" s="54">
        <f>IF(Matchday!N79="","",Matchday!N79)</f>
        <v/>
      </c>
      <c r="AO77" s="54">
        <f>IF(Matchday!P79="","",Matchday!P79)</f>
        <v/>
      </c>
      <c r="AP77" s="54">
        <f>IF(Matchday!Q79="","",Matchday!Q79)</f>
        <v/>
      </c>
      <c r="AQ77" s="54">
        <f>IF(Matchday!R79="","",Matchday!R79)</f>
        <v/>
      </c>
      <c r="AR77" s="54">
        <f>IF(OR(AN77&lt;&gt;"Y",AQ77="",AV77=""),"",IF(AQ77="Void",0,IF(AQ77=AV77,ROUND(AP77*(AO77-1),2),-AP77)))</f>
        <v/>
      </c>
      <c r="AS77" s="54">
        <f>IF(AR77="","",SUM($AR$2:AR77))</f>
        <v/>
      </c>
      <c r="AT77" s="54">
        <f>IF(AB77="","Type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pauses.")),IF(AH77="BET",IF(AJ77=0,"Edge found but stake rounds under £"&amp;Method!$B$9&amp;" — skip",IF(AND(AE77&gt;=6,AG77&gt;=0.15),"🟡 WAIT — long-shot review: odds "&amp;TEXT(AE77,"0.00")&amp;" + edge "&amp;TEXT(AG77,"0.0%")&amp;" — verify sharp-book + team news + stake comfort before Placed=Y","Value found: EV "&amp;TEXT(AF77,"0.0%")&amp;", edge "&amp;TEXT(AG77,"0.0%"))),IF(OR(AF77&gt;Method!$B$87,IFERROR(INDEX(BC77:BE77,1,AB77)/INDEX(S77:U77,1,AB77),0)&gt;Method!$B$88),"🛑 Tail trap — auto-PASS · EV "&amp;TEXT(AF77,"0.0%")&amp;" (cap "&amp;TEXT(Method!$B$87,"0%")&amp;") · model/market "&amp;TEXT(IFERROR(INDEX(BC77:BE77,1,AB77)/INDEX(S77:U77,1,AB77),0),"0.0")&amp;"× (cap "&amp;TEXT(Method!$B$88,"0.0")&amp;"×)",IF(AF77&lt;Method!$B$7,"Price too short — EV "&amp;TEXT(AF77,"0.0%")&amp;" (need "&amp;TEXT(Method!$B$7,"0.0%")&amp;"+)","Model ≈ market — edge "&amp;TEXT(AG77,"0.0%")&amp;" (need "&amp;TEXT(Method!$B$8,"0.0%")&amp;"+)")))))</f>
        <v/>
      </c>
      <c r="AU77" s="54">
        <f>IF(AN77&lt;&gt;"Y","",IF(AH77="· enter odds","⚠ type the 3 odds (1/X/2) to grade this bet",IF(OR(AV77="",AO77="",AP77=""),"⚠ log backed pick, odds &amp; stake",IF(AZ77&lt;&gt;"BET","⚠ FUN BET — engine said pass · staked £"&amp;AP77&amp;" vs engine £"&amp;BA77,IF(AV77&lt;&gt;IF(AY77="",AC77,AY77),"⚠ backed "&amp;AV77&amp;" but engine pick was "&amp;IF(AY77="",AC77,AY77),IF(AP77&gt;BA77,"⚠ stake over engine £"&amp;BA77,IF(ABS(AO77-IFERROR(INDEX(L77:N77,1,MATCH(AV77,{"H","D","A"},0)),AE77))&gt;0.02,"⚠ odds moved — re-check value","✓ engine bet")))))))</f>
        <v/>
      </c>
      <c r="AV77" s="54">
        <f>IF(Matchday!O79="","",Matchday!O79)</f>
        <v/>
      </c>
      <c r="AW77" s="54" t="n"/>
      <c r="AX77" s="54" t="n"/>
      <c r="AY77" s="54" t="n"/>
      <c r="AZ77" s="54">
        <f>IF(AW77="",AH77,AW77)</f>
        <v/>
      </c>
      <c r="BA77" s="54">
        <f>IF(AX77&lt;&gt;"",AX77,IF(AH77&lt;&gt;"BET",0,IF(AI77*Method!$B$10/100&lt;Method!$B$9,0,ROUND(AI77*Method!$B$10/100,0))))</f>
        <v/>
      </c>
      <c r="BB77" s="14" t="n">
        <v>-45.38</v>
      </c>
      <c r="BC77" s="14">
        <f>IF(I77="","",I77)</f>
        <v/>
      </c>
      <c r="BD77" s="14">
        <f>IF(J77="","",J77)</f>
        <v/>
      </c>
      <c r="BE77" s="14">
        <f>IF(K77="","",K77)</f>
        <v/>
      </c>
      <c r="BF77" s="14" t="inlineStr">
        <is>
          <t>Brazil team-wide: -16 · Japan team-wide: -30</t>
        </is>
      </c>
      <c r="BG77" s="14" t="n">
        <v>15</v>
      </c>
      <c r="BH77" s="14" t="inlineStr">
        <is>
          <t>very_hot_humid_indoor</t>
        </is>
      </c>
    </row>
    <row r="78" ht="15.75" customHeight="1" s="153">
      <c r="A78" s="54" t="n">
        <v>77</v>
      </c>
      <c r="B78" s="80" t="n">
        <v>46203</v>
      </c>
      <c r="C78" s="54" t="inlineStr">
        <is>
          <t>R32</t>
        </is>
      </c>
      <c r="D78" s="54" t="inlineStr">
        <is>
          <t>France</t>
        </is>
      </c>
      <c r="E78" s="54" t="inlineStr">
        <is>
          <t>Sweden</t>
        </is>
      </c>
      <c r="F78" s="54" t="inlineStr">
        <is>
          <t>East Rutherford, NJ</t>
        </is>
      </c>
      <c r="G78" s="81" t="n">
        <v>0.7083333333333334</v>
      </c>
      <c r="H78" s="54" t="n"/>
      <c r="I78" s="54" t="n">
        <v>0.7727658118110502</v>
      </c>
      <c r="J78" s="54" t="n">
        <v>0.1567411619961034</v>
      </c>
      <c r="K78" s="54" t="n">
        <v>0.07049302619284638</v>
      </c>
      <c r="L78" s="82">
        <f>IF(Matchday!E80="","",Matchday!E80)</f>
        <v/>
      </c>
      <c r="M78" s="82">
        <f>IF(Matchday!F80="","",Matchday!F80)</f>
        <v/>
      </c>
      <c r="N78" s="82">
        <f>IF(Matchday!G80="","",Matchday!G80)</f>
        <v/>
      </c>
      <c r="O78" s="54">
        <f>IF(L78="","",1/L78)</f>
        <v/>
      </c>
      <c r="P78" s="54">
        <f>IF(M78="","",1/M78)</f>
        <v/>
      </c>
      <c r="Q78" s="54">
        <f>IF(N78="","",1/N78)</f>
        <v/>
      </c>
      <c r="R78" s="54">
        <f>IF(COUNT(L78:N78)&lt;3,"",O78+P78+Q78)</f>
        <v/>
      </c>
      <c r="S78" s="54">
        <f t="array" ref="S78">IF($R78="","",IF(Method!$B$56="proportional",O78/$R78,IF(Method!$B$56="power",IFERROR(INDEX(power_devig($L78,$M78,$N78),1,1),O78/$R78),IFERROR(INDEX(shin($L78,$M78,$N78),1,1),O78/$R78))))</f>
        <v/>
      </c>
      <c r="T78" s="54">
        <f t="array" ref="T78">IF($R78="","",IF(Method!$B$56="proportional",P78/$R78,IF(Method!$B$56="power",IFERROR(INDEX(power_devig($L78,$M78,$N78),2,1),P78/$R78),IFERROR(INDEX(shin($L78,$M78,$N78),2,1),P78/$R78))))</f>
        <v/>
      </c>
      <c r="U78" s="54">
        <f t="array" ref="U78">IF($R78="","",IF(Method!$B$56="proportional",Q78/$R78,IF(Method!$B$56="power",IFERROR(INDEX(power_devig($L78,$M78,$N78),3,1),Q78/$R78),IFERROR(INDEX(shin($L78,$M78,$N78),3,1),Q78/$R78))))</f>
        <v/>
      </c>
      <c r="V78" s="54">
        <f>IF(S78="","",Method!$B$4*IF(BC78="",I78,BC78)+(1-Method!$B$4)*S78/($S78+$T78+$U78))</f>
        <v/>
      </c>
      <c r="W78" s="54">
        <f>IF(T78="","",Method!$B$4*IF(BD78="",J78,BD78)+(1-Method!$B$4)*T78/($S78+$T78+$U78))</f>
        <v/>
      </c>
      <c r="X78" s="54">
        <f>IF(U78="","",Method!$B$4*IF(BE78="",K78,BE78)+(1-Method!$B$4)*U78/($S78+$T78+$U78))</f>
        <v/>
      </c>
      <c r="Y78" s="54">
        <f>IF(V78="","",V78*L78-1)</f>
        <v/>
      </c>
      <c r="Z78" s="54">
        <f>IF(W78="","",W78*M78-1)</f>
        <v/>
      </c>
      <c r="AA78" s="54">
        <f>IF(X78="","",X78*N78-1)</f>
        <v/>
      </c>
      <c r="AB78" s="54">
        <f>IF(Y78="","",MATCH(MAX(Y78:AA78),Y78:AA78,0))</f>
        <v/>
      </c>
      <c r="AC78" s="54">
        <f>IF(AB78="","",CHOOSE(AB78,"H","D","A"))</f>
        <v/>
      </c>
      <c r="AD78" s="54">
        <f>IF(AB78="","",CHOOSE(AB78,"1  "&amp;D78,"X  Draw","2  "&amp;E78))</f>
        <v/>
      </c>
      <c r="AE78" s="82">
        <f>IF(AB78="","",INDEX(L78:N78,1,AB78))</f>
        <v/>
      </c>
      <c r="AF78" s="54">
        <f>IF(AB78="","",INDEX(Y78:AA78,1,AB78))</f>
        <v/>
      </c>
      <c r="AG78" s="54">
        <f>IF(AB78="","",INDEX(V78:X78,1,AB78)-INDEX(S78:U78,1,AB78))</f>
        <v/>
      </c>
      <c r="AH78" s="54">
        <f>IF(AB78="","· enter odds",IF(OR(AF78&gt;Method!$B$87,IFERROR(INDEX(BC78:BE78,1,AB78)/INDEX(S78:U78,1,AB78),0)&gt;Method!$B$88),"PASS",IF(AND(AF78&gt;=Method!$B$7,AG78&gt;=Method!$B$8),"BET","PASS")))</f>
        <v/>
      </c>
      <c r="AI78" s="54">
        <f>IF(AH78&lt;&gt;"BET",0,ROUND(MIN(Method!$B$6,Method!$B$5*AL78)*100,1))</f>
        <v/>
      </c>
      <c r="AJ78" s="54">
        <f>IF(OR(AH78&lt;&gt;"BET",Method!$B$55=TRUE()),0,IF(AI78*Method!$B$10/100&lt;Method!$B$9,0,ROUND(AI78*Method!$B$10/100,0)))</f>
        <v/>
      </c>
      <c r="AK78" s="54">
        <f>IF(AB78="","",INDEX(V78:X78,1,AB78))</f>
        <v/>
      </c>
      <c r="AL78" s="54">
        <f>IF(AH78&lt;&gt;"BET","",MAX(0,(AK78*AE78-1)/(AE78-1)))</f>
        <v/>
      </c>
      <c r="AM78" s="54">
        <f>IF(AH78="BET",AF78+A78/1000000,"")</f>
        <v/>
      </c>
      <c r="AN78" s="54">
        <f>IF(Matchday!N80="","",Matchday!N80)</f>
        <v/>
      </c>
      <c r="AO78" s="54">
        <f>IF(Matchday!P80="","",Matchday!P80)</f>
        <v/>
      </c>
      <c r="AP78" s="54">
        <f>IF(Matchday!Q80="","",Matchday!Q80)</f>
        <v/>
      </c>
      <c r="AQ78" s="54">
        <f>IF(Matchday!R80="","",Matchday!R80)</f>
        <v/>
      </c>
      <c r="AR78" s="54">
        <f>IF(OR(AN78&lt;&gt;"Y",AQ78="",AV78=""),"",IF(AQ78="Void",0,IF(AQ78=AV78,ROUND(AP78*(AO78-1),2),-AP78)))</f>
        <v/>
      </c>
      <c r="AS78" s="54">
        <f>IF(AR78="","",SUM($AR$2:AR78))</f>
        <v/>
      </c>
      <c r="AT78" s="54">
        <f>IF(AB78="","Type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pauses.")),IF(AH78="BET",IF(AJ78=0,"Edge found but stake rounds under £"&amp;Method!$B$9&amp;" — skip",IF(AND(AE78&gt;=6,AG78&gt;=0.15),"🟡 WAIT — long-shot review: odds "&amp;TEXT(AE78,"0.00")&amp;" + edge "&amp;TEXT(AG78,"0.0%")&amp;" — verify sharp-book + team news + stake comfort before Placed=Y","Value found: EV "&amp;TEXT(AF78,"0.0%")&amp;", edge "&amp;TEXT(AG78,"0.0%"))),IF(OR(AF78&gt;Method!$B$87,IFERROR(INDEX(BC78:BE78,1,AB78)/INDEX(S78:U78,1,AB78),0)&gt;Method!$B$88),"🛑 Tail trap — auto-PASS · EV "&amp;TEXT(AF78,"0.0%")&amp;" (cap "&amp;TEXT(Method!$B$87,"0%")&amp;") · model/market "&amp;TEXT(IFERROR(INDEX(BC78:BE78,1,AB78)/INDEX(S78:U78,1,AB78),0),"0.0")&amp;"× (cap "&amp;TEXT(Method!$B$88,"0.0")&amp;"×)",IF(AF78&lt;Method!$B$7,"Price too short — EV "&amp;TEXT(AF78,"0.0%")&amp;" (need "&amp;TEXT(Method!$B$7,"0.0%")&amp;"+)","Model ≈ market — edge "&amp;TEXT(AG78,"0.0%")&amp;" (need "&amp;TEXT(Method!$B$8,"0.0%")&amp;"+)")))))</f>
        <v/>
      </c>
      <c r="AU78" s="54">
        <f>IF(AN78&lt;&gt;"Y","",IF(AH78="· enter odds","⚠ type the 3 odds (1/X/2) to grade this bet",IF(OR(AV78="",AO78="",AP78=""),"⚠ log backed pick, odds &amp; stake",IF(AZ78&lt;&gt;"BET","⚠ FUN BET — engine said pass · staked £"&amp;AP78&amp;" vs engine £"&amp;BA78,IF(AV78&lt;&gt;IF(AY78="",AC78,AY78),"⚠ backed "&amp;AV78&amp;" but engine pick was "&amp;IF(AY78="",AC78,AY78),IF(AP78&gt;BA78,"⚠ stake over engine £"&amp;BA78,IF(ABS(AO78-IFERROR(INDEX(L78:N78,1,MATCH(AV78,{"H","D","A"},0)),AE78))&gt;0.02,"⚠ odds moved — re-check value","✓ engine bet")))))))</f>
        <v/>
      </c>
      <c r="AV78" s="54">
        <f>IF(Matchday!O80="","",Matchday!O80)</f>
        <v/>
      </c>
      <c r="AW78" s="54" t="n"/>
      <c r="AX78" s="54" t="n"/>
      <c r="AY78" s="54" t="n"/>
      <c r="AZ78" s="54">
        <f>IF(AW78="",AH78,AW78)</f>
        <v/>
      </c>
      <c r="BA78" s="54">
        <f>IF(AX78&lt;&gt;"",AX78,IF(AH78&lt;&gt;"BET",0,IF(AI78*Method!$B$10/100&lt;Method!$B$9,0,ROUND(AI78*Method!$B$10/100,0))))</f>
        <v/>
      </c>
      <c r="BB78" s="14" t="n">
        <v>4.890000000000001</v>
      </c>
      <c r="BC78" s="14">
        <f>IF(I78="","",I78)</f>
        <v/>
      </c>
      <c r="BD78" s="14">
        <f>IF(J78="","",J78)</f>
        <v/>
      </c>
      <c r="BE78" s="14">
        <f>IF(K78="","",K78)</f>
        <v/>
      </c>
      <c r="BF78" s="14" t="inlineStr">
        <is>
          <t>France team-wide: +16 · Sweden team-wide: -12</t>
        </is>
      </c>
      <c r="BG78" s="14" t="n">
        <v>0</v>
      </c>
    </row>
    <row r="79" ht="15.75" customHeight="1" s="153">
      <c r="A79" s="54" t="n">
        <v>78</v>
      </c>
      <c r="B79" s="80" t="n">
        <v>46203</v>
      </c>
      <c r="C79" s="54" t="inlineStr">
        <is>
          <t>R32</t>
        </is>
      </c>
      <c r="D79" s="54" t="inlineStr">
        <is>
          <t>Ivory Coast</t>
        </is>
      </c>
      <c r="E79" s="54" t="inlineStr">
        <is>
          <t>Norway</t>
        </is>
      </c>
      <c r="F79" s="54" t="inlineStr">
        <is>
          <t>Arlington, TX</t>
        </is>
      </c>
      <c r="G79" s="81" t="n">
        <v>0.5</v>
      </c>
      <c r="H79" s="54" t="n"/>
      <c r="I79" s="54" t="n">
        <v>0.184773247273731</v>
      </c>
      <c r="J79" s="54" t="n">
        <v>0.2767357370236658</v>
      </c>
      <c r="K79" s="54" t="n">
        <v>0.5384910157026032</v>
      </c>
      <c r="L79" s="82">
        <f>IF(Matchday!E81="","",Matchday!E81)</f>
        <v/>
      </c>
      <c r="M79" s="82">
        <f>IF(Matchday!F81="","",Matchday!F81)</f>
        <v/>
      </c>
      <c r="N79" s="82">
        <f>IF(Matchday!G81="","",Matchday!G81)</f>
        <v/>
      </c>
      <c r="O79" s="54">
        <f>IF(L79="","",1/L79)</f>
        <v/>
      </c>
      <c r="P79" s="54">
        <f>IF(M79="","",1/M79)</f>
        <v/>
      </c>
      <c r="Q79" s="54">
        <f>IF(N79="","",1/N79)</f>
        <v/>
      </c>
      <c r="R79" s="54">
        <f>IF(COUNT(L79:N79)&lt;3,"",O79+P79+Q79)</f>
        <v/>
      </c>
      <c r="S79" s="54">
        <f t="array" ref="S79">IF($R79="","",IF(Method!$B$56="proportional",O79/$R79,IF(Method!$B$56="power",IFERROR(INDEX(power_devig($L79,$M79,$N79),1,1),O79/$R79),IFERROR(INDEX(shin($L79,$M79,$N79),1,1),O79/$R79))))</f>
        <v/>
      </c>
      <c r="T79" s="54">
        <f t="array" ref="T79">IF($R79="","",IF(Method!$B$56="proportional",P79/$R79,IF(Method!$B$56="power",IFERROR(INDEX(power_devig($L79,$M79,$N79),2,1),P79/$R79),IFERROR(INDEX(shin($L79,$M79,$N79),2,1),P79/$R79))))</f>
        <v/>
      </c>
      <c r="U79" s="54">
        <f t="array" ref="U79">IF($R79="","",IF(Method!$B$56="proportional",Q79/$R79,IF(Method!$B$56="power",IFERROR(INDEX(power_devig($L79,$M79,$N79),3,1),Q79/$R79),IFERROR(INDEX(shin($L79,$M79,$N79),3,1),Q79/$R79))))</f>
        <v/>
      </c>
      <c r="V79" s="54">
        <f>IF(S79="","",Method!$B$4*IF(BC79="",I79,BC79)+(1-Method!$B$4)*S79/($S79+$T79+$U79))</f>
        <v/>
      </c>
      <c r="W79" s="54">
        <f>IF(T79="","",Method!$B$4*IF(BD79="",J79,BD79)+(1-Method!$B$4)*T79/($S79+$T79+$U79))</f>
        <v/>
      </c>
      <c r="X79" s="54">
        <f>IF(U79="","",Method!$B$4*IF(BE79="",K79,BE79)+(1-Method!$B$4)*U79/($S79+$T79+$U79))</f>
        <v/>
      </c>
      <c r="Y79" s="54">
        <f>IF(V79="","",V79*L79-1)</f>
        <v/>
      </c>
      <c r="Z79" s="54">
        <f>IF(W79="","",W79*M79-1)</f>
        <v/>
      </c>
      <c r="AA79" s="54">
        <f>IF(X79="","",X79*N79-1)</f>
        <v/>
      </c>
      <c r="AB79" s="54">
        <f>IF(Y79="","",MATCH(MAX(Y79:AA79),Y79:AA79,0))</f>
        <v/>
      </c>
      <c r="AC79" s="54">
        <f>IF(AB79="","",CHOOSE(AB79,"H","D","A"))</f>
        <v/>
      </c>
      <c r="AD79" s="54">
        <f>IF(AB79="","",CHOOSE(AB79,"1  "&amp;D79,"X  Draw","2  "&amp;E79))</f>
        <v/>
      </c>
      <c r="AE79" s="82">
        <f>IF(AB79="","",INDEX(L79:N79,1,AB79))</f>
        <v/>
      </c>
      <c r="AF79" s="54">
        <f>IF(AB79="","",INDEX(Y79:AA79,1,AB79))</f>
        <v/>
      </c>
      <c r="AG79" s="54">
        <f>IF(AB79="","",INDEX(V79:X79,1,AB79)-INDEX(S79:U79,1,AB79))</f>
        <v/>
      </c>
      <c r="AH79" s="54">
        <f>IF(AB79="","· enter odds",IF(OR(AF79&gt;Method!$B$87,IFERROR(INDEX(BC79:BE79,1,AB79)/INDEX(S79:U79,1,AB79),0)&gt;Method!$B$88),"PASS",IF(AND(AF79&gt;=Method!$B$7,AG79&gt;=Method!$B$8),"BET","PASS")))</f>
        <v/>
      </c>
      <c r="AI79" s="54">
        <f>IF(AH79&lt;&gt;"BET",0,ROUND(MIN(Method!$B$6,Method!$B$5*AL79)*100,1))</f>
        <v/>
      </c>
      <c r="AJ79" s="54">
        <f>IF(OR(AH79&lt;&gt;"BET",Method!$B$55=TRUE()),0,IF(AI79*Method!$B$10/100&lt;Method!$B$9,0,ROUND(AI79*Method!$B$10/100,0)))</f>
        <v/>
      </c>
      <c r="AK79" s="54">
        <f>IF(AB79="","",INDEX(V79:X79,1,AB79))</f>
        <v/>
      </c>
      <c r="AL79" s="54">
        <f>IF(AH79&lt;&gt;"BET","",MAX(0,(AK79*AE79-1)/(AE79-1)))</f>
        <v/>
      </c>
      <c r="AM79" s="54">
        <f>IF(AH79="BET",AF79+A79/1000000,"")</f>
        <v/>
      </c>
      <c r="AN79" s="54">
        <f>IF(Matchday!N81="","",Matchday!N81)</f>
        <v/>
      </c>
      <c r="AO79" s="54">
        <f>IF(Matchday!P81="","",Matchday!P81)</f>
        <v/>
      </c>
      <c r="AP79" s="54">
        <f>IF(Matchday!Q81="","",Matchday!Q81)</f>
        <v/>
      </c>
      <c r="AQ79" s="54">
        <f>IF(Matchday!R81="","",Matchday!R81)</f>
        <v/>
      </c>
      <c r="AR79" s="54">
        <f>IF(OR(AN79&lt;&gt;"Y",AQ79="",AV79=""),"",IF(AQ79="Void",0,IF(AQ79=AV79,ROUND(AP79*(AO79-1),2),-AP79)))</f>
        <v/>
      </c>
      <c r="AS79" s="54">
        <f>IF(AR79="","",SUM($AR$2:AR79))</f>
        <v/>
      </c>
      <c r="AT79" s="54">
        <f>IF(AB79="","Type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pauses.")),IF(AH79="BET",IF(AJ79=0,"Edge found but stake rounds under £"&amp;Method!$B$9&amp;" — skip",IF(AND(AE79&gt;=6,AG79&gt;=0.15),"🟡 WAIT — long-shot review: odds "&amp;TEXT(AE79,"0.00")&amp;" + edge "&amp;TEXT(AG79,"0.0%")&amp;" — verify sharp-book + team news + stake comfort before Placed=Y","Value found: EV "&amp;TEXT(AF79,"0.0%")&amp;", edge "&amp;TEXT(AG79,"0.0%"))),IF(OR(AF79&gt;Method!$B$87,IFERROR(INDEX(BC79:BE79,1,AB79)/INDEX(S79:U79,1,AB79),0)&gt;Method!$B$88),"🛑 Tail trap — auto-PASS · EV "&amp;TEXT(AF79,"0.0%")&amp;" (cap "&amp;TEXT(Method!$B$87,"0%")&amp;") · model/market "&amp;TEXT(IFERROR(INDEX(BC79:BE79,1,AB79)/INDEX(S79:U79,1,AB79),0),"0.0")&amp;"× (cap "&amp;TEXT(Method!$B$88,"0.0")&amp;"×)",IF(AF79&lt;Method!$B$7,"Price too short — EV "&amp;TEXT(AF79,"0.0%")&amp;" (need "&amp;TEXT(Method!$B$7,"0.0%")&amp;"+)","Model ≈ market — edge "&amp;TEXT(AG79,"0.0%")&amp;" (need "&amp;TEXT(Method!$B$8,"0.0%")&amp;"+)")))))</f>
        <v/>
      </c>
      <c r="AU79" s="54">
        <f>IF(AN79&lt;&gt;"Y","",IF(AH79="· enter odds","⚠ type the 3 odds (1/X/2) to grade this bet",IF(OR(AV79="",AO79="",AP79=""),"⚠ log backed pick, odds &amp; stake",IF(AZ79&lt;&gt;"BET","⚠ FUN BET — engine said pass · staked £"&amp;AP79&amp;" vs engine £"&amp;BA79,IF(AV79&lt;&gt;IF(AY79="",AC79,AY79),"⚠ backed "&amp;AV79&amp;" but engine pick was "&amp;IF(AY79="",AC79,AY79),IF(AP79&gt;BA79,"⚠ stake over engine £"&amp;BA79,IF(ABS(AO79-IFERROR(INDEX(L79:N79,1,MATCH(AV79,{"H","D","A"},0)),AE79))&gt;0.02,"⚠ odds moved — re-check value","✓ engine bet")))))))</f>
        <v/>
      </c>
      <c r="AV79" s="54">
        <f>IF(Matchday!O81="","",Matchday!O81)</f>
        <v/>
      </c>
      <c r="AW79" s="54" t="n"/>
      <c r="AX79" s="54" t="n"/>
      <c r="AY79" s="54" t="n"/>
      <c r="AZ79" s="54">
        <f>IF(AW79="",AH79,AW79)</f>
        <v/>
      </c>
      <c r="BA79" s="54">
        <f>IF(AX79&lt;&gt;"",AX79,IF(AH79&lt;&gt;"BET",0,IF(AI79*Method!$B$10/100&lt;Method!$B$9,0,ROUND(AI79*Method!$B$10/100,0))))</f>
        <v/>
      </c>
      <c r="BB79" s="14" t="n">
        <v>0.42</v>
      </c>
      <c r="BC79" s="14">
        <f>IF(I79="","",I79)</f>
        <v/>
      </c>
      <c r="BD79" s="14">
        <f>IF(J79="","",J79)</f>
        <v/>
      </c>
      <c r="BE79" s="14">
        <f>IF(K79="","",K79)</f>
        <v/>
      </c>
      <c r="BF79" s="14" t="inlineStr">
        <is>
          <t>Ivory Coast team-wide: +1 · Norway team-wide: -1</t>
        </is>
      </c>
      <c r="BG79" s="14" t="n">
        <v>0</v>
      </c>
    </row>
    <row r="80" ht="15.75" customHeight="1" s="153">
      <c r="A80" s="54" t="n">
        <v>79</v>
      </c>
      <c r="B80" s="80" t="n">
        <v>46203</v>
      </c>
      <c r="C80" s="54" t="inlineStr">
        <is>
          <t>R32</t>
        </is>
      </c>
      <c r="D80" s="54" t="inlineStr">
        <is>
          <t>Mexico</t>
        </is>
      </c>
      <c r="E80" s="54" t="inlineStr">
        <is>
          <t>Ecuador</t>
        </is>
      </c>
      <c r="F80" s="54" t="inlineStr">
        <is>
          <t>Mexico City</t>
        </is>
      </c>
      <c r="G80" s="81" t="n">
        <v>0.7916666666666666</v>
      </c>
      <c r="H80" s="54" t="n"/>
      <c r="I80" s="54" t="n">
        <v>0.3550804505402964</v>
      </c>
      <c r="J80" s="54" t="n">
        <v>0.3154487640714752</v>
      </c>
      <c r="K80" s="54" t="n">
        <v>0.3294707853882284</v>
      </c>
      <c r="L80" s="82">
        <f>IF(Matchday!E82="","",Matchday!E82)</f>
        <v/>
      </c>
      <c r="M80" s="82">
        <f>IF(Matchday!F82="","",Matchday!F82)</f>
        <v/>
      </c>
      <c r="N80" s="82">
        <f>IF(Matchday!G82="","",Matchday!G82)</f>
        <v/>
      </c>
      <c r="O80" s="54">
        <f>IF(L80="","",1/L80)</f>
        <v/>
      </c>
      <c r="P80" s="54">
        <f>IF(M80="","",1/M80)</f>
        <v/>
      </c>
      <c r="Q80" s="54">
        <f>IF(N80="","",1/N80)</f>
        <v/>
      </c>
      <c r="R80" s="54">
        <f>IF(COUNT(L80:N80)&lt;3,"",O80+P80+Q80)</f>
        <v/>
      </c>
      <c r="S80" s="54">
        <f t="array" ref="S80">IF($R80="","",IF(Method!$B$56="proportional",O80/$R80,IF(Method!$B$56="power",IFERROR(INDEX(power_devig($L80,$M80,$N80),1,1),O80/$R80),IFERROR(INDEX(shin($L80,$M80,$N80),1,1),O80/$R80))))</f>
        <v/>
      </c>
      <c r="T80" s="54">
        <f t="array" ref="T80">IF($R80="","",IF(Method!$B$56="proportional",P80/$R80,IF(Method!$B$56="power",IFERROR(INDEX(power_devig($L80,$M80,$N80),2,1),P80/$R80),IFERROR(INDEX(shin($L80,$M80,$N80),2,1),P80/$R80))))</f>
        <v/>
      </c>
      <c r="U80" s="54">
        <f t="array" ref="U80">IF($R80="","",IF(Method!$B$56="proportional",Q80/$R80,IF(Method!$B$56="power",IFERROR(INDEX(power_devig($L80,$M80,$N80),3,1),Q80/$R80),IFERROR(INDEX(shin($L80,$M80,$N80),3,1),Q80/$R80))))</f>
        <v/>
      </c>
      <c r="V80" s="54">
        <f>IF(S80="","",Method!$B$4*IF(BC80="",I80,BC80)+(1-Method!$B$4)*S80/($S80+$T80+$U80))</f>
        <v/>
      </c>
      <c r="W80" s="54">
        <f>IF(T80="","",Method!$B$4*IF(BD80="",J80,BD80)+(1-Method!$B$4)*T80/($S80+$T80+$U80))</f>
        <v/>
      </c>
      <c r="X80" s="54">
        <f>IF(U80="","",Method!$B$4*IF(BE80="",K80,BE80)+(1-Method!$B$4)*U80/($S80+$T80+$U80))</f>
        <v/>
      </c>
      <c r="Y80" s="54">
        <f>IF(V80="","",V80*L80-1)</f>
        <v/>
      </c>
      <c r="Z80" s="54">
        <f>IF(W80="","",W80*M80-1)</f>
        <v/>
      </c>
      <c r="AA80" s="54">
        <f>IF(X80="","",X80*N80-1)</f>
        <v/>
      </c>
      <c r="AB80" s="54">
        <f>IF(Y80="","",MATCH(MAX(Y80:AA80),Y80:AA80,0))</f>
        <v/>
      </c>
      <c r="AC80" s="54">
        <f>IF(AB80="","",CHOOSE(AB80,"H","D","A"))</f>
        <v/>
      </c>
      <c r="AD80" s="54">
        <f>IF(AB80="","",CHOOSE(AB80,"1  "&amp;D80,"X  Draw","2  "&amp;E80))</f>
        <v/>
      </c>
      <c r="AE80" s="82">
        <f>IF(AB80="","",INDEX(L80:N80,1,AB80))</f>
        <v/>
      </c>
      <c r="AF80" s="54">
        <f>IF(AB80="","",INDEX(Y80:AA80,1,AB80))</f>
        <v/>
      </c>
      <c r="AG80" s="54">
        <f>IF(AB80="","",INDEX(V80:X80,1,AB80)-INDEX(S80:U80,1,AB80))</f>
        <v/>
      </c>
      <c r="AH80" s="54">
        <f>IF(AB80="","· enter odds",IF(OR(AF80&gt;Method!$B$87,IFERROR(INDEX(BC80:BE80,1,AB80)/INDEX(S80:U80,1,AB80),0)&gt;Method!$B$88),"PASS",IF(AND(AF80&gt;=Method!$B$7,AG80&gt;=Method!$B$8),"BET","PASS")))</f>
        <v/>
      </c>
      <c r="AI80" s="54">
        <f>IF(AH80&lt;&gt;"BET",0,ROUND(MIN(Method!$B$6,Method!$B$5*AL80)*100,1))</f>
        <v/>
      </c>
      <c r="AJ80" s="54">
        <f>IF(OR(AH80&lt;&gt;"BET",Method!$B$55=TRUE()),0,IF(AI80*Method!$B$10/100&lt;Method!$B$9,0,ROUND(AI80*Method!$B$10/100,0)))</f>
        <v/>
      </c>
      <c r="AK80" s="54">
        <f>IF(AB80="","",INDEX(V80:X80,1,AB80))</f>
        <v/>
      </c>
      <c r="AL80" s="54">
        <f>IF(AH80&lt;&gt;"BET","",MAX(0,(AK80*AE80-1)/(AE80-1)))</f>
        <v/>
      </c>
      <c r="AM80" s="54">
        <f>IF(AH80="BET",AF80+A80/1000000,"")</f>
        <v/>
      </c>
      <c r="AN80" s="54">
        <f>IF(Matchday!N82="","",Matchday!N82)</f>
        <v/>
      </c>
      <c r="AO80" s="54">
        <f>IF(Matchday!P82="","",Matchday!P82)</f>
        <v/>
      </c>
      <c r="AP80" s="54">
        <f>IF(Matchday!Q82="","",Matchday!Q82)</f>
        <v/>
      </c>
      <c r="AQ80" s="54">
        <f>IF(Matchday!R82="","",Matchday!R82)</f>
        <v/>
      </c>
      <c r="AR80" s="54">
        <f>IF(OR(AN80&lt;&gt;"Y",AQ80="",AV80=""),"",IF(AQ80="Void",0,IF(AQ80=AV80,ROUND(AP80*(AO80-1),2),-AP80)))</f>
        <v/>
      </c>
      <c r="AS80" s="54">
        <f>IF(AR80="","",SUM($AR$2:AR80))</f>
        <v/>
      </c>
      <c r="AT80" s="54">
        <f>IF(AB80="","Type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pauses.")),IF(AH80="BET",IF(AJ80=0,"Edge found but stake rounds under £"&amp;Method!$B$9&amp;" — skip",IF(AND(AE80&gt;=6,AG80&gt;=0.15),"🟡 WAIT — long-shot review: odds "&amp;TEXT(AE80,"0.00")&amp;" + edge "&amp;TEXT(AG80,"0.0%")&amp;" — verify sharp-book + team news + stake comfort before Placed=Y","Value found: EV "&amp;TEXT(AF80,"0.0%")&amp;", edge "&amp;TEXT(AG80,"0.0%"))),IF(OR(AF80&gt;Method!$B$87,IFERROR(INDEX(BC80:BE80,1,AB80)/INDEX(S80:U80,1,AB80),0)&gt;Method!$B$88),"🛑 Tail trap — auto-PASS · EV "&amp;TEXT(AF80,"0.0%")&amp;" (cap "&amp;TEXT(Method!$B$87,"0%")&amp;") · model/market "&amp;TEXT(IFERROR(INDEX(BC80:BE80,1,AB80)/INDEX(S80:U80,1,AB80),0),"0.0")&amp;"× (cap "&amp;TEXT(Method!$B$88,"0.0")&amp;"×)",IF(AF80&lt;Method!$B$7,"Price too short — EV "&amp;TEXT(AF80,"0.0%")&amp;" (need "&amp;TEXT(Method!$B$7,"0.0%")&amp;"+)","Model ≈ market — edge "&amp;TEXT(AG80,"0.0%")&amp;" (need "&amp;TEXT(Method!$B$8,"0.0%")&amp;"+)")))))</f>
        <v/>
      </c>
      <c r="AU80" s="54">
        <f>IF(AN80&lt;&gt;"Y","",IF(AH80="· enter odds","⚠ type the 3 odds (1/X/2) to grade this bet",IF(OR(AV80="",AO80="",AP80=""),"⚠ log backed pick, odds &amp; stake",IF(AZ80&lt;&gt;"BET","⚠ FUN BET — engine said pass · staked £"&amp;AP80&amp;" vs engine £"&amp;BA80,IF(AV80&lt;&gt;IF(AY80="",AC80,AY80),"⚠ backed "&amp;AV80&amp;" but engine pick was "&amp;IF(AY80="",AC80,AY80),IF(AP80&gt;BA80,"⚠ stake over engine £"&amp;BA80,IF(ABS(AO80-IFERROR(INDEX(L80:N80,1,MATCH(AV80,{"H","D","A"},0)),AE80))&gt;0.02,"⚠ odds moved — re-check value","✓ engine bet")))))))</f>
        <v/>
      </c>
      <c r="AV80" s="54">
        <f>IF(Matchday!O82="","",Matchday!O82)</f>
        <v/>
      </c>
      <c r="AW80" s="54" t="n"/>
      <c r="AX80" s="54" t="n"/>
      <c r="AY80" s="54" t="n"/>
      <c r="AZ80" s="54">
        <f>IF(AW80="",AH80,AW80)</f>
        <v/>
      </c>
      <c r="BA80" s="54">
        <f>IF(AX80&lt;&gt;"",AX80,IF(AH80&lt;&gt;"BET",0,IF(AI80*Method!$B$10/100&lt;Method!$B$9,0,ROUND(AI80*Method!$B$10/100,0))))</f>
        <v/>
      </c>
      <c r="BB80" s="14" t="n">
        <v>8.76</v>
      </c>
      <c r="BC80" s="14">
        <f>IF(I80="","",I80)</f>
        <v/>
      </c>
      <c r="BD80" s="14">
        <f>IF(J80="","",J80)</f>
        <v/>
      </c>
      <c r="BE80" s="14">
        <f>IF(K80="","",K80)</f>
        <v/>
      </c>
      <c r="BF80" s="14" t="inlineStr">
        <is>
          <t>Ecuador team-wide: +4 · Mexico team-wide: +5</t>
        </is>
      </c>
      <c r="BG80" s="14" t="n">
        <v>2240</v>
      </c>
      <c r="BH80" s="14" t="inlineStr">
        <is>
          <t>high_altitude_mild</t>
        </is>
      </c>
    </row>
    <row r="81" ht="15.75" customHeight="1" s="153">
      <c r="A81" s="54" t="n">
        <v>80</v>
      </c>
      <c r="B81" s="80" t="n">
        <v>46204</v>
      </c>
      <c r="C81" s="54" t="inlineStr">
        <is>
          <t>R32</t>
        </is>
      </c>
      <c r="D81" s="54" t="inlineStr">
        <is>
          <t>England</t>
        </is>
      </c>
      <c r="E81" s="54" t="inlineStr">
        <is>
          <t>DR Congo</t>
        </is>
      </c>
      <c r="F81" s="54" t="inlineStr">
        <is>
          <t>Atlanta, GA</t>
        </is>
      </c>
      <c r="G81" s="81" t="n">
        <v>0.5</v>
      </c>
      <c r="H81" s="54" t="n"/>
      <c r="I81" s="54" t="n">
        <v>0.6318885246983191</v>
      </c>
      <c r="J81" s="54" t="n">
        <v>0.2406410557770482</v>
      </c>
      <c r="K81" s="54" t="n">
        <v>0.1274704195246327</v>
      </c>
      <c r="L81" s="82">
        <f>IF(Matchday!E83="","",Matchday!E83)</f>
        <v/>
      </c>
      <c r="M81" s="82">
        <f>IF(Matchday!F83="","",Matchday!F83)</f>
        <v/>
      </c>
      <c r="N81" s="82">
        <f>IF(Matchday!G83="","",Matchday!G83)</f>
        <v/>
      </c>
      <c r="O81" s="54">
        <f>IF(L81="","",1/L81)</f>
        <v/>
      </c>
      <c r="P81" s="54">
        <f>IF(M81="","",1/M81)</f>
        <v/>
      </c>
      <c r="Q81" s="54">
        <f>IF(N81="","",1/N81)</f>
        <v/>
      </c>
      <c r="R81" s="54">
        <f>IF(COUNT(L81:N81)&lt;3,"",O81+P81+Q81)</f>
        <v/>
      </c>
      <c r="S81" s="54">
        <f t="array" ref="S81">IF($R81="","",IF(Method!$B$56="proportional",O81/$R81,IF(Method!$B$56="power",IFERROR(INDEX(power_devig($L81,$M81,$N81),1,1),O81/$R81),IFERROR(INDEX(shin($L81,$M81,$N81),1,1),O81/$R81))))</f>
        <v/>
      </c>
      <c r="T81" s="54">
        <f t="array" ref="T81">IF($R81="","",IF(Method!$B$56="proportional",P81/$R81,IF(Method!$B$56="power",IFERROR(INDEX(power_devig($L81,$M81,$N81),2,1),P81/$R81),IFERROR(INDEX(shin($L81,$M81,$N81),2,1),P81/$R81))))</f>
        <v/>
      </c>
      <c r="U81" s="54">
        <f t="array" ref="U81">IF($R81="","",IF(Method!$B$56="proportional",Q81/$R81,IF(Method!$B$56="power",IFERROR(INDEX(power_devig($L81,$M81,$N81),3,1),Q81/$R81),IFERROR(INDEX(shin($L81,$M81,$N81),3,1),Q81/$R81))))</f>
        <v/>
      </c>
      <c r="V81" s="54">
        <f>IF(S81="","",Method!$B$4*IF(BC81="",I81,BC81)+(1-Method!$B$4)*S81/($S81+$T81+$U81))</f>
        <v/>
      </c>
      <c r="W81" s="54">
        <f>IF(T81="","",Method!$B$4*IF(BD81="",J81,BD81)+(1-Method!$B$4)*T81/($S81+$T81+$U81))</f>
        <v/>
      </c>
      <c r="X81" s="54">
        <f>IF(U81="","",Method!$B$4*IF(BE81="",K81,BE81)+(1-Method!$B$4)*U81/($S81+$T81+$U81))</f>
        <v/>
      </c>
      <c r="Y81" s="54">
        <f>IF(V81="","",V81*L81-1)</f>
        <v/>
      </c>
      <c r="Z81" s="54">
        <f>IF(W81="","",W81*M81-1)</f>
        <v/>
      </c>
      <c r="AA81" s="54">
        <f>IF(X81="","",X81*N81-1)</f>
        <v/>
      </c>
      <c r="AB81" s="54">
        <f>IF(Y81="","",MATCH(MAX(Y81:AA81),Y81:AA81,0))</f>
        <v/>
      </c>
      <c r="AC81" s="54">
        <f>IF(AB81="","",CHOOSE(AB81,"H","D","A"))</f>
        <v/>
      </c>
      <c r="AD81" s="54">
        <f>IF(AB81="","",CHOOSE(AB81,"1  "&amp;D81,"X  Draw","2  "&amp;E81))</f>
        <v/>
      </c>
      <c r="AE81" s="82">
        <f>IF(AB81="","",INDEX(L81:N81,1,AB81))</f>
        <v/>
      </c>
      <c r="AF81" s="54">
        <f>IF(AB81="","",INDEX(Y81:AA81,1,AB81))</f>
        <v/>
      </c>
      <c r="AG81" s="54">
        <f>IF(AB81="","",INDEX(V81:X81,1,AB81)-INDEX(S81:U81,1,AB81))</f>
        <v/>
      </c>
      <c r="AH81" s="54">
        <f>IF(AB81="","· enter odds",IF(OR(AF81&gt;Method!$B$87,IFERROR(INDEX(BC81:BE81,1,AB81)/INDEX(S81:U81,1,AB81),0)&gt;Method!$B$88),"PASS",IF(AND(AF81&gt;=Method!$B$7,AG81&gt;=Method!$B$8),"BET","PASS")))</f>
        <v/>
      </c>
      <c r="AI81" s="54">
        <f>IF(AH81&lt;&gt;"BET",0,ROUND(MIN(Method!$B$6,Method!$B$5*AL81)*100,1))</f>
        <v/>
      </c>
      <c r="AJ81" s="54">
        <f>IF(OR(AH81&lt;&gt;"BET",Method!$B$55=TRUE()),0,IF(AI81*Method!$B$10/100&lt;Method!$B$9,0,ROUND(AI81*Method!$B$10/100,0)))</f>
        <v/>
      </c>
      <c r="AK81" s="54">
        <f>IF(AB81="","",INDEX(V81:X81,1,AB81))</f>
        <v/>
      </c>
      <c r="AL81" s="54">
        <f>IF(AH81&lt;&gt;"BET","",MAX(0,(AK81*AE81-1)/(AE81-1)))</f>
        <v/>
      </c>
      <c r="AM81" s="54">
        <f>IF(AH81="BET",AF81+A81/1000000,"")</f>
        <v/>
      </c>
      <c r="AN81" s="54">
        <f>IF(Matchday!N83="","",Matchday!N83)</f>
        <v/>
      </c>
      <c r="AO81" s="54">
        <f>IF(Matchday!P83="","",Matchday!P83)</f>
        <v/>
      </c>
      <c r="AP81" s="54">
        <f>IF(Matchday!Q83="","",Matchday!Q83)</f>
        <v/>
      </c>
      <c r="AQ81" s="54">
        <f>IF(Matchday!R83="","",Matchday!R83)</f>
        <v/>
      </c>
      <c r="AR81" s="54">
        <f>IF(OR(AN81&lt;&gt;"Y",AQ81="",AV81=""),"",IF(AQ81="Void",0,IF(AQ81=AV81,ROUND(AP81*(AO81-1),2),-AP81)))</f>
        <v/>
      </c>
      <c r="AS81" s="54">
        <f>IF(AR81="","",SUM($AR$2:AR81))</f>
        <v/>
      </c>
      <c r="AT81" s="54">
        <f>IF(AB81="","Type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pauses.")),IF(AH81="BET",IF(AJ81=0,"Edge found but stake rounds under £"&amp;Method!$B$9&amp;" — skip",IF(AND(AE81&gt;=6,AG81&gt;=0.15),"🟡 WAIT — long-shot review: odds "&amp;TEXT(AE81,"0.00")&amp;" + edge "&amp;TEXT(AG81,"0.0%")&amp;" — verify sharp-book + team news + stake comfort before Placed=Y","Value found: EV "&amp;TEXT(AF81,"0.0%")&amp;", edge "&amp;TEXT(AG81,"0.0%"))),IF(OR(AF81&gt;Method!$B$87,IFERROR(INDEX(BC81:BE81,1,AB81)/INDEX(S81:U81,1,AB81),0)&gt;Method!$B$88),"🛑 Tail trap — auto-PASS · EV "&amp;TEXT(AF81,"0.0%")&amp;" (cap "&amp;TEXT(Method!$B$87,"0%")&amp;") · model/market "&amp;TEXT(IFERROR(INDEX(BC81:BE81,1,AB81)/INDEX(S81:U81,1,AB81),0),"0.0")&amp;"× (cap "&amp;TEXT(Method!$B$88,"0.0")&amp;"×)",IF(AF81&lt;Method!$B$7,"Price too short — EV "&amp;TEXT(AF81,"0.0%")&amp;" (need "&amp;TEXT(Method!$B$7,"0.0%")&amp;"+)","Model ≈ market — edge "&amp;TEXT(AG81,"0.0%")&amp;" (need "&amp;TEXT(Method!$B$8,"0.0%")&amp;"+)")))))</f>
        <v/>
      </c>
      <c r="AU81" s="54">
        <f>IF(AN81&lt;&gt;"Y","",IF(AH81="· enter odds","⚠ type the 3 odds (1/X/2) to grade this bet",IF(OR(AV81="",AO81="",AP81=""),"⚠ log backed pick, odds &amp; stake",IF(AZ81&lt;&gt;"BET","⚠ FUN BET — engine said pass · staked £"&amp;AP81&amp;" vs engine £"&amp;BA81,IF(AV81&lt;&gt;IF(AY81="",AC81,AY81),"⚠ backed "&amp;AV81&amp;" but engine pick was "&amp;IF(AY81="",AC81,AY81),IF(AP81&gt;BA81,"⚠ stake over engine £"&amp;BA81,IF(ABS(AO81-IFERROR(INDEX(L81:N81,1,MATCH(AV81,{"H","D","A"},0)),AE81))&gt;0.02,"⚠ odds moved — re-check value","✓ engine bet")))))))</f>
        <v/>
      </c>
      <c r="AV81" s="54">
        <f>IF(Matchday!O83="","",Matchday!O83)</f>
        <v/>
      </c>
      <c r="AW81" s="54" t="n"/>
      <c r="AX81" s="54" t="n"/>
      <c r="AY81" s="54" t="n"/>
      <c r="AZ81" s="54">
        <f>IF(AW81="",AH81,AW81)</f>
        <v/>
      </c>
      <c r="BA81" s="54">
        <f>IF(AX81&lt;&gt;"",AX81,IF(AH81&lt;&gt;"BET",0,IF(AI81*Method!$B$10/100&lt;Method!$B$9,0,ROUND(AI81*Method!$B$10/100,0))))</f>
        <v/>
      </c>
      <c r="BB81" s="14" t="n">
        <v>-16.95</v>
      </c>
      <c r="BC81" s="14">
        <f>IF(I81="","",I81)</f>
        <v/>
      </c>
      <c r="BD81" s="14">
        <f>IF(J81="","",J81)</f>
        <v/>
      </c>
      <c r="BE81" s="14">
        <f>IF(K81="","",K81)</f>
        <v/>
      </c>
      <c r="BF81" s="14" t="inlineStr">
        <is>
          <t>DR Congo team-wide: -7 · England team-wide: -10</t>
        </is>
      </c>
      <c r="BG81" s="14" t="n">
        <v>320</v>
      </c>
      <c r="BH81" s="14" t="inlineStr">
        <is>
          <t>hot_humid_indoor</t>
        </is>
      </c>
    </row>
    <row r="82" ht="15.75" customHeight="1" s="153">
      <c r="A82" s="54" t="n">
        <v>81</v>
      </c>
      <c r="B82" s="80" t="n">
        <v>46204</v>
      </c>
      <c r="C82" s="54" t="inlineStr">
        <is>
          <t>R32</t>
        </is>
      </c>
      <c r="D82" s="54" t="inlineStr">
        <is>
          <t>United States</t>
        </is>
      </c>
      <c r="E82" s="54" t="inlineStr">
        <is>
          <t>Bosnia and Herzegovina</t>
        </is>
      </c>
      <c r="F82" s="54" t="inlineStr">
        <is>
          <t>Santa Clara, CA</t>
        </is>
      </c>
      <c r="G82" s="81" t="n">
        <v>0.7083333333333334</v>
      </c>
      <c r="H82" s="54" t="n"/>
      <c r="I82" s="54" t="n">
        <v>0.5461926068170933</v>
      </c>
      <c r="J82" s="54" t="n">
        <v>0.2654980730286261</v>
      </c>
      <c r="K82" s="54" t="n">
        <v>0.1883093201542806</v>
      </c>
      <c r="L82" s="82">
        <f>IF(Matchday!E84="","",Matchday!E84)</f>
        <v/>
      </c>
      <c r="M82" s="82">
        <f>IF(Matchday!F84="","",Matchday!F84)</f>
        <v/>
      </c>
      <c r="N82" s="82">
        <f>IF(Matchday!G84="","",Matchday!G84)</f>
        <v/>
      </c>
      <c r="O82" s="54">
        <f>IF(L82="","",1/L82)</f>
        <v/>
      </c>
      <c r="P82" s="54">
        <f>IF(M82="","",1/M82)</f>
        <v/>
      </c>
      <c r="Q82" s="54">
        <f>IF(N82="","",1/N82)</f>
        <v/>
      </c>
      <c r="R82" s="54">
        <f>IF(COUNT(L82:N82)&lt;3,"",O82+P82+Q82)</f>
        <v/>
      </c>
      <c r="S82" s="54">
        <f t="array" ref="S82">IF($R82="","",IF(Method!$B$56="proportional",O82/$R82,IF(Method!$B$56="power",IFERROR(INDEX(power_devig($L82,$M82,$N82),1,1),O82/$R82),IFERROR(INDEX(shin($L82,$M82,$N82),1,1),O82/$R82))))</f>
        <v/>
      </c>
      <c r="T82" s="54">
        <f t="array" ref="T82">IF($R82="","",IF(Method!$B$56="proportional",P82/$R82,IF(Method!$B$56="power",IFERROR(INDEX(power_devig($L82,$M82,$N82),2,1),P82/$R82),IFERROR(INDEX(shin($L82,$M82,$N82),2,1),P82/$R82))))</f>
        <v/>
      </c>
      <c r="U82" s="54">
        <f t="array" ref="U82">IF($R82="","",IF(Method!$B$56="proportional",Q82/$R82,IF(Method!$B$56="power",IFERROR(INDEX(power_devig($L82,$M82,$N82),3,1),Q82/$R82),IFERROR(INDEX(shin($L82,$M82,$N82),3,1),Q82/$R82))))</f>
        <v/>
      </c>
      <c r="V82" s="54">
        <f>IF(S82="","",Method!$B$4*IF(BC82="",I82,BC82)+(1-Method!$B$4)*S82/($S82+$T82+$U82))</f>
        <v/>
      </c>
      <c r="W82" s="54">
        <f>IF(T82="","",Method!$B$4*IF(BD82="",J82,BD82)+(1-Method!$B$4)*T82/($S82+$T82+$U82))</f>
        <v/>
      </c>
      <c r="X82" s="54">
        <f>IF(U82="","",Method!$B$4*IF(BE82="",K82,BE82)+(1-Method!$B$4)*U82/($S82+$T82+$U82))</f>
        <v/>
      </c>
      <c r="Y82" s="54">
        <f>IF(V82="","",V82*L82-1)</f>
        <v/>
      </c>
      <c r="Z82" s="54">
        <f>IF(W82="","",W82*M82-1)</f>
        <v/>
      </c>
      <c r="AA82" s="54">
        <f>IF(X82="","",X82*N82-1)</f>
        <v/>
      </c>
      <c r="AB82" s="54">
        <f>IF(Y82="","",MATCH(MAX(Y82:AA82),Y82:AA82,0))</f>
        <v/>
      </c>
      <c r="AC82" s="54">
        <f>IF(AB82="","",CHOOSE(AB82,"H","D","A"))</f>
        <v/>
      </c>
      <c r="AD82" s="54">
        <f>IF(AB82="","",CHOOSE(AB82,"1  "&amp;D82,"X  Draw","2  "&amp;E82))</f>
        <v/>
      </c>
      <c r="AE82" s="82">
        <f>IF(AB82="","",INDEX(L82:N82,1,AB82))</f>
        <v/>
      </c>
      <c r="AF82" s="54">
        <f>IF(AB82="","",INDEX(Y82:AA82,1,AB82))</f>
        <v/>
      </c>
      <c r="AG82" s="54">
        <f>IF(AB82="","",INDEX(V82:X82,1,AB82)-INDEX(S82:U82,1,AB82))</f>
        <v/>
      </c>
      <c r="AH82" s="54">
        <f>IF(AB82="","· enter odds",IF(OR(AF82&gt;Method!$B$87,IFERROR(INDEX(BC82:BE82,1,AB82)/INDEX(S82:U82,1,AB82),0)&gt;Method!$B$88),"PASS",IF(AND(AF82&gt;=Method!$B$7,AG82&gt;=Method!$B$8),"BET","PASS")))</f>
        <v/>
      </c>
      <c r="AI82" s="54">
        <f>IF(AH82&lt;&gt;"BET",0,ROUND(MIN(Method!$B$6,Method!$B$5*AL82)*100,1))</f>
        <v/>
      </c>
      <c r="AJ82" s="54">
        <f>IF(OR(AH82&lt;&gt;"BET",Method!$B$55=TRUE()),0,IF(AI82*Method!$B$10/100&lt;Method!$B$9,0,ROUND(AI82*Method!$B$10/100,0)))</f>
        <v/>
      </c>
      <c r="AK82" s="54">
        <f>IF(AB82="","",INDEX(V82:X82,1,AB82))</f>
        <v/>
      </c>
      <c r="AL82" s="54">
        <f>IF(AH82&lt;&gt;"BET","",MAX(0,(AK82*AE82-1)/(AE82-1)))</f>
        <v/>
      </c>
      <c r="AM82" s="54">
        <f>IF(AH82="BET",AF82+A82/1000000,"")</f>
        <v/>
      </c>
      <c r="AN82" s="54">
        <f>IF(Matchday!N84="","",Matchday!N84)</f>
        <v/>
      </c>
      <c r="AO82" s="54">
        <f>IF(Matchday!P84="","",Matchday!P84)</f>
        <v/>
      </c>
      <c r="AP82" s="54">
        <f>IF(Matchday!Q84="","",Matchday!Q84)</f>
        <v/>
      </c>
      <c r="AQ82" s="54">
        <f>IF(Matchday!R84="","",Matchday!R84)</f>
        <v/>
      </c>
      <c r="AR82" s="54">
        <f>IF(OR(AN82&lt;&gt;"Y",AQ82="",AV82=""),"",IF(AQ82="Void",0,IF(AQ82=AV82,ROUND(AP82*(AO82-1),2),-AP82)))</f>
        <v/>
      </c>
      <c r="AS82" s="54">
        <f>IF(AR82="","",SUM($AR$2:AR82))</f>
        <v/>
      </c>
      <c r="AT82" s="54">
        <f>IF(AB82="","Type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pauses.")),IF(AH82="BET",IF(AJ82=0,"Edge found but stake rounds under £"&amp;Method!$B$9&amp;" — skip",IF(AND(AE82&gt;=6,AG82&gt;=0.15),"🟡 WAIT — long-shot review: odds "&amp;TEXT(AE82,"0.00")&amp;" + edge "&amp;TEXT(AG82,"0.0%")&amp;" — verify sharp-book + team news + stake comfort before Placed=Y","Value found: EV "&amp;TEXT(AF82,"0.0%")&amp;", edge "&amp;TEXT(AG82,"0.0%"))),IF(OR(AF82&gt;Method!$B$87,IFERROR(INDEX(BC82:BE82,1,AB82)/INDEX(S82:U82,1,AB82),0)&gt;Method!$B$88),"🛑 Tail trap — auto-PASS · EV "&amp;TEXT(AF82,"0.0%")&amp;" (cap "&amp;TEXT(Method!$B$87,"0%")&amp;") · model/market "&amp;TEXT(IFERROR(INDEX(BC82:BE82,1,AB82)/INDEX(S82:U82,1,AB82),0),"0.0")&amp;"× (cap "&amp;TEXT(Method!$B$88,"0.0")&amp;"×)",IF(AF82&lt;Method!$B$7,"Price too short — EV "&amp;TEXT(AF82,"0.0%")&amp;" (need "&amp;TEXT(Method!$B$7,"0.0%")&amp;"+)","Model ≈ market — edge "&amp;TEXT(AG82,"0.0%")&amp;" (need "&amp;TEXT(Method!$B$8,"0.0%")&amp;"+)")))))</f>
        <v/>
      </c>
      <c r="AU82" s="54">
        <f>IF(AN82&lt;&gt;"Y","",IF(AH82="· enter odds","⚠ type the 3 odds (1/X/2) to grade this bet",IF(OR(AV82="",AO82="",AP82=""),"⚠ log backed pick, odds &amp; stake",IF(AZ82&lt;&gt;"BET","⚠ FUN BET — engine said pass · staked £"&amp;AP82&amp;" vs engine £"&amp;BA82,IF(AV82&lt;&gt;IF(AY82="",AC82,AY82),"⚠ backed "&amp;AV82&amp;" but engine pick was "&amp;IF(AY82="",AC82,AY82),IF(AP82&gt;BA82,"⚠ stake over engine £"&amp;BA82,IF(ABS(AO82-IFERROR(INDEX(L82:N82,1,MATCH(AV82,{"H","D","A"},0)),AE82))&gt;0.02,"⚠ odds moved — re-check value","✓ engine bet")))))))</f>
        <v/>
      </c>
      <c r="AV82" s="54">
        <f>IF(Matchday!O84="","",Matchday!O84)</f>
        <v/>
      </c>
      <c r="AW82" s="54" t="n"/>
      <c r="AX82" s="54" t="n"/>
      <c r="AY82" s="54" t="n"/>
      <c r="AZ82" s="54">
        <f>IF(AW82="",AH82,AW82)</f>
        <v/>
      </c>
      <c r="BA82" s="54">
        <f>IF(AX82&lt;&gt;"",AX82,IF(AH82&lt;&gt;"BET",0,IF(AI82*Method!$B$10/100&lt;Method!$B$9,0,ROUND(AI82*Method!$B$10/100,0))))</f>
        <v/>
      </c>
      <c r="BB82" s="14" t="n">
        <v>-32.83</v>
      </c>
      <c r="BC82" s="14">
        <f>IF(I82="","",I82)</f>
        <v/>
      </c>
      <c r="BD82" s="14">
        <f>IF(J82="","",J82)</f>
        <v/>
      </c>
      <c r="BE82" s="14">
        <f>IF(K82="","",K82)</f>
        <v/>
      </c>
      <c r="BF82" s="14" t="inlineStr">
        <is>
          <t>Bosnia and Herzegovina team-wide: -15 · United States team-wide: -18</t>
        </is>
      </c>
      <c r="BG82" s="14" t="n">
        <v>0</v>
      </c>
    </row>
    <row r="83" ht="15.75" customHeight="1" s="153">
      <c r="A83" s="54" t="n">
        <v>82</v>
      </c>
      <c r="B83" s="80" t="n">
        <v>46204</v>
      </c>
      <c r="C83" s="54" t="inlineStr">
        <is>
          <t>R32</t>
        </is>
      </c>
      <c r="D83" s="54" t="inlineStr">
        <is>
          <t>Belgium</t>
        </is>
      </c>
      <c r="E83" s="54" t="inlineStr">
        <is>
          <t>Senegal</t>
        </is>
      </c>
      <c r="F83" s="54" t="inlineStr">
        <is>
          <t>Seattle, WA</t>
        </is>
      </c>
      <c r="G83" s="81" t="n">
        <v>0.5416666666666666</v>
      </c>
      <c r="H83" s="54" t="n"/>
      <c r="I83" s="54" t="n">
        <v>0.4356478310158005</v>
      </c>
      <c r="J83" s="54" t="n">
        <v>0.2846396739735638</v>
      </c>
      <c r="K83" s="54" t="n">
        <v>0.2797124950106356</v>
      </c>
      <c r="L83" s="82">
        <f>IF(Matchday!E85="","",Matchday!E85)</f>
        <v/>
      </c>
      <c r="M83" s="82">
        <f>IF(Matchday!F85="","",Matchday!F85)</f>
        <v/>
      </c>
      <c r="N83" s="82">
        <f>IF(Matchday!G85="","",Matchday!G85)</f>
        <v/>
      </c>
      <c r="O83" s="54">
        <f>IF(L83="","",1/L83)</f>
        <v/>
      </c>
      <c r="P83" s="54">
        <f>IF(M83="","",1/M83)</f>
        <v/>
      </c>
      <c r="Q83" s="54">
        <f>IF(N83="","",1/N83)</f>
        <v/>
      </c>
      <c r="R83" s="54">
        <f>IF(COUNT(L83:N83)&lt;3,"",O83+P83+Q83)</f>
        <v/>
      </c>
      <c r="S83" s="54">
        <f t="array" ref="S83">IF($R83="","",IF(Method!$B$56="proportional",O83/$R83,IF(Method!$B$56="power",IFERROR(INDEX(power_devig($L83,$M83,$N83),1,1),O83/$R83),IFERROR(INDEX(shin($L83,$M83,$N83),1,1),O83/$R83))))</f>
        <v/>
      </c>
      <c r="T83" s="54">
        <f t="array" ref="T83">IF($R83="","",IF(Method!$B$56="proportional",P83/$R83,IF(Method!$B$56="power",IFERROR(INDEX(power_devig($L83,$M83,$N83),2,1),P83/$R83),IFERROR(INDEX(shin($L83,$M83,$N83),2,1),P83/$R83))))</f>
        <v/>
      </c>
      <c r="U83" s="54">
        <f t="array" ref="U83">IF($R83="","",IF(Method!$B$56="proportional",Q83/$R83,IF(Method!$B$56="power",IFERROR(INDEX(power_devig($L83,$M83,$N83),3,1),Q83/$R83),IFERROR(INDEX(shin($L83,$M83,$N83),3,1),Q83/$R83))))</f>
        <v/>
      </c>
      <c r="V83" s="54">
        <f>IF(S83="","",Method!$B$4*IF(BC83="",I83,BC83)+(1-Method!$B$4)*S83/($S83+$T83+$U83))</f>
        <v/>
      </c>
      <c r="W83" s="54">
        <f>IF(T83="","",Method!$B$4*IF(BD83="",J83,BD83)+(1-Method!$B$4)*T83/($S83+$T83+$U83))</f>
        <v/>
      </c>
      <c r="X83" s="54">
        <f>IF(U83="","",Method!$B$4*IF(BE83="",K83,BE83)+(1-Method!$B$4)*U83/($S83+$T83+$U83))</f>
        <v/>
      </c>
      <c r="Y83" s="54">
        <f>IF(V83="","",V83*L83-1)</f>
        <v/>
      </c>
      <c r="Z83" s="54">
        <f>IF(W83="","",W83*M83-1)</f>
        <v/>
      </c>
      <c r="AA83" s="54">
        <f>IF(X83="","",X83*N83-1)</f>
        <v/>
      </c>
      <c r="AB83" s="54">
        <f>IF(Y83="","",MATCH(MAX(Y83:AA83),Y83:AA83,0))</f>
        <v/>
      </c>
      <c r="AC83" s="54">
        <f>IF(AB83="","",CHOOSE(AB83,"H","D","A"))</f>
        <v/>
      </c>
      <c r="AD83" s="54">
        <f>IF(AB83="","",CHOOSE(AB83,"1  "&amp;D83,"X  Draw","2  "&amp;E83))</f>
        <v/>
      </c>
      <c r="AE83" s="82">
        <f>IF(AB83="","",INDEX(L83:N83,1,AB83))</f>
        <v/>
      </c>
      <c r="AF83" s="54">
        <f>IF(AB83="","",INDEX(Y83:AA83,1,AB83))</f>
        <v/>
      </c>
      <c r="AG83" s="54">
        <f>IF(AB83="","",INDEX(V83:X83,1,AB83)-INDEX(S83:U83,1,AB83))</f>
        <v/>
      </c>
      <c r="AH83" s="54">
        <f>IF(AB83="","· enter odds",IF(OR(AF83&gt;Method!$B$87,IFERROR(INDEX(BC83:BE83,1,AB83)/INDEX(S83:U83,1,AB83),0)&gt;Method!$B$88),"PASS",IF(AND(AF83&gt;=Method!$B$7,AG83&gt;=Method!$B$8),"BET","PASS")))</f>
        <v/>
      </c>
      <c r="AI83" s="54">
        <f>IF(AH83&lt;&gt;"BET",0,ROUND(MIN(Method!$B$6,Method!$B$5*AL83)*100,1))</f>
        <v/>
      </c>
      <c r="AJ83" s="54">
        <f>IF(OR(AH83&lt;&gt;"BET",Method!$B$55=TRUE()),0,IF(AI83*Method!$B$10/100&lt;Method!$B$9,0,ROUND(AI83*Method!$B$10/100,0)))</f>
        <v/>
      </c>
      <c r="AK83" s="54">
        <f>IF(AB83="","",INDEX(V83:X83,1,AB83))</f>
        <v/>
      </c>
      <c r="AL83" s="54">
        <f>IF(AH83&lt;&gt;"BET","",MAX(0,(AK83*AE83-1)/(AE83-1)))</f>
        <v/>
      </c>
      <c r="AM83" s="54">
        <f>IF(AH83="BET",AF83+A83/1000000,"")</f>
        <v/>
      </c>
      <c r="AN83" s="54">
        <f>IF(Matchday!N85="","",Matchday!N85)</f>
        <v/>
      </c>
      <c r="AO83" s="54">
        <f>IF(Matchday!P85="","",Matchday!P85)</f>
        <v/>
      </c>
      <c r="AP83" s="54">
        <f>IF(Matchday!Q85="","",Matchday!Q85)</f>
        <v/>
      </c>
      <c r="AQ83" s="54">
        <f>IF(Matchday!R85="","",Matchday!R85)</f>
        <v/>
      </c>
      <c r="AR83" s="54">
        <f>IF(OR(AN83&lt;&gt;"Y",AQ83="",AV83=""),"",IF(AQ83="Void",0,IF(AQ83=AV83,ROUND(AP83*(AO83-1),2),-AP83)))</f>
        <v/>
      </c>
      <c r="AS83" s="54">
        <f>IF(AR83="","",SUM($AR$2:AR83))</f>
        <v/>
      </c>
      <c r="AT83" s="54">
        <f>IF(AB83="","Type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pauses.")),IF(AH83="BET",IF(AJ83=0,"Edge found but stake rounds under £"&amp;Method!$B$9&amp;" — skip",IF(AND(AE83&gt;=6,AG83&gt;=0.15),"🟡 WAIT — long-shot review: odds "&amp;TEXT(AE83,"0.00")&amp;" + edge "&amp;TEXT(AG83,"0.0%")&amp;" — verify sharp-book + team news + stake comfort before Placed=Y","Value found: EV "&amp;TEXT(AF83,"0.0%")&amp;", edge "&amp;TEXT(AG83,"0.0%"))),IF(OR(AF83&gt;Method!$B$87,IFERROR(INDEX(BC83:BE83,1,AB83)/INDEX(S83:U83,1,AB83),0)&gt;Method!$B$88),"🛑 Tail trap — auto-PASS · EV "&amp;TEXT(AF83,"0.0%")&amp;" (cap "&amp;TEXT(Method!$B$87,"0%")&amp;") · model/market "&amp;TEXT(IFERROR(INDEX(BC83:BE83,1,AB83)/INDEX(S83:U83,1,AB83),0),"0.0")&amp;"× (cap "&amp;TEXT(Method!$B$88,"0.0")&amp;"×)",IF(AF83&lt;Method!$B$7,"Price too short — EV "&amp;TEXT(AF83,"0.0%")&amp;" (need "&amp;TEXT(Method!$B$7,"0.0%")&amp;"+)","Model ≈ market — edge "&amp;TEXT(AG83,"0.0%")&amp;" (need "&amp;TEXT(Method!$B$8,"0.0%")&amp;"+)")))))</f>
        <v/>
      </c>
      <c r="AU83" s="54">
        <f>IF(AN83&lt;&gt;"Y","",IF(AH83="· enter odds","⚠ type the 3 odds (1/X/2) to grade this bet",IF(OR(AV83="",AO83="",AP83=""),"⚠ log backed pick, odds &amp; stake",IF(AZ83&lt;&gt;"BET","⚠ FUN BET — engine said pass · staked £"&amp;AP83&amp;" vs engine £"&amp;BA83,IF(AV83&lt;&gt;IF(AY83="",AC83,AY83),"⚠ backed "&amp;AV83&amp;" but engine pick was "&amp;IF(AY83="",AC83,AY83),IF(AP83&gt;BA83,"⚠ stake over engine £"&amp;BA83,IF(ABS(AO83-IFERROR(INDEX(L83:N83,1,MATCH(AV83,{"H","D","A"},0)),AE83))&gt;0.02,"⚠ odds moved — re-check value","✓ engine bet")))))))</f>
        <v/>
      </c>
      <c r="AV83" s="54">
        <f>IF(Matchday!O85="","",Matchday!O85)</f>
        <v/>
      </c>
      <c r="AW83" s="54" t="n"/>
      <c r="AX83" s="54" t="n"/>
      <c r="AY83" s="54" t="n"/>
      <c r="AZ83" s="54">
        <f>IF(AW83="",AH83,AW83)</f>
        <v/>
      </c>
      <c r="BA83" s="54">
        <f>IF(AX83&lt;&gt;"",AX83,IF(AH83&lt;&gt;"BET",0,IF(AI83*Method!$B$10/100&lt;Method!$B$9,0,ROUND(AI83*Method!$B$10/100,0))))</f>
        <v/>
      </c>
      <c r="BB83" s="14" t="n">
        <v>-29.11</v>
      </c>
      <c r="BC83" s="14">
        <f>IF(I83="","",I83)</f>
        <v/>
      </c>
      <c r="BD83" s="14">
        <f>IF(J83="","",J83)</f>
        <v/>
      </c>
      <c r="BE83" s="14">
        <f>IF(K83="","",K83)</f>
        <v/>
      </c>
      <c r="BF83" s="14" t="inlineStr">
        <is>
          <t>Belgium team-wide: -17 · Senegal team-wide: -12</t>
        </is>
      </c>
      <c r="BG83" s="14" t="n">
        <v>5</v>
      </c>
      <c r="BH83" s="14" t="inlineStr">
        <is>
          <t>mild</t>
        </is>
      </c>
    </row>
    <row r="84" ht="15.75" customHeight="1" s="153">
      <c r="A84" s="54" t="n">
        <v>83</v>
      </c>
      <c r="B84" s="80" t="n">
        <v>46205</v>
      </c>
      <c r="C84" s="54" t="inlineStr">
        <is>
          <t>R32</t>
        </is>
      </c>
      <c r="D84" s="54" t="inlineStr">
        <is>
          <t>Portugal</t>
        </is>
      </c>
      <c r="E84" s="54" t="inlineStr">
        <is>
          <t>Croatia</t>
        </is>
      </c>
      <c r="F84" s="54" t="inlineStr">
        <is>
          <t>Toronto</t>
        </is>
      </c>
      <c r="G84" s="81" t="n">
        <v>0.7916666666666666</v>
      </c>
      <c r="H84" s="54" t="n"/>
      <c r="I84" s="54" t="n">
        <v>0.4461957148709379</v>
      </c>
      <c r="J84" s="54" t="n">
        <v>0.2754117375073073</v>
      </c>
      <c r="K84" s="54" t="n">
        <v>0.2783925476217547</v>
      </c>
      <c r="L84" s="82">
        <f>IF(Matchday!E86="","",Matchday!E86)</f>
        <v/>
      </c>
      <c r="M84" s="82">
        <f>IF(Matchday!F86="","",Matchday!F86)</f>
        <v/>
      </c>
      <c r="N84" s="82">
        <f>IF(Matchday!G86="","",Matchday!G86)</f>
        <v/>
      </c>
      <c r="O84" s="54">
        <f>IF(L84="","",1/L84)</f>
        <v/>
      </c>
      <c r="P84" s="54">
        <f>IF(M84="","",1/M84)</f>
        <v/>
      </c>
      <c r="Q84" s="54">
        <f>IF(N84="","",1/N84)</f>
        <v/>
      </c>
      <c r="R84" s="54">
        <f>IF(COUNT(L84:N84)&lt;3,"",O84+P84+Q84)</f>
        <v/>
      </c>
      <c r="S84" s="54">
        <f t="array" ref="S84">IF($R84="","",IF(Method!$B$56="proportional",O84/$R84,IF(Method!$B$56="power",IFERROR(INDEX(power_devig($L84,$M84,$N84),1,1),O84/$R84),IFERROR(INDEX(shin($L84,$M84,$N84),1,1),O84/$R84))))</f>
        <v/>
      </c>
      <c r="T84" s="54">
        <f t="array" ref="T84">IF($R84="","",IF(Method!$B$56="proportional",P84/$R84,IF(Method!$B$56="power",IFERROR(INDEX(power_devig($L84,$M84,$N84),2,1),P84/$R84),IFERROR(INDEX(shin($L84,$M84,$N84),2,1),P84/$R84))))</f>
        <v/>
      </c>
      <c r="U84" s="54">
        <f t="array" ref="U84">IF($R84="","",IF(Method!$B$56="proportional",Q84/$R84,IF(Method!$B$56="power",IFERROR(INDEX(power_devig($L84,$M84,$N84),3,1),Q84/$R84),IFERROR(INDEX(shin($L84,$M84,$N84),3,1),Q84/$R84))))</f>
        <v/>
      </c>
      <c r="V84" s="54">
        <f>IF(S84="","",Method!$B$4*IF(BC84="",I84,BC84)+(1-Method!$B$4)*S84/($S84+$T84+$U84))</f>
        <v/>
      </c>
      <c r="W84" s="54">
        <f>IF(T84="","",Method!$B$4*IF(BD84="",J84,BD84)+(1-Method!$B$4)*T84/($S84+$T84+$U84))</f>
        <v/>
      </c>
      <c r="X84" s="54">
        <f>IF(U84="","",Method!$B$4*IF(BE84="",K84,BE84)+(1-Method!$B$4)*U84/($S84+$T84+$U84))</f>
        <v/>
      </c>
      <c r="Y84" s="54">
        <f>IF(V84="","",V84*L84-1)</f>
        <v/>
      </c>
      <c r="Z84" s="54">
        <f>IF(W84="","",W84*M84-1)</f>
        <v/>
      </c>
      <c r="AA84" s="54">
        <f>IF(X84="","",X84*N84-1)</f>
        <v/>
      </c>
      <c r="AB84" s="54">
        <f>IF(Y84="","",MATCH(MAX(Y84:AA84),Y84:AA84,0))</f>
        <v/>
      </c>
      <c r="AC84" s="54">
        <f>IF(AB84="","",CHOOSE(AB84,"H","D","A"))</f>
        <v/>
      </c>
      <c r="AD84" s="54">
        <f>IF(AB84="","",CHOOSE(AB84,"1  "&amp;D84,"X  Draw","2  "&amp;E84))</f>
        <v/>
      </c>
      <c r="AE84" s="82">
        <f>IF(AB84="","",INDEX(L84:N84,1,AB84))</f>
        <v/>
      </c>
      <c r="AF84" s="54">
        <f>IF(AB84="","",INDEX(Y84:AA84,1,AB84))</f>
        <v/>
      </c>
      <c r="AG84" s="54">
        <f>IF(AB84="","",INDEX(V84:X84,1,AB84)-INDEX(S84:U84,1,AB84))</f>
        <v/>
      </c>
      <c r="AH84" s="54">
        <f>IF(AB84="","· enter odds",IF(OR(AF84&gt;Method!$B$87,IFERROR(INDEX(BC84:BE84,1,AB84)/INDEX(S84:U84,1,AB84),0)&gt;Method!$B$88),"PASS",IF(AND(AF84&gt;=Method!$B$7,AG84&gt;=Method!$B$8),"BET","PASS")))</f>
        <v/>
      </c>
      <c r="AI84" s="54">
        <f>IF(AH84&lt;&gt;"BET",0,ROUND(MIN(Method!$B$6,Method!$B$5*AL84)*100,1))</f>
        <v/>
      </c>
      <c r="AJ84" s="54">
        <f>IF(OR(AH84&lt;&gt;"BET",Method!$B$55=TRUE()),0,IF(AI84*Method!$B$10/100&lt;Method!$B$9,0,ROUND(AI84*Method!$B$10/100,0)))</f>
        <v/>
      </c>
      <c r="AK84" s="54">
        <f>IF(AB84="","",INDEX(V84:X84,1,AB84))</f>
        <v/>
      </c>
      <c r="AL84" s="54">
        <f>IF(AH84&lt;&gt;"BET","",MAX(0,(AK84*AE84-1)/(AE84-1)))</f>
        <v/>
      </c>
      <c r="AM84" s="54">
        <f>IF(AH84="BET",AF84+A84/1000000,"")</f>
        <v/>
      </c>
      <c r="AN84" s="54">
        <f>IF(Matchday!N86="","",Matchday!N86)</f>
        <v/>
      </c>
      <c r="AO84" s="54">
        <f>IF(Matchday!P86="","",Matchday!P86)</f>
        <v/>
      </c>
      <c r="AP84" s="54">
        <f>IF(Matchday!Q86="","",Matchday!Q86)</f>
        <v/>
      </c>
      <c r="AQ84" s="54">
        <f>IF(Matchday!R86="","",Matchday!R86)</f>
        <v/>
      </c>
      <c r="AR84" s="54">
        <f>IF(OR(AN84&lt;&gt;"Y",AQ84="",AV84=""),"",IF(AQ84="Void",0,IF(AQ84=AV84,ROUND(AP84*(AO84-1),2),-AP84)))</f>
        <v/>
      </c>
      <c r="AS84" s="54">
        <f>IF(AR84="","",SUM($AR$2:AR84))</f>
        <v/>
      </c>
      <c r="AT84" s="54">
        <f>IF(AB84="","Type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pauses.")),IF(AH84="BET",IF(AJ84=0,"Edge found but stake rounds under £"&amp;Method!$B$9&amp;" — skip",IF(AND(AE84&gt;=6,AG84&gt;=0.15),"🟡 WAIT — long-shot review: odds "&amp;TEXT(AE84,"0.00")&amp;" + edge "&amp;TEXT(AG84,"0.0%")&amp;" — verify sharp-book + team news + stake comfort before Placed=Y","Value found: EV "&amp;TEXT(AF84,"0.0%")&amp;", edge "&amp;TEXT(AG84,"0.0%"))),IF(OR(AF84&gt;Method!$B$87,IFERROR(INDEX(BC84:BE84,1,AB84)/INDEX(S84:U84,1,AB84),0)&gt;Method!$B$88),"🛑 Tail trap — auto-PASS · EV "&amp;TEXT(AF84,"0.0%")&amp;" (cap "&amp;TEXT(Method!$B$87,"0%")&amp;") · model/market "&amp;TEXT(IFERROR(INDEX(BC84:BE84,1,AB84)/INDEX(S84:U84,1,AB84),0),"0.0")&amp;"× (cap "&amp;TEXT(Method!$B$88,"0.0")&amp;"×)",IF(AF84&lt;Method!$B$7,"Price too short — EV "&amp;TEXT(AF84,"0.0%")&amp;" (need "&amp;TEXT(Method!$B$7,"0.0%")&amp;"+)","Model ≈ market — edge "&amp;TEXT(AG84,"0.0%")&amp;" (need "&amp;TEXT(Method!$B$8,"0.0%")&amp;"+)")))))</f>
        <v/>
      </c>
      <c r="AU84" s="54">
        <f>IF(AN84&lt;&gt;"Y","",IF(AH84="· enter odds","⚠ type the 3 odds (1/X/2) to grade this bet",IF(OR(AV84="",AO84="",AP84=""),"⚠ log backed pick, odds &amp; stake",IF(AZ84&lt;&gt;"BET","⚠ FUN BET — engine said pass · staked £"&amp;AP84&amp;" vs engine £"&amp;BA84,IF(AV84&lt;&gt;IF(AY84="",AC84,AY84),"⚠ backed "&amp;AV84&amp;" but engine pick was "&amp;IF(AY84="",AC84,AY84),IF(AP84&gt;BA84,"⚠ stake over engine £"&amp;BA84,IF(ABS(AO84-IFERROR(INDEX(L84:N84,1,MATCH(AV84,{"H","D","A"},0)),AE84))&gt;0.02,"⚠ odds moved — re-check value","✓ engine bet")))))))</f>
        <v/>
      </c>
      <c r="AV84" s="54">
        <f>IF(Matchday!O86="","",Matchday!O86)</f>
        <v/>
      </c>
      <c r="AW84" s="54" t="n"/>
      <c r="AX84" s="54" t="n"/>
      <c r="AY84" s="54" t="n"/>
      <c r="AZ84" s="54">
        <f>IF(AW84="",AH84,AW84)</f>
        <v/>
      </c>
      <c r="BA84" s="54">
        <f>IF(AX84&lt;&gt;"",AX84,IF(AH84&lt;&gt;"BET",0,IF(AI84*Method!$B$10/100&lt;Method!$B$9,0,ROUND(AI84*Method!$B$10/100,0))))</f>
        <v/>
      </c>
      <c r="BB84" s="14" t="n">
        <v>-0.6300000000000001</v>
      </c>
      <c r="BC84" s="14">
        <f>IF(I84="","",I84)</f>
        <v/>
      </c>
      <c r="BD84" s="14">
        <f>IF(J84="","",J84)</f>
        <v/>
      </c>
      <c r="BE84" s="14">
        <f>IF(K84="","",K84)</f>
        <v/>
      </c>
      <c r="BF84" s="14" t="inlineStr">
        <is>
          <t>Croatia team-wide: -2 · Portugal team-wide: +1</t>
        </is>
      </c>
      <c r="BG84" s="14" t="n">
        <v>76</v>
      </c>
      <c r="BH84" s="14" t="inlineStr">
        <is>
          <t>mild</t>
        </is>
      </c>
    </row>
    <row r="85" ht="15.75" customHeight="1" s="153">
      <c r="A85" s="54" t="n">
        <v>84</v>
      </c>
      <c r="B85" s="80" t="n">
        <v>46205</v>
      </c>
      <c r="C85" s="54" t="inlineStr">
        <is>
          <t>R32</t>
        </is>
      </c>
      <c r="D85" s="54" t="inlineStr">
        <is>
          <t>Spain</t>
        </is>
      </c>
      <c r="E85" s="54" t="inlineStr">
        <is>
          <t>Austria</t>
        </is>
      </c>
      <c r="F85" s="54" t="inlineStr">
        <is>
          <t>Inglewood, CA</t>
        </is>
      </c>
      <c r="G85" s="81" t="n">
        <v>0.5</v>
      </c>
      <c r="H85" s="54" t="n"/>
      <c r="I85" s="54" t="n">
        <v>0.7620282564050861</v>
      </c>
      <c r="J85" s="54" t="n">
        <v>0.1760789054501097</v>
      </c>
      <c r="K85" s="54" t="n">
        <v>0.06189283814480426</v>
      </c>
      <c r="L85" s="82">
        <f>IF(Matchday!E87="","",Matchday!E87)</f>
        <v/>
      </c>
      <c r="M85" s="82">
        <f>IF(Matchday!F87="","",Matchday!F87)</f>
        <v/>
      </c>
      <c r="N85" s="82">
        <f>IF(Matchday!G87="","",Matchday!G87)</f>
        <v/>
      </c>
      <c r="O85" s="54">
        <f>IF(L85="","",1/L85)</f>
        <v/>
      </c>
      <c r="P85" s="54">
        <f>IF(M85="","",1/M85)</f>
        <v/>
      </c>
      <c r="Q85" s="54">
        <f>IF(N85="","",1/N85)</f>
        <v/>
      </c>
      <c r="R85" s="54">
        <f>IF(COUNT(L85:N85)&lt;3,"",O85+P85+Q85)</f>
        <v/>
      </c>
      <c r="S85" s="54">
        <f t="array" ref="S85">IF($R85="","",IF(Method!$B$56="proportional",O85/$R85,IF(Method!$B$56="power",IFERROR(INDEX(power_devig($L85,$M85,$N85),1,1),O85/$R85),IFERROR(INDEX(shin($L85,$M85,$N85),1,1),O85/$R85))))</f>
        <v/>
      </c>
      <c r="T85" s="54">
        <f t="array" ref="T85">IF($R85="","",IF(Method!$B$56="proportional",P85/$R85,IF(Method!$B$56="power",IFERROR(INDEX(power_devig($L85,$M85,$N85),2,1),P85/$R85),IFERROR(INDEX(shin($L85,$M85,$N85),2,1),P85/$R85))))</f>
        <v/>
      </c>
      <c r="U85" s="54">
        <f t="array" ref="U85">IF($R85="","",IF(Method!$B$56="proportional",Q85/$R85,IF(Method!$B$56="power",IFERROR(INDEX(power_devig($L85,$M85,$N85),3,1),Q85/$R85),IFERROR(INDEX(shin($L85,$M85,$N85),3,1),Q85/$R85))))</f>
        <v/>
      </c>
      <c r="V85" s="54">
        <f>IF(S85="","",Method!$B$4*IF(BC85="",I85,BC85)+(1-Method!$B$4)*S85/($S85+$T85+$U85))</f>
        <v/>
      </c>
      <c r="W85" s="54">
        <f>IF(T85="","",Method!$B$4*IF(BD85="",J85,BD85)+(1-Method!$B$4)*T85/($S85+$T85+$U85))</f>
        <v/>
      </c>
      <c r="X85" s="54">
        <f>IF(U85="","",Method!$B$4*IF(BE85="",K85,BE85)+(1-Method!$B$4)*U85/($S85+$T85+$U85))</f>
        <v/>
      </c>
      <c r="Y85" s="54">
        <f>IF(V85="","",V85*L85-1)</f>
        <v/>
      </c>
      <c r="Z85" s="54">
        <f>IF(W85="","",W85*M85-1)</f>
        <v/>
      </c>
      <c r="AA85" s="54">
        <f>IF(X85="","",X85*N85-1)</f>
        <v/>
      </c>
      <c r="AB85" s="54">
        <f>IF(Y85="","",MATCH(MAX(Y85:AA85),Y85:AA85,0))</f>
        <v/>
      </c>
      <c r="AC85" s="54">
        <f>IF(AB85="","",CHOOSE(AB85,"H","D","A"))</f>
        <v/>
      </c>
      <c r="AD85" s="54">
        <f>IF(AB85="","",CHOOSE(AB85,"1  "&amp;D85,"X  Draw","2  "&amp;E85))</f>
        <v/>
      </c>
      <c r="AE85" s="82">
        <f>IF(AB85="","",INDEX(L85:N85,1,AB85))</f>
        <v/>
      </c>
      <c r="AF85" s="54">
        <f>IF(AB85="","",INDEX(Y85:AA85,1,AB85))</f>
        <v/>
      </c>
      <c r="AG85" s="54">
        <f>IF(AB85="","",INDEX(V85:X85,1,AB85)-INDEX(S85:U85,1,AB85))</f>
        <v/>
      </c>
      <c r="AH85" s="54">
        <f>IF(AB85="","· enter odds",IF(OR(AF85&gt;Method!$B$87,IFERROR(INDEX(BC85:BE85,1,AB85)/INDEX(S85:U85,1,AB85),0)&gt;Method!$B$88),"PASS",IF(AND(AF85&gt;=Method!$B$7,AG85&gt;=Method!$B$8),"BET","PASS")))</f>
        <v/>
      </c>
      <c r="AI85" s="54">
        <f>IF(AH85&lt;&gt;"BET",0,ROUND(MIN(Method!$B$6,Method!$B$5*AL85)*100,1))</f>
        <v/>
      </c>
      <c r="AJ85" s="54">
        <f>IF(OR(AH85&lt;&gt;"BET",Method!$B$55=TRUE()),0,IF(AI85*Method!$B$10/100&lt;Method!$B$9,0,ROUND(AI85*Method!$B$10/100,0)))</f>
        <v/>
      </c>
      <c r="AK85" s="54">
        <f>IF(AB85="","",INDEX(V85:X85,1,AB85))</f>
        <v/>
      </c>
      <c r="AL85" s="54">
        <f>IF(AH85&lt;&gt;"BET","",MAX(0,(AK85*AE85-1)/(AE85-1)))</f>
        <v/>
      </c>
      <c r="AM85" s="54">
        <f>IF(AH85="BET",AF85+A85/1000000,"")</f>
        <v/>
      </c>
      <c r="AN85" s="54">
        <f>IF(Matchday!N87="","",Matchday!N87)</f>
        <v/>
      </c>
      <c r="AO85" s="54">
        <f>IF(Matchday!P87="","",Matchday!P87)</f>
        <v/>
      </c>
      <c r="AP85" s="54">
        <f>IF(Matchday!Q87="","",Matchday!Q87)</f>
        <v/>
      </c>
      <c r="AQ85" s="54">
        <f>IF(Matchday!R87="","",Matchday!R87)</f>
        <v/>
      </c>
      <c r="AR85" s="54">
        <f>IF(OR(AN85&lt;&gt;"Y",AQ85="",AV85=""),"",IF(AQ85="Void",0,IF(AQ85=AV85,ROUND(AP85*(AO85-1),2),-AP85)))</f>
        <v/>
      </c>
      <c r="AS85" s="54">
        <f>IF(AR85="","",SUM($AR$2:AR85))</f>
        <v/>
      </c>
      <c r="AT85" s="54">
        <f>IF(AB85="","Type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pauses.")),IF(AH85="BET",IF(AJ85=0,"Edge found but stake rounds under £"&amp;Method!$B$9&amp;" — skip",IF(AND(AE85&gt;=6,AG85&gt;=0.15),"🟡 WAIT — long-shot review: odds "&amp;TEXT(AE85,"0.00")&amp;" + edge "&amp;TEXT(AG85,"0.0%")&amp;" — verify sharp-book + team news + stake comfort before Placed=Y","Value found: EV "&amp;TEXT(AF85,"0.0%")&amp;", edge "&amp;TEXT(AG85,"0.0%"))),IF(OR(AF85&gt;Method!$B$87,IFERROR(INDEX(BC85:BE85,1,AB85)/INDEX(S85:U85,1,AB85),0)&gt;Method!$B$88),"🛑 Tail trap — auto-PASS · EV "&amp;TEXT(AF85,"0.0%")&amp;" (cap "&amp;TEXT(Method!$B$87,"0%")&amp;") · model/market "&amp;TEXT(IFERROR(INDEX(BC85:BE85,1,AB85)/INDEX(S85:U85,1,AB85),0),"0.0")&amp;"× (cap "&amp;TEXT(Method!$B$88,"0.0")&amp;"×)",IF(AF85&lt;Method!$B$7,"Price too short — EV "&amp;TEXT(AF85,"0.0%")&amp;" (need "&amp;TEXT(Method!$B$7,"0.0%")&amp;"+)","Model ≈ market — edge "&amp;TEXT(AG85,"0.0%")&amp;" (need "&amp;TEXT(Method!$B$8,"0.0%")&amp;"+)")))))</f>
        <v/>
      </c>
      <c r="AU85" s="54">
        <f>IF(AN85&lt;&gt;"Y","",IF(AH85="· enter odds","⚠ type the 3 odds (1/X/2) to grade this bet",IF(OR(AV85="",AO85="",AP85=""),"⚠ log backed pick, odds &amp; stake",IF(AZ85&lt;&gt;"BET","⚠ FUN BET — engine said pass · staked £"&amp;AP85&amp;" vs engine £"&amp;BA85,IF(AV85&lt;&gt;IF(AY85="",AC85,AY85),"⚠ backed "&amp;AV85&amp;" but engine pick was "&amp;IF(AY85="",AC85,AY85),IF(AP85&gt;BA85,"⚠ stake over engine £"&amp;BA85,IF(ABS(AO85-IFERROR(INDEX(L85:N85,1,MATCH(AV85,{"H","D","A"},0)),AE85))&gt;0.02,"⚠ odds moved — re-check value","✓ engine bet")))))))</f>
        <v/>
      </c>
      <c r="AV85" s="54">
        <f>IF(Matchday!O87="","",Matchday!O87)</f>
        <v/>
      </c>
      <c r="AW85" s="54" t="n"/>
      <c r="AX85" s="54" t="n"/>
      <c r="AY85" s="54" t="n"/>
      <c r="AZ85" s="54">
        <f>IF(AW85="",AH85,AW85)</f>
        <v/>
      </c>
      <c r="BA85" s="54">
        <f>IF(AX85&lt;&gt;"",AX85,IF(AH85&lt;&gt;"BET",0,IF(AI85*Method!$B$10/100&lt;Method!$B$9,0,ROUND(AI85*Method!$B$10/100,0))))</f>
        <v/>
      </c>
      <c r="BB85" s="14" t="n">
        <v>9.33</v>
      </c>
      <c r="BC85" s="14">
        <f>IF(I85="","",I85)</f>
        <v/>
      </c>
      <c r="BD85" s="14">
        <f>IF(J85="","",J85)</f>
        <v/>
      </c>
      <c r="BE85" s="14">
        <f>IF(K85="","",K85)</f>
        <v/>
      </c>
      <c r="BF85" s="14" t="inlineStr">
        <is>
          <t>Austria team-wide: -9 · Spain team-wide: +18</t>
        </is>
      </c>
      <c r="BG85" s="14" t="n">
        <v>0</v>
      </c>
    </row>
    <row r="86" ht="15.75" customHeight="1" s="153">
      <c r="A86" s="54" t="n">
        <v>85</v>
      </c>
      <c r="B86" s="80" t="n">
        <v>46205</v>
      </c>
      <c r="C86" s="54" t="inlineStr">
        <is>
          <t>R32</t>
        </is>
      </c>
      <c r="D86" s="54" t="inlineStr">
        <is>
          <t>Switzerland</t>
        </is>
      </c>
      <c r="E86" s="54" t="inlineStr">
        <is>
          <t>Algeria</t>
        </is>
      </c>
      <c r="F86" s="54" t="inlineStr">
        <is>
          <t>Vancouver</t>
        </is>
      </c>
      <c r="G86" s="81" t="n">
        <v>0.8333333333333334</v>
      </c>
      <c r="H86" s="54" t="n"/>
      <c r="I86" s="54" t="n">
        <v>0.5084213767672781</v>
      </c>
      <c r="J86" s="54" t="n">
        <v>0.278099508839645</v>
      </c>
      <c r="K86" s="54" t="n">
        <v>0.2134791143930769</v>
      </c>
      <c r="L86" s="82">
        <f>IF(Matchday!E88="","",Matchday!E88)</f>
        <v/>
      </c>
      <c r="M86" s="82">
        <f>IF(Matchday!F88="","",Matchday!F88)</f>
        <v/>
      </c>
      <c r="N86" s="82">
        <f>IF(Matchday!G88="","",Matchday!G88)</f>
        <v/>
      </c>
      <c r="O86" s="54">
        <f>IF(L86="","",1/L86)</f>
        <v/>
      </c>
      <c r="P86" s="54">
        <f>IF(M86="","",1/M86)</f>
        <v/>
      </c>
      <c r="Q86" s="54">
        <f>IF(N86="","",1/N86)</f>
        <v/>
      </c>
      <c r="R86" s="54">
        <f>IF(COUNT(L86:N86)&lt;3,"",O86+P86+Q86)</f>
        <v/>
      </c>
      <c r="S86" s="54">
        <f t="array" ref="S86">IF($R86="","",IF(Method!$B$56="proportional",O86/$R86,IF(Method!$B$56="power",IFERROR(INDEX(power_devig($L86,$M86,$N86),1,1),O86/$R86),IFERROR(INDEX(shin($L86,$M86,$N86),1,1),O86/$R86))))</f>
        <v/>
      </c>
      <c r="T86" s="54">
        <f t="array" ref="T86">IF($R86="","",IF(Method!$B$56="proportional",P86/$R86,IF(Method!$B$56="power",IFERROR(INDEX(power_devig($L86,$M86,$N86),2,1),P86/$R86),IFERROR(INDEX(shin($L86,$M86,$N86),2,1),P86/$R86))))</f>
        <v/>
      </c>
      <c r="U86" s="54">
        <f t="array" ref="U86">IF($R86="","",IF(Method!$B$56="proportional",Q86/$R86,IF(Method!$B$56="power",IFERROR(INDEX(power_devig($L86,$M86,$N86),3,1),Q86/$R86),IFERROR(INDEX(shin($L86,$M86,$N86),3,1),Q86/$R86))))</f>
        <v/>
      </c>
      <c r="V86" s="54">
        <f>IF(S86="","",Method!$B$4*IF(BC86="",I86,BC86)+(1-Method!$B$4)*S86/($S86+$T86+$U86))</f>
        <v/>
      </c>
      <c r="W86" s="54">
        <f>IF(T86="","",Method!$B$4*IF(BD86="",J86,BD86)+(1-Method!$B$4)*T86/($S86+$T86+$U86))</f>
        <v/>
      </c>
      <c r="X86" s="54">
        <f>IF(U86="","",Method!$B$4*IF(BE86="",K86,BE86)+(1-Method!$B$4)*U86/($S86+$T86+$U86))</f>
        <v/>
      </c>
      <c r="Y86" s="54">
        <f>IF(V86="","",V86*L86-1)</f>
        <v/>
      </c>
      <c r="Z86" s="54">
        <f>IF(W86="","",W86*M86-1)</f>
        <v/>
      </c>
      <c r="AA86" s="54">
        <f>IF(X86="","",X86*N86-1)</f>
        <v/>
      </c>
      <c r="AB86" s="54">
        <f>IF(Y86="","",MATCH(MAX(Y86:AA86),Y86:AA86,0))</f>
        <v/>
      </c>
      <c r="AC86" s="54">
        <f>IF(AB86="","",CHOOSE(AB86,"H","D","A"))</f>
        <v/>
      </c>
      <c r="AD86" s="54">
        <f>IF(AB86="","",CHOOSE(AB86,"1  "&amp;D86,"X  Draw","2  "&amp;E86))</f>
        <v/>
      </c>
      <c r="AE86" s="82">
        <f>IF(AB86="","",INDEX(L86:N86,1,AB86))</f>
        <v/>
      </c>
      <c r="AF86" s="54">
        <f>IF(AB86="","",INDEX(Y86:AA86,1,AB86))</f>
        <v/>
      </c>
      <c r="AG86" s="54">
        <f>IF(AB86="","",INDEX(V86:X86,1,AB86)-INDEX(S86:U86,1,AB86))</f>
        <v/>
      </c>
      <c r="AH86" s="54">
        <f>IF(AB86="","· enter odds",IF(OR(AF86&gt;Method!$B$87,IFERROR(INDEX(BC86:BE86,1,AB86)/INDEX(S86:U86,1,AB86),0)&gt;Method!$B$88),"PASS",IF(AND(AF86&gt;=Method!$B$7,AG86&gt;=Method!$B$8),"BET","PASS")))</f>
        <v/>
      </c>
      <c r="AI86" s="54">
        <f>IF(AH86&lt;&gt;"BET",0,ROUND(MIN(Method!$B$6,Method!$B$5*AL86)*100,1))</f>
        <v/>
      </c>
      <c r="AJ86" s="54">
        <f>IF(OR(AH86&lt;&gt;"BET",Method!$B$55=TRUE()),0,IF(AI86*Method!$B$10/100&lt;Method!$B$9,0,ROUND(AI86*Method!$B$10/100,0)))</f>
        <v/>
      </c>
      <c r="AK86" s="54">
        <f>IF(AB86="","",INDEX(V86:X86,1,AB86))</f>
        <v/>
      </c>
      <c r="AL86" s="54">
        <f>IF(AH86&lt;&gt;"BET","",MAX(0,(AK86*AE86-1)/(AE86-1)))</f>
        <v/>
      </c>
      <c r="AM86" s="54">
        <f>IF(AH86="BET",AF86+A86/1000000,"")</f>
        <v/>
      </c>
      <c r="AN86" s="54">
        <f>IF(Matchday!N88="","",Matchday!N88)</f>
        <v/>
      </c>
      <c r="AO86" s="54">
        <f>IF(Matchday!P88="","",Matchday!P88)</f>
        <v/>
      </c>
      <c r="AP86" s="54">
        <f>IF(Matchday!Q88="","",Matchday!Q88)</f>
        <v/>
      </c>
      <c r="AQ86" s="54">
        <f>IF(Matchday!R88="","",Matchday!R88)</f>
        <v/>
      </c>
      <c r="AR86" s="54">
        <f>IF(OR(AN86&lt;&gt;"Y",AQ86="",AV86=""),"",IF(AQ86="Void",0,IF(AQ86=AV86,ROUND(AP86*(AO86-1),2),-AP86)))</f>
        <v/>
      </c>
      <c r="AS86" s="54">
        <f>IF(AR86="","",SUM($AR$2:AR86))</f>
        <v/>
      </c>
      <c r="AT86" s="54">
        <f>IF(AB86="","Type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pauses.")),IF(AH86="BET",IF(AJ86=0,"Edge found but stake rounds under £"&amp;Method!$B$9&amp;" — skip",IF(AND(AE86&gt;=6,AG86&gt;=0.15),"🟡 WAIT — long-shot review: odds "&amp;TEXT(AE86,"0.00")&amp;" + edge "&amp;TEXT(AG86,"0.0%")&amp;" — verify sharp-book + team news + stake comfort before Placed=Y","Value found: EV "&amp;TEXT(AF86,"0.0%")&amp;", edge "&amp;TEXT(AG86,"0.0%"))),IF(OR(AF86&gt;Method!$B$87,IFERROR(INDEX(BC86:BE86,1,AB86)/INDEX(S86:U86,1,AB86),0)&gt;Method!$B$88),"🛑 Tail trap — auto-PASS · EV "&amp;TEXT(AF86,"0.0%")&amp;" (cap "&amp;TEXT(Method!$B$87,"0%")&amp;") · model/market "&amp;TEXT(IFERROR(INDEX(BC86:BE86,1,AB86)/INDEX(S86:U86,1,AB86),0),"0.0")&amp;"× (cap "&amp;TEXT(Method!$B$88,"0.0")&amp;"×)",IF(AF86&lt;Method!$B$7,"Price too short — EV "&amp;TEXT(AF86,"0.0%")&amp;" (need "&amp;TEXT(Method!$B$7,"0.0%")&amp;"+)","Model ≈ market — edge "&amp;TEXT(AG86,"0.0%")&amp;" (need "&amp;TEXT(Method!$B$8,"0.0%")&amp;"+)")))))</f>
        <v/>
      </c>
      <c r="AU86" s="54">
        <f>IF(AN86&lt;&gt;"Y","",IF(AH86="· enter odds","⚠ type the 3 odds (1/X/2) to grade this bet",IF(OR(AV86="",AO86="",AP86=""),"⚠ log backed pick, odds &amp; stake",IF(AZ86&lt;&gt;"BET","⚠ FUN BET — engine said pass · staked £"&amp;AP86&amp;" vs engine £"&amp;BA86,IF(AV86&lt;&gt;IF(AY86="",AC86,AY86),"⚠ backed "&amp;AV86&amp;" but engine pick was "&amp;IF(AY86="",AC86,AY86),IF(AP86&gt;BA86,"⚠ stake over engine £"&amp;BA86,IF(ABS(AO86-IFERROR(INDEX(L86:N86,1,MATCH(AV86,{"H","D","A"},0)),AE86))&gt;0.02,"⚠ odds moved — re-check value","✓ engine bet")))))))</f>
        <v/>
      </c>
      <c r="AV86" s="54">
        <f>IF(Matchday!O88="","",Matchday!O88)</f>
        <v/>
      </c>
      <c r="AW86" s="54" t="n"/>
      <c r="AX86" s="54" t="n"/>
      <c r="AY86" s="54" t="n"/>
      <c r="AZ86" s="54">
        <f>IF(AW86="",AH86,AW86)</f>
        <v/>
      </c>
      <c r="BA86" s="54">
        <f>IF(AX86&lt;&gt;"",AX86,IF(AH86&lt;&gt;"BET",0,IF(AI86*Method!$B$10/100&lt;Method!$B$9,0,ROUND(AI86*Method!$B$10/100,0))))</f>
        <v/>
      </c>
      <c r="BB86" s="14" t="n">
        <v>-41.79</v>
      </c>
      <c r="BC86" s="14">
        <f>IF(I86="","",I86)</f>
        <v/>
      </c>
      <c r="BD86" s="14">
        <f>IF(J86="","",J86)</f>
        <v/>
      </c>
      <c r="BE86" s="14">
        <f>IF(K86="","",K86)</f>
        <v/>
      </c>
      <c r="BF86" s="14" t="inlineStr">
        <is>
          <t>Algeria team-wide: -24 · Switzerland team-wide: -17</t>
        </is>
      </c>
      <c r="BG86" s="14" t="n">
        <v>0</v>
      </c>
      <c r="BH86" s="14" t="inlineStr">
        <is>
          <t>mild_indoor</t>
        </is>
      </c>
    </row>
    <row r="87" ht="15.75" customHeight="1" s="153">
      <c r="A87" s="54" t="n">
        <v>86</v>
      </c>
      <c r="B87" s="80" t="n">
        <v>46206</v>
      </c>
      <c r="C87" s="54" t="inlineStr">
        <is>
          <t>R32</t>
        </is>
      </c>
      <c r="D87" s="54" t="inlineStr">
        <is>
          <t>Argentina</t>
        </is>
      </c>
      <c r="E87" s="54" t="inlineStr">
        <is>
          <t>Cape Verde</t>
        </is>
      </c>
      <c r="F87" s="54" t="inlineStr">
        <is>
          <t>Miami Gardens, FL</t>
        </is>
      </c>
      <c r="G87" s="81" t="n">
        <v>0.75</v>
      </c>
      <c r="H87" s="54" t="n"/>
      <c r="I87" s="54" t="n">
        <v>0.789026781029104</v>
      </c>
      <c r="J87" s="54" t="n">
        <v>0.1612834179889558</v>
      </c>
      <c r="K87" s="54" t="n">
        <v>0.04968980098194027</v>
      </c>
      <c r="L87" s="82">
        <f>IF(Matchday!E89="","",Matchday!E89)</f>
        <v/>
      </c>
      <c r="M87" s="82">
        <f>IF(Matchday!F89="","",Matchday!F89)</f>
        <v/>
      </c>
      <c r="N87" s="82">
        <f>IF(Matchday!G89="","",Matchday!G89)</f>
        <v/>
      </c>
      <c r="O87" s="54">
        <f>IF(L87="","",1/L87)</f>
        <v/>
      </c>
      <c r="P87" s="54">
        <f>IF(M87="","",1/M87)</f>
        <v/>
      </c>
      <c r="Q87" s="54">
        <f>IF(N87="","",1/N87)</f>
        <v/>
      </c>
      <c r="R87" s="54">
        <f>IF(COUNT(L87:N87)&lt;3,"",O87+P87+Q87)</f>
        <v/>
      </c>
      <c r="S87" s="54">
        <f t="array" ref="S87">IF($R87="","",IF(Method!$B$56="proportional",O87/$R87,IF(Method!$B$56="power",IFERROR(INDEX(power_devig($L87,$M87,$N87),1,1),O87/$R87),IFERROR(INDEX(shin($L87,$M87,$N87),1,1),O87/$R87))))</f>
        <v/>
      </c>
      <c r="T87" s="54">
        <f t="array" ref="T87">IF($R87="","",IF(Method!$B$56="proportional",P87/$R87,IF(Method!$B$56="power",IFERROR(INDEX(power_devig($L87,$M87,$N87),2,1),P87/$R87),IFERROR(INDEX(shin($L87,$M87,$N87),2,1),P87/$R87))))</f>
        <v/>
      </c>
      <c r="U87" s="54">
        <f t="array" ref="U87">IF($R87="","",IF(Method!$B$56="proportional",Q87/$R87,IF(Method!$B$56="power",IFERROR(INDEX(power_devig($L87,$M87,$N87),3,1),Q87/$R87),IFERROR(INDEX(shin($L87,$M87,$N87),3,1),Q87/$R87))))</f>
        <v/>
      </c>
      <c r="V87" s="54">
        <f>IF(S87="","",Method!$B$4*IF(BC87="",I87,BC87)+(1-Method!$B$4)*S87/($S87+$T87+$U87))</f>
        <v/>
      </c>
      <c r="W87" s="54">
        <f>IF(T87="","",Method!$B$4*IF(BD87="",J87,BD87)+(1-Method!$B$4)*T87/($S87+$T87+$U87))</f>
        <v/>
      </c>
      <c r="X87" s="54">
        <f>IF(U87="","",Method!$B$4*IF(BE87="",K87,BE87)+(1-Method!$B$4)*U87/($S87+$T87+$U87))</f>
        <v/>
      </c>
      <c r="Y87" s="54">
        <f>IF(V87="","",V87*L87-1)</f>
        <v/>
      </c>
      <c r="Z87" s="54">
        <f>IF(W87="","",W87*M87-1)</f>
        <v/>
      </c>
      <c r="AA87" s="54">
        <f>IF(X87="","",X87*N87-1)</f>
        <v/>
      </c>
      <c r="AB87" s="54">
        <f>IF(Y87="","",MATCH(MAX(Y87:AA87),Y87:AA87,0))</f>
        <v/>
      </c>
      <c r="AC87" s="54">
        <f>IF(AB87="","",CHOOSE(AB87,"H","D","A"))</f>
        <v/>
      </c>
      <c r="AD87" s="54">
        <f>IF(AB87="","",CHOOSE(AB87,"1  "&amp;D87,"X  Draw","2  "&amp;E87))</f>
        <v/>
      </c>
      <c r="AE87" s="82">
        <f>IF(AB87="","",INDEX(L87:N87,1,AB87))</f>
        <v/>
      </c>
      <c r="AF87" s="54">
        <f>IF(AB87="","",INDEX(Y87:AA87,1,AB87))</f>
        <v/>
      </c>
      <c r="AG87" s="54">
        <f>IF(AB87="","",INDEX(V87:X87,1,AB87)-INDEX(S87:U87,1,AB87))</f>
        <v/>
      </c>
      <c r="AH87" s="54">
        <f>IF(AB87="","· enter odds",IF(OR(AF87&gt;Method!$B$87,IFERROR(INDEX(BC87:BE87,1,AB87)/INDEX(S87:U87,1,AB87),0)&gt;Method!$B$88),"PASS",IF(AND(AF87&gt;=Method!$B$7,AG87&gt;=Method!$B$8),"BET","PASS")))</f>
        <v/>
      </c>
      <c r="AI87" s="54">
        <f>IF(AH87&lt;&gt;"BET",0,ROUND(MIN(Method!$B$6,Method!$B$5*AL87)*100,1))</f>
        <v/>
      </c>
      <c r="AJ87" s="54">
        <f>IF(OR(AH87&lt;&gt;"BET",Method!$B$55=TRUE()),0,IF(AI87*Method!$B$10/100&lt;Method!$B$9,0,ROUND(AI87*Method!$B$10/100,0)))</f>
        <v/>
      </c>
      <c r="AK87" s="54">
        <f>IF(AB87="","",INDEX(V87:X87,1,AB87))</f>
        <v/>
      </c>
      <c r="AL87" s="54">
        <f>IF(AH87&lt;&gt;"BET","",MAX(0,(AK87*AE87-1)/(AE87-1)))</f>
        <v/>
      </c>
      <c r="AM87" s="54">
        <f>IF(AH87="BET",AF87+A87/1000000,"")</f>
        <v/>
      </c>
      <c r="AN87" s="54">
        <f>IF(Matchday!N89="","",Matchday!N89)</f>
        <v/>
      </c>
      <c r="AO87" s="54">
        <f>IF(Matchday!P89="","",Matchday!P89)</f>
        <v/>
      </c>
      <c r="AP87" s="54">
        <f>IF(Matchday!Q89="","",Matchday!Q89)</f>
        <v/>
      </c>
      <c r="AQ87" s="54">
        <f>IF(Matchday!R89="","",Matchday!R89)</f>
        <v/>
      </c>
      <c r="AR87" s="54">
        <f>IF(OR(AN87&lt;&gt;"Y",AQ87="",AV87=""),"",IF(AQ87="Void",0,IF(AQ87=AV87,ROUND(AP87*(AO87-1),2),-AP87)))</f>
        <v/>
      </c>
      <c r="AS87" s="54">
        <f>IF(AR87="","",SUM($AR$2:AR87))</f>
        <v/>
      </c>
      <c r="AT87" s="54">
        <f>IF(AB87="","Type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pauses.")),IF(AH87="BET",IF(AJ87=0,"Edge found but stake rounds under £"&amp;Method!$B$9&amp;" — skip",IF(AND(AE87&gt;=6,AG87&gt;=0.15),"🟡 WAIT — long-shot review: odds "&amp;TEXT(AE87,"0.00")&amp;" + edge "&amp;TEXT(AG87,"0.0%")&amp;" — verify sharp-book + team news + stake comfort before Placed=Y","Value found: EV "&amp;TEXT(AF87,"0.0%")&amp;", edge "&amp;TEXT(AG87,"0.0%"))),IF(OR(AF87&gt;Method!$B$87,IFERROR(INDEX(BC87:BE87,1,AB87)/INDEX(S87:U87,1,AB87),0)&gt;Method!$B$88),"🛑 Tail trap — auto-PASS · EV "&amp;TEXT(AF87,"0.0%")&amp;" (cap "&amp;TEXT(Method!$B$87,"0%")&amp;") · model/market "&amp;TEXT(IFERROR(INDEX(BC87:BE87,1,AB87)/INDEX(S87:U87,1,AB87),0),"0.0")&amp;"× (cap "&amp;TEXT(Method!$B$88,"0.0")&amp;"×)",IF(AF87&lt;Method!$B$7,"Price too short — EV "&amp;TEXT(AF87,"0.0%")&amp;" (need "&amp;TEXT(Method!$B$7,"0.0%")&amp;"+)","Model ≈ market — edge "&amp;TEXT(AG87,"0.0%")&amp;" (need "&amp;TEXT(Method!$B$8,"0.0%")&amp;"+)")))))</f>
        <v/>
      </c>
      <c r="AU87" s="54">
        <f>IF(AN87&lt;&gt;"Y","",IF(AH87="· enter odds","⚠ type the 3 odds (1/X/2) to grade this bet",IF(OR(AV87="",AO87="",AP87=""),"⚠ log backed pick, odds &amp; stake",IF(AZ87&lt;&gt;"BET","⚠ FUN BET — engine said pass · staked £"&amp;AP87&amp;" vs engine £"&amp;BA87,IF(AV87&lt;&gt;IF(AY87="",AC87,AY87),"⚠ backed "&amp;AV87&amp;" but engine pick was "&amp;IF(AY87="",AC87,AY87),IF(AP87&gt;BA87,"⚠ stake over engine £"&amp;BA87,IF(ABS(AO87-IFERROR(INDEX(L87:N87,1,MATCH(AV87,{"H","D","A"},0)),AE87))&gt;0.02,"⚠ odds moved — re-check value","✓ engine bet")))))))</f>
        <v/>
      </c>
      <c r="AV87" s="54">
        <f>IF(Matchday!O89="","",Matchday!O89)</f>
        <v/>
      </c>
      <c r="AW87" s="54" t="n"/>
      <c r="AX87" s="54" t="n"/>
      <c r="AY87" s="54" t="n"/>
      <c r="AZ87" s="54">
        <f>IF(AW87="",AH87,AW87)</f>
        <v/>
      </c>
      <c r="BA87" s="54">
        <f>IF(AX87&lt;&gt;"",AX87,IF(AH87&lt;&gt;"BET",0,IF(AI87*Method!$B$10/100&lt;Method!$B$9,0,ROUND(AI87*Method!$B$10/100,0))))</f>
        <v/>
      </c>
      <c r="BB87" s="14" t="n">
        <v>-9.48</v>
      </c>
      <c r="BC87" s="14">
        <f>IF(I87="","",I87)</f>
        <v/>
      </c>
      <c r="BD87" s="14">
        <f>IF(J87="","",J87)</f>
        <v/>
      </c>
      <c r="BE87" s="14">
        <f>IF(K87="","",K87)</f>
        <v/>
      </c>
      <c r="BF87" s="14" t="inlineStr">
        <is>
          <t>Argentina team-wide: +9 · Cape Verde team-wide: -18</t>
        </is>
      </c>
      <c r="BG87" s="14" t="n">
        <v>0</v>
      </c>
    </row>
    <row r="88" ht="15.75" customHeight="1" s="153">
      <c r="A88" s="54" t="n">
        <v>87</v>
      </c>
      <c r="B88" s="80" t="n">
        <v>46206</v>
      </c>
      <c r="C88" s="54" t="inlineStr">
        <is>
          <t>R32</t>
        </is>
      </c>
      <c r="D88" s="54" t="inlineStr">
        <is>
          <t>Colombia</t>
        </is>
      </c>
      <c r="E88" s="54" t="inlineStr">
        <is>
          <t>Ghana</t>
        </is>
      </c>
      <c r="F88" s="54" t="inlineStr">
        <is>
          <t>Kansas City, MO</t>
        </is>
      </c>
      <c r="G88" s="81" t="n">
        <v>0.8541666666666666</v>
      </c>
      <c r="H88" s="54" t="n"/>
      <c r="I88" s="54" t="n">
        <v>0.7161849611044304</v>
      </c>
      <c r="J88" s="54" t="n">
        <v>0.1962514344830535</v>
      </c>
      <c r="K88" s="54" t="n">
        <v>0.08756360441251608</v>
      </c>
      <c r="L88" s="82">
        <f>IF(Matchday!E90="","",Matchday!E90)</f>
        <v/>
      </c>
      <c r="M88" s="82">
        <f>IF(Matchday!F90="","",Matchday!F90)</f>
        <v/>
      </c>
      <c r="N88" s="82">
        <f>IF(Matchday!G90="","",Matchday!G90)</f>
        <v/>
      </c>
      <c r="O88" s="54">
        <f>IF(L88="","",1/L88)</f>
        <v/>
      </c>
      <c r="P88" s="54">
        <f>IF(M88="","",1/M88)</f>
        <v/>
      </c>
      <c r="Q88" s="54">
        <f>IF(N88="","",1/N88)</f>
        <v/>
      </c>
      <c r="R88" s="54">
        <f>IF(COUNT(L88:N88)&lt;3,"",O88+P88+Q88)</f>
        <v/>
      </c>
      <c r="S88" s="54">
        <f t="array" ref="S88">IF($R88="","",IF(Method!$B$56="proportional",O88/$R88,IF(Method!$B$56="power",IFERROR(INDEX(power_devig($L88,$M88,$N88),1,1),O88/$R88),IFERROR(INDEX(shin($L88,$M88,$N88),1,1),O88/$R88))))</f>
        <v/>
      </c>
      <c r="T88" s="54">
        <f t="array" ref="T88">IF($R88="","",IF(Method!$B$56="proportional",P88/$R88,IF(Method!$B$56="power",IFERROR(INDEX(power_devig($L88,$M88,$N88),2,1),P88/$R88),IFERROR(INDEX(shin($L88,$M88,$N88),2,1),P88/$R88))))</f>
        <v/>
      </c>
      <c r="U88" s="54">
        <f t="array" ref="U88">IF($R88="","",IF(Method!$B$56="proportional",Q88/$R88,IF(Method!$B$56="power",IFERROR(INDEX(power_devig($L88,$M88,$N88),3,1),Q88/$R88),IFERROR(INDEX(shin($L88,$M88,$N88),3,1),Q88/$R88))))</f>
        <v/>
      </c>
      <c r="V88" s="54">
        <f>IF(S88="","",Method!$B$4*IF(BC88="",I88,BC88)+(1-Method!$B$4)*S88/($S88+$T88+$U88))</f>
        <v/>
      </c>
      <c r="W88" s="54">
        <f>IF(T88="","",Method!$B$4*IF(BD88="",J88,BD88)+(1-Method!$B$4)*T88/($S88+$T88+$U88))</f>
        <v/>
      </c>
      <c r="X88" s="54">
        <f>IF(U88="","",Method!$B$4*IF(BE88="",K88,BE88)+(1-Method!$B$4)*U88/($S88+$T88+$U88))</f>
        <v/>
      </c>
      <c r="Y88" s="54">
        <f>IF(V88="","",V88*L88-1)</f>
        <v/>
      </c>
      <c r="Z88" s="54">
        <f>IF(W88="","",W88*M88-1)</f>
        <v/>
      </c>
      <c r="AA88" s="54">
        <f>IF(X88="","",X88*N88-1)</f>
        <v/>
      </c>
      <c r="AB88" s="54">
        <f>IF(Y88="","",MATCH(MAX(Y88:AA88),Y88:AA88,0))</f>
        <v/>
      </c>
      <c r="AC88" s="54">
        <f>IF(AB88="","",CHOOSE(AB88,"H","D","A"))</f>
        <v/>
      </c>
      <c r="AD88" s="54">
        <f>IF(AB88="","",CHOOSE(AB88,"1  "&amp;D88,"X  Draw","2  "&amp;E88))</f>
        <v/>
      </c>
      <c r="AE88" s="82">
        <f>IF(AB88="","",INDEX(L88:N88,1,AB88))</f>
        <v/>
      </c>
      <c r="AF88" s="54">
        <f>IF(AB88="","",INDEX(Y88:AA88,1,AB88))</f>
        <v/>
      </c>
      <c r="AG88" s="54">
        <f>IF(AB88="","",INDEX(V88:X88,1,AB88)-INDEX(S88:U88,1,AB88))</f>
        <v/>
      </c>
      <c r="AH88" s="54">
        <f>IF(AB88="","· enter odds",IF(OR(AF88&gt;Method!$B$87,IFERROR(INDEX(BC88:BE88,1,AB88)/INDEX(S88:U88,1,AB88),0)&gt;Method!$B$88),"PASS",IF(AND(AF88&gt;=Method!$B$7,AG88&gt;=Method!$B$8),"BET","PASS")))</f>
        <v/>
      </c>
      <c r="AI88" s="54">
        <f>IF(AH88&lt;&gt;"BET",0,ROUND(MIN(Method!$B$6,Method!$B$5*AL88)*100,1))</f>
        <v/>
      </c>
      <c r="AJ88" s="54">
        <f>IF(OR(AH88&lt;&gt;"BET",Method!$B$55=TRUE()),0,IF(AI88*Method!$B$10/100&lt;Method!$B$9,0,ROUND(AI88*Method!$B$10/100,0)))</f>
        <v/>
      </c>
      <c r="AK88" s="54">
        <f>IF(AB88="","",INDEX(V88:X88,1,AB88))</f>
        <v/>
      </c>
      <c r="AL88" s="54">
        <f>IF(AH88&lt;&gt;"BET","",MAX(0,(AK88*AE88-1)/(AE88-1)))</f>
        <v/>
      </c>
      <c r="AM88" s="54">
        <f>IF(AH88="BET",AF88+A88/1000000,"")</f>
        <v/>
      </c>
      <c r="AN88" s="54">
        <f>IF(Matchday!N90="","",Matchday!N90)</f>
        <v/>
      </c>
      <c r="AO88" s="54">
        <f>IF(Matchday!P90="","",Matchday!P90)</f>
        <v/>
      </c>
      <c r="AP88" s="54">
        <f>IF(Matchday!Q90="","",Matchday!Q90)</f>
        <v/>
      </c>
      <c r="AQ88" s="54">
        <f>IF(Matchday!R90="","",Matchday!R90)</f>
        <v/>
      </c>
      <c r="AR88" s="54">
        <f>IF(OR(AN88&lt;&gt;"Y",AQ88="",AV88=""),"",IF(AQ88="Void",0,IF(AQ88=AV88,ROUND(AP88*(AO88-1),2),-AP88)))</f>
        <v/>
      </c>
      <c r="AS88" s="54">
        <f>IF(AR88="","",SUM($AR$2:AR88))</f>
        <v/>
      </c>
      <c r="AT88" s="54">
        <f>IF(AB88="","Type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pauses.")),IF(AH88="BET",IF(AJ88=0,"Edge found but stake rounds under £"&amp;Method!$B$9&amp;" — skip",IF(AND(AE88&gt;=6,AG88&gt;=0.15),"🟡 WAIT — long-shot review: odds "&amp;TEXT(AE88,"0.00")&amp;" + edge "&amp;TEXT(AG88,"0.0%")&amp;" — verify sharp-book + team news + stake comfort before Placed=Y","Value found: EV "&amp;TEXT(AF88,"0.0%")&amp;", edge "&amp;TEXT(AG88,"0.0%"))),IF(OR(AF88&gt;Method!$B$87,IFERROR(INDEX(BC88:BE88,1,AB88)/INDEX(S88:U88,1,AB88),0)&gt;Method!$B$88),"🛑 Tail trap — auto-PASS · EV "&amp;TEXT(AF88,"0.0%")&amp;" (cap "&amp;TEXT(Method!$B$87,"0%")&amp;") · model/market "&amp;TEXT(IFERROR(INDEX(BC88:BE88,1,AB88)/INDEX(S88:U88,1,AB88),0),"0.0")&amp;"× (cap "&amp;TEXT(Method!$B$88,"0.0")&amp;"×)",IF(AF88&lt;Method!$B$7,"Price too short — EV "&amp;TEXT(AF88,"0.0%")&amp;" (need "&amp;TEXT(Method!$B$7,"0.0%")&amp;"+)","Model ≈ market — edge "&amp;TEXT(AG88,"0.0%")&amp;" (need "&amp;TEXT(Method!$B$8,"0.0%")&amp;"+)")))))</f>
        <v/>
      </c>
      <c r="AU88" s="54">
        <f>IF(AN88&lt;&gt;"Y","",IF(AH88="· enter odds","⚠ type the 3 odds (1/X/2) to grade this bet",IF(OR(AV88="",AO88="",AP88=""),"⚠ log backed pick, odds &amp; stake",IF(AZ88&lt;&gt;"BET","⚠ FUN BET — engine said pass · staked £"&amp;AP88&amp;" vs engine £"&amp;BA88,IF(AV88&lt;&gt;IF(AY88="",AC88,AY88),"⚠ backed "&amp;AV88&amp;" but engine pick was "&amp;IF(AY88="",AC88,AY88),IF(AP88&gt;BA88,"⚠ stake over engine £"&amp;BA88,IF(ABS(AO88-IFERROR(INDEX(L88:N88,1,MATCH(AV88,{"H","D","A"},0)),AE88))&gt;0.02,"⚠ odds moved — re-check value","✓ engine bet")))))))</f>
        <v/>
      </c>
      <c r="AV88" s="54">
        <f>IF(Matchday!O90="","",Matchday!O90)</f>
        <v/>
      </c>
      <c r="AW88" s="54" t="n"/>
      <c r="AX88" s="54" t="n"/>
      <c r="AY88" s="54" t="n"/>
      <c r="AZ88" s="54">
        <f>IF(AW88="",AH88,AW88)</f>
        <v/>
      </c>
      <c r="BA88" s="54">
        <f>IF(AX88&lt;&gt;"",AX88,IF(AH88&lt;&gt;"BET",0,IF(AI88*Method!$B$10/100&lt;Method!$B$9,0,ROUND(AI88*Method!$B$10/100,0))))</f>
        <v/>
      </c>
      <c r="BB88" s="14" t="n">
        <v>3.27</v>
      </c>
      <c r="BC88" s="14">
        <f>IF(I88="","",I88)</f>
        <v/>
      </c>
      <c r="BD88" s="14">
        <f>IF(J88="","",J88)</f>
        <v/>
      </c>
      <c r="BE88" s="14">
        <f>IF(K88="","",K88)</f>
        <v/>
      </c>
      <c r="BF88" s="14" t="inlineStr">
        <is>
          <t>Colombia team-wide: +10 · Ghana team-wide: -6</t>
        </is>
      </c>
      <c r="BG88" s="14" t="n">
        <v>270</v>
      </c>
      <c r="BH88" s="14" t="inlineStr">
        <is>
          <t>hot</t>
        </is>
      </c>
    </row>
    <row r="89" ht="15.75" customHeight="1" s="153">
      <c r="A89" s="54" t="n">
        <v>88</v>
      </c>
      <c r="B89" s="80" t="n">
        <v>46206</v>
      </c>
      <c r="C89" s="54" t="inlineStr">
        <is>
          <t>R32</t>
        </is>
      </c>
      <c r="D89" s="54" t="inlineStr">
        <is>
          <t>Australia</t>
        </is>
      </c>
      <c r="E89" s="54" t="inlineStr">
        <is>
          <t>Egypt</t>
        </is>
      </c>
      <c r="F89" s="54" t="inlineStr">
        <is>
          <t>Arlington, TX</t>
        </is>
      </c>
      <c r="G89" s="81" t="n">
        <v>0.5416666666666666</v>
      </c>
      <c r="H89" s="54" t="n"/>
      <c r="I89" s="54" t="n">
        <v>0.4128422137999699</v>
      </c>
      <c r="J89" s="54" t="n">
        <v>0.3159509490443809</v>
      </c>
      <c r="K89" s="54" t="n">
        <v>0.2712068371556491</v>
      </c>
      <c r="L89" s="82">
        <f>IF(Matchday!E91="","",Matchday!E91)</f>
        <v/>
      </c>
      <c r="M89" s="82">
        <f>IF(Matchday!F91="","",Matchday!F91)</f>
        <v/>
      </c>
      <c r="N89" s="82">
        <f>IF(Matchday!G91="","",Matchday!G91)</f>
        <v/>
      </c>
      <c r="O89" s="54">
        <f>IF(L89="","",1/L89)</f>
        <v/>
      </c>
      <c r="P89" s="54">
        <f>IF(M89="","",1/M89)</f>
        <v/>
      </c>
      <c r="Q89" s="54">
        <f>IF(N89="","",1/N89)</f>
        <v/>
      </c>
      <c r="R89" s="54">
        <f>IF(COUNT(L89:N89)&lt;3,"",O89+P89+Q89)</f>
        <v/>
      </c>
      <c r="S89" s="54">
        <f t="array" ref="S89">IF($R89="","",IF(Method!$B$56="proportional",O89/$R89,IF(Method!$B$56="power",IFERROR(INDEX(power_devig($L89,$M89,$N89),1,1),O89/$R89),IFERROR(INDEX(shin($L89,$M89,$N89),1,1),O89/$R89))))</f>
        <v/>
      </c>
      <c r="T89" s="54">
        <f t="array" ref="T89">IF($R89="","",IF(Method!$B$56="proportional",P89/$R89,IF(Method!$B$56="power",IFERROR(INDEX(power_devig($L89,$M89,$N89),2,1),P89/$R89),IFERROR(INDEX(shin($L89,$M89,$N89),2,1),P89/$R89))))</f>
        <v/>
      </c>
      <c r="U89" s="54">
        <f t="array" ref="U89">IF($R89="","",IF(Method!$B$56="proportional",Q89/$R89,IF(Method!$B$56="power",IFERROR(INDEX(power_devig($L89,$M89,$N89),3,1),Q89/$R89),IFERROR(INDEX(shin($L89,$M89,$N89),3,1),Q89/$R89))))</f>
        <v/>
      </c>
      <c r="V89" s="54">
        <f>IF(S89="","",Method!$B$4*IF(BC89="",I89,BC89)+(1-Method!$B$4)*S89/($S89+$T89+$U89))</f>
        <v/>
      </c>
      <c r="W89" s="54">
        <f>IF(T89="","",Method!$B$4*IF(BD89="",J89,BD89)+(1-Method!$B$4)*T89/($S89+$T89+$U89))</f>
        <v/>
      </c>
      <c r="X89" s="54">
        <f>IF(U89="","",Method!$B$4*IF(BE89="",K89,BE89)+(1-Method!$B$4)*U89/($S89+$T89+$U89))</f>
        <v/>
      </c>
      <c r="Y89" s="54">
        <f>IF(V89="","",V89*L89-1)</f>
        <v/>
      </c>
      <c r="Z89" s="54">
        <f>IF(W89="","",W89*M89-1)</f>
        <v/>
      </c>
      <c r="AA89" s="54">
        <f>IF(X89="","",X89*N89-1)</f>
        <v/>
      </c>
      <c r="AB89" s="54">
        <f>IF(Y89="","",MATCH(MAX(Y89:AA89),Y89:AA89,0))</f>
        <v/>
      </c>
      <c r="AC89" s="54">
        <f>IF(AB89="","",CHOOSE(AB89,"H","D","A"))</f>
        <v/>
      </c>
      <c r="AD89" s="54">
        <f>IF(AB89="","",CHOOSE(AB89,"1  "&amp;D89,"X  Draw","2  "&amp;E89))</f>
        <v/>
      </c>
      <c r="AE89" s="82">
        <f>IF(AB89="","",INDEX(L89:N89,1,AB89))</f>
        <v/>
      </c>
      <c r="AF89" s="54">
        <f>IF(AB89="","",INDEX(Y89:AA89,1,AB89))</f>
        <v/>
      </c>
      <c r="AG89" s="54">
        <f>IF(AB89="","",INDEX(V89:X89,1,AB89)-INDEX(S89:U89,1,AB89))</f>
        <v/>
      </c>
      <c r="AH89" s="54">
        <f>IF(AB89="","· enter odds",IF(OR(AF89&gt;Method!$B$87,IFERROR(INDEX(BC89:BE89,1,AB89)/INDEX(S89:U89,1,AB89),0)&gt;Method!$B$88),"PASS",IF(AND(AF89&gt;=Method!$B$7,AG89&gt;=Method!$B$8),"BET","PASS")))</f>
        <v/>
      </c>
      <c r="AI89" s="54">
        <f>IF(AH89&lt;&gt;"BET",0,ROUND(MIN(Method!$B$6,Method!$B$5*AL89)*100,1))</f>
        <v/>
      </c>
      <c r="AJ89" s="54">
        <f>IF(OR(AH89&lt;&gt;"BET",Method!$B$55=TRUE()),0,IF(AI89*Method!$B$10/100&lt;Method!$B$9,0,ROUND(AI89*Method!$B$10/100,0)))</f>
        <v/>
      </c>
      <c r="AK89" s="54">
        <f>IF(AB89="","",INDEX(V89:X89,1,AB89))</f>
        <v/>
      </c>
      <c r="AL89" s="54">
        <f>IF(AH89&lt;&gt;"BET","",MAX(0,(AK89*AE89-1)/(AE89-1)))</f>
        <v/>
      </c>
      <c r="AM89" s="54">
        <f>IF(AH89="BET",AF89+A89/1000000,"")</f>
        <v/>
      </c>
      <c r="AN89" s="54">
        <f>IF(Matchday!N91="","",Matchday!N91)</f>
        <v/>
      </c>
      <c r="AO89" s="54">
        <f>IF(Matchday!P91="","",Matchday!P91)</f>
        <v/>
      </c>
      <c r="AP89" s="54">
        <f>IF(Matchday!Q91="","",Matchday!Q91)</f>
        <v/>
      </c>
      <c r="AQ89" s="54">
        <f>IF(Matchday!R91="","",Matchday!R91)</f>
        <v/>
      </c>
      <c r="AR89" s="54">
        <f>IF(OR(AN89&lt;&gt;"Y",AQ89="",AV89=""),"",IF(AQ89="Void",0,IF(AQ89=AV89,ROUND(AP89*(AO89-1),2),-AP89)))</f>
        <v/>
      </c>
      <c r="AS89" s="54">
        <f>IF(AR89="","",SUM($AR$2:AR89))</f>
        <v/>
      </c>
      <c r="AT89" s="54">
        <f>IF(AB89="","Type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pauses.")),IF(AH89="BET",IF(AJ89=0,"Edge found but stake rounds under £"&amp;Method!$B$9&amp;" — skip",IF(AND(AE89&gt;=6,AG89&gt;=0.15),"🟡 WAIT — long-shot review: odds "&amp;TEXT(AE89,"0.00")&amp;" + edge "&amp;TEXT(AG89,"0.0%")&amp;" — verify sharp-book + team news + stake comfort before Placed=Y","Value found: EV "&amp;TEXT(AF89,"0.0%")&amp;", edge "&amp;TEXT(AG89,"0.0%"))),IF(OR(AF89&gt;Method!$B$87,IFERROR(INDEX(BC89:BE89,1,AB89)/INDEX(S89:U89,1,AB89),0)&gt;Method!$B$88),"🛑 Tail trap — auto-PASS · EV "&amp;TEXT(AF89,"0.0%")&amp;" (cap "&amp;TEXT(Method!$B$87,"0%")&amp;") · model/market "&amp;TEXT(IFERROR(INDEX(BC89:BE89,1,AB89)/INDEX(S89:U89,1,AB89),0),"0.0")&amp;"× (cap "&amp;TEXT(Method!$B$88,"0.0")&amp;"×)",IF(AF89&lt;Method!$B$7,"Price too short — EV "&amp;TEXT(AF89,"0.0%")&amp;" (need "&amp;TEXT(Method!$B$7,"0.0%")&amp;"+)","Model ≈ market — edge "&amp;TEXT(AG89,"0.0%")&amp;" (need "&amp;TEXT(Method!$B$8,"0.0%")&amp;"+)")))))</f>
        <v/>
      </c>
      <c r="AU89" s="54">
        <f>IF(AN89&lt;&gt;"Y","",IF(AH89="· enter odds","⚠ type the 3 odds (1/X/2) to grade this bet",IF(OR(AV89="",AO89="",AP89=""),"⚠ log backed pick, odds &amp; stake",IF(AZ89&lt;&gt;"BET","⚠ FUN BET — engine said pass · staked £"&amp;AP89&amp;" vs engine £"&amp;BA89,IF(AV89&lt;&gt;IF(AY89="",AC89,AY89),"⚠ backed "&amp;AV89&amp;" but engine pick was "&amp;IF(AY89="",AC89,AY89),IF(AP89&gt;BA89,"⚠ stake over engine £"&amp;BA89,IF(ABS(AO89-IFERROR(INDEX(L89:N89,1,MATCH(AV89,{"H","D","A"},0)),AE89))&gt;0.02,"⚠ odds moved — re-check value","✓ engine bet")))))))</f>
        <v/>
      </c>
      <c r="AV89" s="54">
        <f>IF(Matchday!O91="","",Matchday!O91)</f>
        <v/>
      </c>
      <c r="AW89" s="54" t="n"/>
      <c r="AX89" s="54" t="n"/>
      <c r="AY89" s="54" t="n"/>
      <c r="AZ89" s="54">
        <f>IF(AW89="",AH89,AW89)</f>
        <v/>
      </c>
      <c r="BA89" s="54">
        <f>IF(AX89&lt;&gt;"",AX89,IF(AH89&lt;&gt;"BET",0,IF(AI89*Method!$B$10/100&lt;Method!$B$9,0,ROUND(AI89*Method!$B$10/100,0))))</f>
        <v/>
      </c>
      <c r="BB89" s="14" t="n">
        <v>-48.58</v>
      </c>
      <c r="BC89" s="14">
        <f>IF(I89="","",I89)</f>
        <v/>
      </c>
      <c r="BD89" s="14">
        <f>IF(J89="","",J89)</f>
        <v/>
      </c>
      <c r="BE89" s="14">
        <f>IF(K89="","",K89)</f>
        <v/>
      </c>
      <c r="BF89" s="14" t="inlineStr">
        <is>
          <t>Australia team-wide: -26 · Egypt team-wide: -23</t>
        </is>
      </c>
      <c r="BG89" s="14" t="n">
        <v>0</v>
      </c>
    </row>
    <row r="90" ht="15.75" customHeight="1" s="153">
      <c r="A90" s="54" t="n">
        <v>89</v>
      </c>
      <c r="B90" s="80" t="n">
        <v>46207</v>
      </c>
      <c r="C90" s="54" t="inlineStr">
        <is>
          <t>R16</t>
        </is>
      </c>
      <c r="D90" s="54" t="inlineStr">
        <is>
          <t>Paraguay</t>
        </is>
      </c>
      <c r="E90" s="54" t="inlineStr">
        <is>
          <t>France</t>
        </is>
      </c>
      <c r="F90" s="54" t="inlineStr">
        <is>
          <t>Philadelphia, PA</t>
        </is>
      </c>
      <c r="G90" s="81" t="n">
        <v>0.7083333333333334</v>
      </c>
      <c r="H90" s="54" t="n"/>
      <c r="I90" s="54" t="n">
        <v>0.1328349314786197</v>
      </c>
      <c r="J90" s="54" t="n">
        <v>0.2328916175773277</v>
      </c>
      <c r="K90" s="54" t="n">
        <v>0.6342734509440526</v>
      </c>
      <c r="L90" s="54">
        <f>IF(Matchday!E92="","",Matchday!E92)</f>
        <v/>
      </c>
      <c r="M90" s="54">
        <f>IF(Matchday!F92="","",Matchday!F92)</f>
        <v/>
      </c>
      <c r="N90" s="54">
        <f>IF(Matchday!G92="","",Matchday!G92)</f>
        <v/>
      </c>
      <c r="O90" s="54">
        <f>IF(L90="","",1/L90)</f>
        <v/>
      </c>
      <c r="P90" s="54">
        <f>IF(M90="","",1/M90)</f>
        <v/>
      </c>
      <c r="Q90" s="54">
        <f>IF(N90="","",1/N90)</f>
        <v/>
      </c>
      <c r="R90" s="54">
        <f>IF(COUNT(L90:N90)&lt;3,"",O90+P90+Q90)</f>
        <v/>
      </c>
      <c r="S90" s="54">
        <f t="array" ref="S90">IF($R90="","",IF(Method!$B$56="proportional",O90/$R90,IF(Method!$B$56="power",IFERROR(INDEX(power_devig($L90,$M90,$N90),1,1),O90/$R90),IFERROR(INDEX(shin($L90,$M90,$N90),1,1),O90/$R90))))</f>
        <v/>
      </c>
      <c r="T90" s="54">
        <f t="array" ref="T90">IF($R90="","",IF(Method!$B$56="proportional",P90/$R90,IF(Method!$B$56="power",IFERROR(INDEX(power_devig($L90,$M90,$N90),2,1),P90/$R90),IFERROR(INDEX(shin($L90,$M90,$N90),2,1),P90/$R90))))</f>
        <v/>
      </c>
      <c r="U90" s="54">
        <f t="array" ref="U90">IF($R90="","",IF(Method!$B$56="proportional",Q90/$R90,IF(Method!$B$56="power",IFERROR(INDEX(power_devig($L90,$M90,$N90),3,1),Q90/$R90),IFERROR(INDEX(shin($L90,$M90,$N90),3,1),Q90/$R90))))</f>
        <v/>
      </c>
      <c r="V90" s="54">
        <f>IF(S90="","",Method!$B$4*IF(BC90="",I90,BC90)+(1-Method!$B$4)*S90/($S90+$T90+$U90))</f>
        <v/>
      </c>
      <c r="W90" s="54">
        <f>IF(T90="","",Method!$B$4*IF(BD90="",J90,BD90)+(1-Method!$B$4)*T90/($S90+$T90+$U90))</f>
        <v/>
      </c>
      <c r="X90" s="54">
        <f>IF(U90="","",Method!$B$4*IF(BE90="",K90,BE90)+(1-Method!$B$4)*U90/($S90+$T90+$U90))</f>
        <v/>
      </c>
      <c r="Y90" s="54">
        <f>IF(V90="","",V90*L90-1)</f>
        <v/>
      </c>
      <c r="Z90" s="54">
        <f>IF(W90="","",W90*M90-1)</f>
        <v/>
      </c>
      <c r="AA90" s="54">
        <f>IF(X90="","",X90*N90-1)</f>
        <v/>
      </c>
      <c r="AB90" s="54">
        <f>IF(Y90="","",MATCH(MAX(Y90:AA90),Y90:AA90,0))</f>
        <v/>
      </c>
      <c r="AC90" s="54">
        <f>IF(AB90="","",CHOOSE(AB90,"H","D","A"))</f>
        <v/>
      </c>
      <c r="AD90" s="54">
        <f>IF(AB90="","",CHOOSE(AB90,"1  "&amp;D90,"X  Draw","2  "&amp;E90))</f>
        <v/>
      </c>
      <c r="AE90" s="54">
        <f>IF(AB90="","",INDEX(L90:N90,1,AB90))</f>
        <v/>
      </c>
      <c r="AF90" s="54">
        <f>IF(AB90="","",INDEX(Y90:AA90,1,AB90))</f>
        <v/>
      </c>
      <c r="AG90" s="54">
        <f>IF(AB90="","",INDEX(V90:X90,1,AB90)-INDEX(S90:U90,1,AB90))</f>
        <v/>
      </c>
      <c r="AH90" s="54">
        <f>IF(AB90="","· enter odds",IF(OR(AF90&gt;Method!$B$87,IFERROR(INDEX(BC90:BE90,1,AB90)/INDEX(S90:U90,1,AB90),0)&gt;Method!$B$88),"PASS",IF(AND(AF90&gt;=Method!$B$7,AG90&gt;=Method!$B$8),"BET","PASS")))</f>
        <v/>
      </c>
      <c r="AI90" s="54">
        <f>IF(AH90&lt;&gt;"BET",0,ROUND(MIN(Method!$B$6,Method!$B$5*AL90)*100,1))</f>
        <v/>
      </c>
      <c r="AJ90" s="54">
        <f>IF(OR(AH90&lt;&gt;"BET",Method!$B$55=TRUE()),0,IF(AI90*Method!$B$10/100&lt;Method!$B$9,0,ROUND(AI90*Method!$B$10/100,0)))</f>
        <v/>
      </c>
      <c r="AK90" s="54">
        <f>IF(AB90="","",INDEX(V90:X90,1,AB90))</f>
        <v/>
      </c>
      <c r="AL90" s="54">
        <f>IF(AH90&lt;&gt;"BET","",MAX(0,(AK90*AE90-1)/(AE90-1)))</f>
        <v/>
      </c>
      <c r="AM90" s="54">
        <f>IF(AH90="BET",AF90+A90/1000000,"")</f>
        <v/>
      </c>
      <c r="AN90" s="54">
        <f>IF(Matchday!N92="","",Matchday!N92)</f>
        <v/>
      </c>
      <c r="AO90" s="54">
        <f>IF(Matchday!P92="","",Matchday!P92)</f>
        <v/>
      </c>
      <c r="AP90" s="54">
        <f>IF(Matchday!Q92="","",Matchday!Q92)</f>
        <v/>
      </c>
      <c r="AQ90" s="54">
        <f>IF(Matchday!R92="","",Matchday!R92)</f>
        <v/>
      </c>
      <c r="AR90" s="54">
        <f>IF(OR(AN90&lt;&gt;"Y",AQ90="",AV90=""),"",IF(AQ90="Void",0,IF(AQ90=AV90,ROUND(AP90*(AO90-1),2),-AP90)))</f>
        <v/>
      </c>
      <c r="AS90" s="54">
        <f>IF(AR90="","",SUM($AR$2:AR90))</f>
        <v/>
      </c>
      <c r="AT90" s="54">
        <f>IF(AB90="","Type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pauses.")),IF(AH90="BET",IF(AJ90=0,"Edge found but stake rounds under £"&amp;Method!$B$9&amp;" — skip",IF(AND(AE90&gt;=6,AG90&gt;=0.15),"🟡 WAIT — long-shot review: odds "&amp;TEXT(AE90,"0.00")&amp;" + edge "&amp;TEXT(AG90,"0.0%")&amp;" — verify sharp-book + team news + stake comfort before Placed=Y","Value found: EV "&amp;TEXT(AF90,"0.0%")&amp;", edge "&amp;TEXT(AG90,"0.0%"))),IF(OR(AF90&gt;Method!$B$87,IFERROR(INDEX(BC90:BE90,1,AB90)/INDEX(S90:U90,1,AB90),0)&gt;Method!$B$88),"🛑 Tail trap — auto-PASS · EV "&amp;TEXT(AF90,"0.0%")&amp;" (cap "&amp;TEXT(Method!$B$87,"0%")&amp;") · model/market "&amp;TEXT(IFERROR(INDEX(BC90:BE90,1,AB90)/INDEX(S90:U90,1,AB90),0),"0.0")&amp;"× (cap "&amp;TEXT(Method!$B$88,"0.0")&amp;"×)",IF(AF90&lt;Method!$B$7,"Price too short — EV "&amp;TEXT(AF90,"0.0%")&amp;" (need "&amp;TEXT(Method!$B$7,"0.0%")&amp;"+)","Model ≈ market — edge "&amp;TEXT(AG90,"0.0%")&amp;" (need "&amp;TEXT(Method!$B$8,"0.0%")&amp;"+)")))))</f>
        <v/>
      </c>
      <c r="AU90" s="54">
        <f>IF(AN90&lt;&gt;"Y","",IF(AH90="· enter odds","⚠ type the 3 odds (1/X/2) to grade this bet",IF(OR(AV90="",AO90="",AP90=""),"⚠ log backed pick, odds &amp; stake",IF(AZ90&lt;&gt;"BET","⚠ FUN BET — engine said pass · staked £"&amp;AP90&amp;" vs engine £"&amp;BA90,IF(AV90&lt;&gt;IF(AY90="",AC90,AY90),"⚠ backed "&amp;AV90&amp;" but engine pick was "&amp;IF(AY90="",AC90,AY90),IF(AP90&gt;BA90,"⚠ stake over engine £"&amp;BA90,IF(ABS(AO90-IFERROR(INDEX(L90:N90,1,MATCH(AV90,{"H","D","A"},0)),AE90))&gt;0.02,"⚠ odds moved — re-check value","✓ engine bet")))))))</f>
        <v/>
      </c>
      <c r="AV90" s="54">
        <f>IF(Matchday!O92="","",Matchday!O92)</f>
        <v/>
      </c>
      <c r="AW90" s="54" t="n"/>
      <c r="AX90" s="54" t="n"/>
      <c r="AY90" s="54" t="n"/>
      <c r="AZ90" s="54">
        <f>IF(AW90="",AH90,AW90)</f>
        <v/>
      </c>
      <c r="BA90" s="54">
        <f>IF(AX90&lt;&gt;"",AX90,IF(AH90&lt;&gt;"BET",0,IF(AI90*Method!$B$10/100&lt;Method!$B$9,0,ROUND(AI90*Method!$B$10/100,0))))</f>
        <v/>
      </c>
      <c r="BB90" s="14" t="n">
        <v>-21.56</v>
      </c>
      <c r="BC90" s="14">
        <f>IF(I90="","",I90)</f>
        <v/>
      </c>
      <c r="BD90" s="14">
        <f>IF(J90="","",J90)</f>
        <v/>
      </c>
      <c r="BE90" s="14">
        <f>IF(K90="","",K90)</f>
        <v/>
      </c>
      <c r="BF90" s="14" t="inlineStr">
        <is>
          <t>France team-wide: +16 · Paraguay team-wide: -35 · Paraguay suspension: -3</t>
        </is>
      </c>
      <c r="BG90" s="14" t="n">
        <v>12</v>
      </c>
      <c r="BH90" s="14" t="inlineStr">
        <is>
          <t>warm_humid</t>
        </is>
      </c>
    </row>
    <row r="91" ht="15.75" customHeight="1" s="153">
      <c r="A91" s="54" t="n">
        <v>90</v>
      </c>
      <c r="B91" s="80" t="n">
        <v>46207</v>
      </c>
      <c r="C91" s="54" t="inlineStr">
        <is>
          <t>R16</t>
        </is>
      </c>
      <c r="D91" s="54" t="inlineStr">
        <is>
          <t>Canada</t>
        </is>
      </c>
      <c r="E91" s="54" t="inlineStr">
        <is>
          <t>Morocco</t>
        </is>
      </c>
      <c r="F91" s="54" t="inlineStr">
        <is>
          <t>Houston, TX</t>
        </is>
      </c>
      <c r="G91" s="81" t="n">
        <v>0.5</v>
      </c>
      <c r="H91" s="54" t="n"/>
      <c r="I91" s="54" t="n">
        <v>0.2591842077568019</v>
      </c>
      <c r="J91" s="54" t="n">
        <v>0.316084162058947</v>
      </c>
      <c r="K91" s="54" t="n">
        <v>0.4247316301842511</v>
      </c>
      <c r="L91" s="54">
        <f>IF(Matchday!E93="","",Matchday!E93)</f>
        <v/>
      </c>
      <c r="M91" s="54">
        <f>IF(Matchday!F93="","",Matchday!F93)</f>
        <v/>
      </c>
      <c r="N91" s="54">
        <f>IF(Matchday!G93="","",Matchday!G93)</f>
        <v/>
      </c>
      <c r="O91" s="54">
        <f>IF(L91="","",1/L91)</f>
        <v/>
      </c>
      <c r="P91" s="54">
        <f>IF(M91="","",1/M91)</f>
        <v/>
      </c>
      <c r="Q91" s="54">
        <f>IF(N91="","",1/N91)</f>
        <v/>
      </c>
      <c r="R91" s="54">
        <f>IF(COUNT(L91:N91)&lt;3,"",O91+P91+Q91)</f>
        <v/>
      </c>
      <c r="S91" s="54">
        <f t="array" ref="S91">IF($R91="","",IF(Method!$B$56="proportional",O91/$R91,IF(Method!$B$56="power",IFERROR(INDEX(power_devig($L91,$M91,$N91),1,1),O91/$R91),IFERROR(INDEX(shin($L91,$M91,$N91),1,1),O91/$R91))))</f>
        <v/>
      </c>
      <c r="T91" s="54">
        <f t="array" ref="T91">IF($R91="","",IF(Method!$B$56="proportional",P91/$R91,IF(Method!$B$56="power",IFERROR(INDEX(power_devig($L91,$M91,$N91),2,1),P91/$R91),IFERROR(INDEX(shin($L91,$M91,$N91),2,1),P91/$R91))))</f>
        <v/>
      </c>
      <c r="U91" s="54">
        <f t="array" ref="U91">IF($R91="","",IF(Method!$B$56="proportional",Q91/$R91,IF(Method!$B$56="power",IFERROR(INDEX(power_devig($L91,$M91,$N91),3,1),Q91/$R91),IFERROR(INDEX(shin($L91,$M91,$N91),3,1),Q91/$R91))))</f>
        <v/>
      </c>
      <c r="V91" s="54">
        <f>IF(S91="","",Method!$B$4*IF(BC91="",I91,BC91)+(1-Method!$B$4)*S91/($S91+$T91+$U91))</f>
        <v/>
      </c>
      <c r="W91" s="54">
        <f>IF(T91="","",Method!$B$4*IF(BD91="",J91,BD91)+(1-Method!$B$4)*T91/($S91+$T91+$U91))</f>
        <v/>
      </c>
      <c r="X91" s="54">
        <f>IF(U91="","",Method!$B$4*IF(BE91="",K91,BE91)+(1-Method!$B$4)*U91/($S91+$T91+$U91))</f>
        <v/>
      </c>
      <c r="Y91" s="54">
        <f>IF(V91="","",V91*L91-1)</f>
        <v/>
      </c>
      <c r="Z91" s="54">
        <f>IF(W91="","",W91*M91-1)</f>
        <v/>
      </c>
      <c r="AA91" s="54">
        <f>IF(X91="","",X91*N91-1)</f>
        <v/>
      </c>
      <c r="AB91" s="54">
        <f>IF(Y91="","",MATCH(MAX(Y91:AA91),Y91:AA91,0))</f>
        <v/>
      </c>
      <c r="AC91" s="54">
        <f>IF(AB91="","",CHOOSE(AB91,"H","D","A"))</f>
        <v/>
      </c>
      <c r="AD91" s="54">
        <f>IF(AB91="","",CHOOSE(AB91,"1  "&amp;D91,"X  Draw","2  "&amp;E91))</f>
        <v/>
      </c>
      <c r="AE91" s="54">
        <f>IF(AB91="","",INDEX(L91:N91,1,AB91))</f>
        <v/>
      </c>
      <c r="AF91" s="54">
        <f>IF(AB91="","",INDEX(Y91:AA91,1,AB91))</f>
        <v/>
      </c>
      <c r="AG91" s="54">
        <f>IF(AB91="","",INDEX(V91:X91,1,AB91)-INDEX(S91:U91,1,AB91))</f>
        <v/>
      </c>
      <c r="AH91" s="54">
        <f>IF(AB91="","· enter odds",IF(OR(AF91&gt;Method!$B$87,IFERROR(INDEX(BC91:BE91,1,AB91)/INDEX(S91:U91,1,AB91),0)&gt;Method!$B$88),"PASS",IF(AND(AF91&gt;=Method!$B$7,AG91&gt;=Method!$B$8),"BET","PASS")))</f>
        <v/>
      </c>
      <c r="AI91" s="54">
        <f>IF(AH91&lt;&gt;"BET",0,ROUND(MIN(Method!$B$6,Method!$B$5*AL91)*100,1))</f>
        <v/>
      </c>
      <c r="AJ91" s="54">
        <f>IF(OR(AH91&lt;&gt;"BET",Method!$B$55=TRUE()),0,IF(AI91*Method!$B$10/100&lt;Method!$B$9,0,ROUND(AI91*Method!$B$10/100,0)))</f>
        <v/>
      </c>
      <c r="AK91" s="54">
        <f>IF(AB91="","",INDEX(V91:X91,1,AB91))</f>
        <v/>
      </c>
      <c r="AL91" s="54">
        <f>IF(AH91&lt;&gt;"BET","",MAX(0,(AK91*AE91-1)/(AE91-1)))</f>
        <v/>
      </c>
      <c r="AM91" s="54">
        <f>IF(AH91="BET",AF91+A91/1000000,"")</f>
        <v/>
      </c>
      <c r="AN91" s="54">
        <f>IF(Matchday!N93="","",Matchday!N93)</f>
        <v/>
      </c>
      <c r="AO91" s="54">
        <f>IF(Matchday!P93="","",Matchday!P93)</f>
        <v/>
      </c>
      <c r="AP91" s="54">
        <f>IF(Matchday!Q93="","",Matchday!Q93)</f>
        <v/>
      </c>
      <c r="AQ91" s="54">
        <f>IF(Matchday!R93="","",Matchday!R93)</f>
        <v/>
      </c>
      <c r="AR91" s="54">
        <f>IF(OR(AN91&lt;&gt;"Y",AQ91="",AV91=""),"",IF(AQ91="Void",0,IF(AQ91=AV91,ROUND(AP91*(AO91-1),2),-AP91)))</f>
        <v/>
      </c>
      <c r="AS91" s="54">
        <f>IF(AR91="","",SUM($AR$2:AR91))</f>
        <v/>
      </c>
      <c r="AT91" s="54">
        <f>IF(AB91="","Type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pauses.")),IF(AH91="BET",IF(AJ91=0,"Edge found but stake rounds under £"&amp;Method!$B$9&amp;" — skip",IF(AND(AE91&gt;=6,AG91&gt;=0.15),"🟡 WAIT — long-shot review: odds "&amp;TEXT(AE91,"0.00")&amp;" + edge "&amp;TEXT(AG91,"0.0%")&amp;" — verify sharp-book + team news + stake comfort before Placed=Y","Value found: EV "&amp;TEXT(AF91,"0.0%")&amp;", edge "&amp;TEXT(AG91,"0.0%"))),IF(OR(AF91&gt;Method!$B$87,IFERROR(INDEX(BC91:BE91,1,AB91)/INDEX(S91:U91,1,AB91),0)&gt;Method!$B$88),"🛑 Tail trap — auto-PASS · EV "&amp;TEXT(AF91,"0.0%")&amp;" (cap "&amp;TEXT(Method!$B$87,"0%")&amp;") · model/market "&amp;TEXT(IFERROR(INDEX(BC91:BE91,1,AB91)/INDEX(S91:U91,1,AB91),0),"0.0")&amp;"× (cap "&amp;TEXT(Method!$B$88,"0.0")&amp;"×)",IF(AF91&lt;Method!$B$7,"Price too short — EV "&amp;TEXT(AF91,"0.0%")&amp;" (need "&amp;TEXT(Method!$B$7,"0.0%")&amp;"+)","Model ≈ market — edge "&amp;TEXT(AG91,"0.0%")&amp;" (need "&amp;TEXT(Method!$B$8,"0.0%")&amp;"+)")))))</f>
        <v/>
      </c>
      <c r="AU91" s="54">
        <f>IF(AN91&lt;&gt;"Y","",IF(AH91="· enter odds","⚠ type the 3 odds (1/X/2) to grade this bet",IF(OR(AV91="",AO91="",AP91=""),"⚠ log backed pick, odds &amp; stake",IF(AZ91&lt;&gt;"BET","⚠ FUN BET — engine said pass · staked £"&amp;AP91&amp;" vs engine £"&amp;BA91,IF(AV91&lt;&gt;IF(AY91="",AC91,AY91),"⚠ backed "&amp;AV91&amp;" but engine pick was "&amp;IF(AY91="",AC91,AY91),IF(AP91&gt;BA91,"⚠ stake over engine £"&amp;BA91,IF(ABS(AO91-IFERROR(INDEX(L91:N91,1,MATCH(AV91,{"H","D","A"},0)),AE91))&gt;0.02,"⚠ odds moved — re-check value","✓ engine bet")))))))</f>
        <v/>
      </c>
      <c r="AV91" s="54">
        <f>IF(Matchday!O93="","",Matchday!O93)</f>
        <v/>
      </c>
      <c r="AW91" s="54" t="n"/>
      <c r="AX91" s="54" t="n"/>
      <c r="AY91" s="54" t="n"/>
      <c r="AZ91" s="54">
        <f>IF(AW91="",AH91,AW91)</f>
        <v/>
      </c>
      <c r="BA91" s="54">
        <f>IF(AX91&lt;&gt;"",AX91,IF(AH91&lt;&gt;"BET",0,IF(AI91*Method!$B$10/100&lt;Method!$B$9,0,ROUND(AI91*Method!$B$10/100,0))))</f>
        <v/>
      </c>
      <c r="BB91" s="14" t="n">
        <v>-3.990000000000001</v>
      </c>
      <c r="BC91" s="14">
        <f>IF(I91="","",I91)</f>
        <v/>
      </c>
      <c r="BD91" s="14">
        <f>IF(J91="","",J91)</f>
        <v/>
      </c>
      <c r="BE91" s="14">
        <f>IF(K91="","",K91)</f>
        <v/>
      </c>
      <c r="BF91" s="14" t="inlineStr">
        <is>
          <t>Canada team-wide: -10 · Morocco team-wide: +6</t>
        </is>
      </c>
      <c r="BG91" s="14" t="n">
        <v>15</v>
      </c>
      <c r="BH91" s="14" t="inlineStr">
        <is>
          <t>very_hot_humid_indoor</t>
        </is>
      </c>
    </row>
    <row r="92" ht="15.75" customHeight="1" s="153">
      <c r="A92" s="54" t="n">
        <v>91</v>
      </c>
      <c r="B92" s="80" t="n">
        <v>46208</v>
      </c>
      <c r="C92" s="54" t="inlineStr">
        <is>
          <t>R16</t>
        </is>
      </c>
      <c r="D92" s="54" t="inlineStr">
        <is>
          <t>Brazil</t>
        </is>
      </c>
      <c r="E92" s="54" t="inlineStr">
        <is>
          <t>Norway</t>
        </is>
      </c>
      <c r="F92" s="54" t="inlineStr">
        <is>
          <t>East Rutherford, NJ</t>
        </is>
      </c>
      <c r="G92" s="81" t="n">
        <v>0.6666666666666666</v>
      </c>
      <c r="H92" s="54" t="n"/>
      <c r="I92" s="54" t="n">
        <v>0.3998987913778106</v>
      </c>
      <c r="J92" s="54" t="n">
        <v>0.2807196112821572</v>
      </c>
      <c r="K92" s="54" t="n">
        <v>0.3193815973400322</v>
      </c>
      <c r="L92" s="54">
        <f>IF(Matchday!E94="","",Matchday!E94)</f>
        <v/>
      </c>
      <c r="M92" s="54">
        <f>IF(Matchday!F94="","",Matchday!F94)</f>
        <v/>
      </c>
      <c r="N92" s="54">
        <f>IF(Matchday!G94="","",Matchday!G94)</f>
        <v/>
      </c>
      <c r="O92" s="54">
        <f>IF(L92="","",1/L92)</f>
        <v/>
      </c>
      <c r="P92" s="54">
        <f>IF(M92="","",1/M92)</f>
        <v/>
      </c>
      <c r="Q92" s="54">
        <f>IF(N92="","",1/N92)</f>
        <v/>
      </c>
      <c r="R92" s="54">
        <f>IF(COUNT(L92:N92)&lt;3,"",O92+P92+Q92)</f>
        <v/>
      </c>
      <c r="S92" s="54">
        <f t="array" ref="S92">IF($R92="","",IF(Method!$B$56="proportional",O92/$R92,IF(Method!$B$56="power",IFERROR(INDEX(power_devig($L92,$M92,$N92),1,1),O92/$R92),IFERROR(INDEX(shin($L92,$M92,$N92),1,1),O92/$R92))))</f>
        <v/>
      </c>
      <c r="T92" s="54">
        <f t="array" ref="T92">IF($R92="","",IF(Method!$B$56="proportional",P92/$R92,IF(Method!$B$56="power",IFERROR(INDEX(power_devig($L92,$M92,$N92),2,1),P92/$R92),IFERROR(INDEX(shin($L92,$M92,$N92),2,1),P92/$R92))))</f>
        <v/>
      </c>
      <c r="U92" s="54">
        <f t="array" ref="U92">IF($R92="","",IF(Method!$B$56="proportional",Q92/$R92,IF(Method!$B$56="power",IFERROR(INDEX(power_devig($L92,$M92,$N92),3,1),Q92/$R92),IFERROR(INDEX(shin($L92,$M92,$N92),3,1),Q92/$R92))))</f>
        <v/>
      </c>
      <c r="V92" s="54">
        <f>IF(S92="","",Method!$B$4*IF(BC92="",I92,BC92)+(1-Method!$B$4)*S92/($S92+$T92+$U92))</f>
        <v/>
      </c>
      <c r="W92" s="54">
        <f>IF(T92="","",Method!$B$4*IF(BD92="",J92,BD92)+(1-Method!$B$4)*T92/($S92+$T92+$U92))</f>
        <v/>
      </c>
      <c r="X92" s="54">
        <f>IF(U92="","",Method!$B$4*IF(BE92="",K92,BE92)+(1-Method!$B$4)*U92/($S92+$T92+$U92))</f>
        <v/>
      </c>
      <c r="Y92" s="54">
        <f>IF(V92="","",V92*L92-1)</f>
        <v/>
      </c>
      <c r="Z92" s="54">
        <f>IF(W92="","",W92*M92-1)</f>
        <v/>
      </c>
      <c r="AA92" s="54">
        <f>IF(X92="","",X92*N92-1)</f>
        <v/>
      </c>
      <c r="AB92" s="54">
        <f>IF(Y92="","",MATCH(MAX(Y92:AA92),Y92:AA92,0))</f>
        <v/>
      </c>
      <c r="AC92" s="54">
        <f>IF(AB92="","",CHOOSE(AB92,"H","D","A"))</f>
        <v/>
      </c>
      <c r="AD92" s="54">
        <f>IF(AB92="","",CHOOSE(AB92,"1  "&amp;D92,"X  Draw","2  "&amp;E92))</f>
        <v/>
      </c>
      <c r="AE92" s="54">
        <f>IF(AB92="","",INDEX(L92:N92,1,AB92))</f>
        <v/>
      </c>
      <c r="AF92" s="54">
        <f>IF(AB92="","",INDEX(Y92:AA92,1,AB92))</f>
        <v/>
      </c>
      <c r="AG92" s="54">
        <f>IF(AB92="","",INDEX(V92:X92,1,AB92)-INDEX(S92:U92,1,AB92))</f>
        <v/>
      </c>
      <c r="AH92" s="54">
        <f>IF(AB92="","· enter odds",IF(OR(AF92&gt;Method!$B$87,IFERROR(INDEX(BC92:BE92,1,AB92)/INDEX(S92:U92,1,AB92),0)&gt;Method!$B$88),"PASS",IF(AND(AF92&gt;=Method!$B$7,AG92&gt;=Method!$B$8),"BET","PASS")))</f>
        <v/>
      </c>
      <c r="AI92" s="54">
        <f>IF(AH92&lt;&gt;"BET",0,ROUND(MIN(Method!$B$6,Method!$B$5*AL92)*100,1))</f>
        <v/>
      </c>
      <c r="AJ92" s="54">
        <f>IF(OR(AH92&lt;&gt;"BET",Method!$B$55=TRUE()),0,IF(AI92*Method!$B$10/100&lt;Method!$B$9,0,ROUND(AI92*Method!$B$10/100,0)))</f>
        <v/>
      </c>
      <c r="AK92" s="54">
        <f>IF(AB92="","",INDEX(V92:X92,1,AB92))</f>
        <v/>
      </c>
      <c r="AL92" s="54">
        <f>IF(AH92&lt;&gt;"BET","",MAX(0,(AK92*AE92-1)/(AE92-1)))</f>
        <v/>
      </c>
      <c r="AM92" s="54">
        <f>IF(AH92="BET",AF92+A92/1000000,"")</f>
        <v/>
      </c>
      <c r="AN92" s="54">
        <f>IF(Matchday!N94="","",Matchday!N94)</f>
        <v/>
      </c>
      <c r="AO92" s="54">
        <f>IF(Matchday!P94="","",Matchday!P94)</f>
        <v/>
      </c>
      <c r="AP92" s="54">
        <f>IF(Matchday!Q94="","",Matchday!Q94)</f>
        <v/>
      </c>
      <c r="AQ92" s="54">
        <f>IF(Matchday!R94="","",Matchday!R94)</f>
        <v/>
      </c>
      <c r="AR92" s="54">
        <f>IF(OR(AN92&lt;&gt;"Y",AQ92="",AV92=""),"",IF(AQ92="Void",0,IF(AQ92=AV92,ROUND(AP92*(AO92-1),2),-AP92)))</f>
        <v/>
      </c>
      <c r="AS92" s="54">
        <f>IF(AR92="","",SUM($AR$2:AR92))</f>
        <v/>
      </c>
      <c r="AT92" s="54">
        <f>IF(AB92="","Type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pauses.")),IF(AH92="BET",IF(AJ92=0,"Edge found but stake rounds under £"&amp;Method!$B$9&amp;" — skip",IF(AND(AE92&gt;=6,AG92&gt;=0.15),"🟡 WAIT — long-shot review: odds "&amp;TEXT(AE92,"0.00")&amp;" + edge "&amp;TEXT(AG92,"0.0%")&amp;" — verify sharp-book + team news + stake comfort before Placed=Y","Value found: EV "&amp;TEXT(AF92,"0.0%")&amp;", edge "&amp;TEXT(AG92,"0.0%"))),IF(OR(AF92&gt;Method!$B$87,IFERROR(INDEX(BC92:BE92,1,AB92)/INDEX(S92:U92,1,AB92),0)&gt;Method!$B$88),"🛑 Tail trap — auto-PASS · EV "&amp;TEXT(AF92,"0.0%")&amp;" (cap "&amp;TEXT(Method!$B$87,"0%")&amp;") · model/market "&amp;TEXT(IFERROR(INDEX(BC92:BE92,1,AB92)/INDEX(S92:U92,1,AB92),0),"0.0")&amp;"× (cap "&amp;TEXT(Method!$B$88,"0.0")&amp;"×)",IF(AF92&lt;Method!$B$7,"Price too short — EV "&amp;TEXT(AF92,"0.0%")&amp;" (need "&amp;TEXT(Method!$B$7,"0.0%")&amp;"+)","Model ≈ market — edge "&amp;TEXT(AG92,"0.0%")&amp;" (need "&amp;TEXT(Method!$B$8,"0.0%")&amp;"+)")))))</f>
        <v/>
      </c>
      <c r="AU92" s="54">
        <f>IF(AN92&lt;&gt;"Y","",IF(AH92="· enter odds","⚠ type the 3 odds (1/X/2) to grade this bet",IF(OR(AV92="",AO92="",AP92=""),"⚠ log backed pick, odds &amp; stake",IF(AZ92&lt;&gt;"BET","⚠ FUN BET — engine said pass · staked £"&amp;AP92&amp;" vs engine £"&amp;BA92,IF(AV92&lt;&gt;IF(AY92="",AC92,AY92),"⚠ backed "&amp;AV92&amp;" but engine pick was "&amp;IF(AY92="",AC92,AY92),IF(AP92&gt;BA92,"⚠ stake over engine £"&amp;BA92,IF(ABS(AO92-IFERROR(INDEX(L92:N92,1,MATCH(AV92,{"H","D","A"},0)),AE92))&gt;0.02,"⚠ odds moved — re-check value","✓ engine bet")))))))</f>
        <v/>
      </c>
      <c r="AV92" s="54">
        <f>IF(Matchday!O94="","",Matchday!O94)</f>
        <v/>
      </c>
      <c r="AW92" s="54" t="n"/>
      <c r="AX92" s="54" t="n"/>
      <c r="AY92" s="54" t="n"/>
      <c r="AZ92" s="54">
        <f>IF(AW92="",AH92,AW92)</f>
        <v/>
      </c>
      <c r="BA92" s="54">
        <f>IF(AX92&lt;&gt;"",AX92,IF(AH92&lt;&gt;"BET",0,IF(AI92*Method!$B$10/100&lt;Method!$B$9,0,ROUND(AI92*Method!$B$10/100,0))))</f>
        <v/>
      </c>
      <c r="BB92" s="14" t="n">
        <v>-22.24</v>
      </c>
      <c r="BC92" s="14">
        <f>IF(I92="","",I92)</f>
        <v/>
      </c>
      <c r="BD92" s="14">
        <f>IF(J92="","",J92)</f>
        <v/>
      </c>
      <c r="BE92" s="14">
        <f>IF(K92="","",K92)</f>
        <v/>
      </c>
      <c r="BF92" s="14" t="inlineStr">
        <is>
          <t>Brazil team-wide: -16 · Brazil suspension: -3 · Brazil suspension: -3 · Norway team-wide: -1</t>
        </is>
      </c>
      <c r="BG92" s="14" t="n">
        <v>0</v>
      </c>
    </row>
    <row r="93" ht="15.75" customHeight="1" s="153">
      <c r="A93" s="54" t="n">
        <v>92</v>
      </c>
      <c r="B93" s="80" t="n">
        <v>46208</v>
      </c>
      <c r="C93" s="54" t="inlineStr">
        <is>
          <t>R16</t>
        </is>
      </c>
      <c r="D93" s="54" t="inlineStr">
        <is>
          <t>Mexico</t>
        </is>
      </c>
      <c r="E93" s="54" t="inlineStr">
        <is>
          <t>England</t>
        </is>
      </c>
      <c r="F93" s="54" t="inlineStr">
        <is>
          <t>Mexico City</t>
        </is>
      </c>
      <c r="G93" s="81" t="n">
        <v>0.75</v>
      </c>
      <c r="H93" s="54" t="n"/>
      <c r="I93" s="54" t="n">
        <v>0.2780583264593327</v>
      </c>
      <c r="J93" s="54" t="n">
        <v>0.302167286135206</v>
      </c>
      <c r="K93" s="54" t="n">
        <v>0.4197743874054613</v>
      </c>
      <c r="L93" s="54">
        <f>IF(Matchday!E95="","",Matchday!E95)</f>
        <v/>
      </c>
      <c r="M93" s="54">
        <f>IF(Matchday!F95="","",Matchday!F95)</f>
        <v/>
      </c>
      <c r="N93" s="54">
        <f>IF(Matchday!G95="","",Matchday!G95)</f>
        <v/>
      </c>
      <c r="O93" s="54">
        <f>IF(L93="","",1/L93)</f>
        <v/>
      </c>
      <c r="P93" s="54">
        <f>IF(M93="","",1/M93)</f>
        <v/>
      </c>
      <c r="Q93" s="54">
        <f>IF(N93="","",1/N93)</f>
        <v/>
      </c>
      <c r="R93" s="54">
        <f>IF(COUNT(L93:N93)&lt;3,"",O93+P93+Q93)</f>
        <v/>
      </c>
      <c r="S93" s="54">
        <f t="array" ref="S93">IF($R93="","",IF(Method!$B$56="proportional",O93/$R93,IF(Method!$B$56="power",IFERROR(INDEX(power_devig($L93,$M93,$N93),1,1),O93/$R93),IFERROR(INDEX(shin($L93,$M93,$N93),1,1),O93/$R93))))</f>
        <v/>
      </c>
      <c r="T93" s="54">
        <f t="array" ref="T93">IF($R93="","",IF(Method!$B$56="proportional",P93/$R93,IF(Method!$B$56="power",IFERROR(INDEX(power_devig($L93,$M93,$N93),2,1),P93/$R93),IFERROR(INDEX(shin($L93,$M93,$N93),2,1),P93/$R93))))</f>
        <v/>
      </c>
      <c r="U93" s="54">
        <f t="array" ref="U93">IF($R93="","",IF(Method!$B$56="proportional",Q93/$R93,IF(Method!$B$56="power",IFERROR(INDEX(power_devig($L93,$M93,$N93),3,1),Q93/$R93),IFERROR(INDEX(shin($L93,$M93,$N93),3,1),Q93/$R93))))</f>
        <v/>
      </c>
      <c r="V93" s="54">
        <f>IF(S93="","",Method!$B$4*IF(BC93="",I93,BC93)+(1-Method!$B$4)*S93/($S93+$T93+$U93))</f>
        <v/>
      </c>
      <c r="W93" s="54">
        <f>IF(T93="","",Method!$B$4*IF(BD93="",J93,BD93)+(1-Method!$B$4)*T93/($S93+$T93+$U93))</f>
        <v/>
      </c>
      <c r="X93" s="54">
        <f>IF(U93="","",Method!$B$4*IF(BE93="",K93,BE93)+(1-Method!$B$4)*U93/($S93+$T93+$U93))</f>
        <v/>
      </c>
      <c r="Y93" s="54">
        <f>IF(V93="","",V93*L93-1)</f>
        <v/>
      </c>
      <c r="Z93" s="54">
        <f>IF(W93="","",W93*M93-1)</f>
        <v/>
      </c>
      <c r="AA93" s="54">
        <f>IF(X93="","",X93*N93-1)</f>
        <v/>
      </c>
      <c r="AB93" s="54">
        <f>IF(Y93="","",MATCH(MAX(Y93:AA93),Y93:AA93,0))</f>
        <v/>
      </c>
      <c r="AC93" s="54">
        <f>IF(AB93="","",CHOOSE(AB93,"H","D","A"))</f>
        <v/>
      </c>
      <c r="AD93" s="54">
        <f>IF(AB93="","",CHOOSE(AB93,"1  "&amp;D93,"X  Draw","2  "&amp;E93))</f>
        <v/>
      </c>
      <c r="AE93" s="54">
        <f>IF(AB93="","",INDEX(L93:N93,1,AB93))</f>
        <v/>
      </c>
      <c r="AF93" s="54">
        <f>IF(AB93="","",INDEX(Y93:AA93,1,AB93))</f>
        <v/>
      </c>
      <c r="AG93" s="54">
        <f>IF(AB93="","",INDEX(V93:X93,1,AB93)-INDEX(S93:U93,1,AB93))</f>
        <v/>
      </c>
      <c r="AH93" s="54">
        <f>IF(AB93="","· enter odds",IF(OR(AF93&gt;Method!$B$87,IFERROR(INDEX(BC93:BE93,1,AB93)/INDEX(S93:U93,1,AB93),0)&gt;Method!$B$88),"PASS",IF(AND(AF93&gt;=Method!$B$7,AG93&gt;=Method!$B$8),"BET","PASS")))</f>
        <v/>
      </c>
      <c r="AI93" s="54">
        <f>IF(AH93&lt;&gt;"BET",0,ROUND(MIN(Method!$B$6,Method!$B$5*AL93)*100,1))</f>
        <v/>
      </c>
      <c r="AJ93" s="54">
        <f>IF(OR(AH93&lt;&gt;"BET",Method!$B$55=TRUE()),0,IF(AI93*Method!$B$10/100&lt;Method!$B$9,0,ROUND(AI93*Method!$B$10/100,0)))</f>
        <v/>
      </c>
      <c r="AK93" s="54">
        <f>IF(AB93="","",INDEX(V93:X93,1,AB93))</f>
        <v/>
      </c>
      <c r="AL93" s="54">
        <f>IF(AH93&lt;&gt;"BET","",MAX(0,(AK93*AE93-1)/(AE93-1)))</f>
        <v/>
      </c>
      <c r="AM93" s="54">
        <f>IF(AH93="BET",AF93+A93/1000000,"")</f>
        <v/>
      </c>
      <c r="AN93" s="54">
        <f>IF(Matchday!N95="","",Matchday!N95)</f>
        <v/>
      </c>
      <c r="AO93" s="54">
        <f>IF(Matchday!P95="","",Matchday!P95)</f>
        <v/>
      </c>
      <c r="AP93" s="54">
        <f>IF(Matchday!Q95="","",Matchday!Q95)</f>
        <v/>
      </c>
      <c r="AQ93" s="54">
        <f>IF(Matchday!R95="","",Matchday!R95)</f>
        <v/>
      </c>
      <c r="AR93" s="54">
        <f>IF(OR(AN93&lt;&gt;"Y",AQ93="",AV93=""),"",IF(AQ93="Void",0,IF(AQ93=AV93,ROUND(AP93*(AO93-1),2),-AP93)))</f>
        <v/>
      </c>
      <c r="AS93" s="54">
        <f>IF(AR93="","",SUM($AR$2:AR93))</f>
        <v/>
      </c>
      <c r="AT93" s="54">
        <f>IF(AB93="","Type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pauses.")),IF(AH93="BET",IF(AJ93=0,"Edge found but stake rounds under £"&amp;Method!$B$9&amp;" — skip",IF(AND(AE93&gt;=6,AG93&gt;=0.15),"🟡 WAIT — long-shot review: odds "&amp;TEXT(AE93,"0.00")&amp;" + edge "&amp;TEXT(AG93,"0.0%")&amp;" — verify sharp-book + team news + stake comfort before Placed=Y","Value found: EV "&amp;TEXT(AF93,"0.0%")&amp;", edge "&amp;TEXT(AG93,"0.0%"))),IF(OR(AF93&gt;Method!$B$87,IFERROR(INDEX(BC93:BE93,1,AB93)/INDEX(S93:U93,1,AB93),0)&gt;Method!$B$88),"🛑 Tail trap — auto-PASS · EV "&amp;TEXT(AF93,"0.0%")&amp;" (cap "&amp;TEXT(Method!$B$87,"0%")&amp;") · model/market "&amp;TEXT(IFERROR(INDEX(BC93:BE93,1,AB93)/INDEX(S93:U93,1,AB93),0),"0.0")&amp;"× (cap "&amp;TEXT(Method!$B$88,"0.0")&amp;"×)",IF(AF93&lt;Method!$B$7,"Price too short — EV "&amp;TEXT(AF93,"0.0%")&amp;" (need "&amp;TEXT(Method!$B$7,"0.0%")&amp;"+)","Model ≈ market — edge "&amp;TEXT(AG93,"0.0%")&amp;" (need "&amp;TEXT(Method!$B$8,"0.0%")&amp;"+)")))))</f>
        <v/>
      </c>
      <c r="AU93" s="54">
        <f>IF(AN93&lt;&gt;"Y","",IF(AH93="· enter odds","⚠ type the 3 odds (1/X/2) to grade this bet",IF(OR(AV93="",AO93="",AP93=""),"⚠ log backed pick, odds &amp; stake",IF(AZ93&lt;&gt;"BET","⚠ FUN BET — engine said pass · staked £"&amp;AP93&amp;" vs engine £"&amp;BA93,IF(AV93&lt;&gt;IF(AY93="",AC93,AY93),"⚠ backed "&amp;AV93&amp;" but engine pick was "&amp;IF(AY93="",AC93,AY93),IF(AP93&gt;BA93,"⚠ stake over engine £"&amp;BA93,IF(ABS(AO93-IFERROR(INDEX(L93:N93,1,MATCH(AV93,{"H","D","A"},0)),AE93))&gt;0.02,"⚠ odds moved — re-check value","✓ engine bet")))))))</f>
        <v/>
      </c>
      <c r="AV93" s="54">
        <f>IF(Matchday!O95="","",Matchday!O95)</f>
        <v/>
      </c>
      <c r="AW93" s="54" t="n"/>
      <c r="AX93" s="54" t="n"/>
      <c r="AY93" s="54" t="n"/>
      <c r="AZ93" s="54">
        <f>IF(AW93="",AH93,AW93)</f>
        <v/>
      </c>
      <c r="BA93" s="54">
        <f>IF(AX93&lt;&gt;"",AX93,IF(AH93&lt;&gt;"BET",0,IF(AI93*Method!$B$10/100&lt;Method!$B$9,0,ROUND(AI93*Method!$B$10/100,0))))</f>
        <v/>
      </c>
      <c r="BB93" s="14" t="n">
        <v>-5.040000000000001</v>
      </c>
      <c r="BC93" s="14">
        <f>IF(I93="","",I93)</f>
        <v/>
      </c>
      <c r="BD93" s="14">
        <f>IF(J93="","",J93)</f>
        <v/>
      </c>
      <c r="BE93" s="14">
        <f>IF(K93="","",K93)</f>
        <v/>
      </c>
      <c r="BF93" s="14" t="inlineStr">
        <is>
          <t>England team-wide: -10 · Mexico team-wide: +5</t>
        </is>
      </c>
      <c r="BG93" s="14" t="n">
        <v>2240</v>
      </c>
      <c r="BH93" s="14" t="inlineStr">
        <is>
          <t>high_altitude_mild</t>
        </is>
      </c>
    </row>
    <row r="94" ht="15.75" customHeight="1" s="153">
      <c r="A94" s="54" t="n">
        <v>93</v>
      </c>
      <c r="B94" s="80" t="n">
        <v>46209</v>
      </c>
      <c r="C94" s="54" t="inlineStr">
        <is>
          <t>R16</t>
        </is>
      </c>
      <c r="D94" s="54" t="inlineStr">
        <is>
          <t>Portugal</t>
        </is>
      </c>
      <c r="E94" s="54" t="inlineStr">
        <is>
          <t>Spain</t>
        </is>
      </c>
      <c r="F94" s="54" t="inlineStr">
        <is>
          <t>Arlington, TX</t>
        </is>
      </c>
      <c r="G94" s="81" t="n">
        <v>0.5833333333333334</v>
      </c>
      <c r="H94" s="54" t="n"/>
      <c r="I94" s="54" t="n">
        <v>0.2285558243926448</v>
      </c>
      <c r="J94" s="54" t="n">
        <v>0.2630104020779577</v>
      </c>
      <c r="K94" s="54" t="n">
        <v>0.5084337735293976</v>
      </c>
      <c r="L94" s="54">
        <f>IF(Matchday!E96="","",Matchday!E96)</f>
        <v/>
      </c>
      <c r="M94" s="54">
        <f>IF(Matchday!F96="","",Matchday!F96)</f>
        <v/>
      </c>
      <c r="N94" s="54">
        <f>IF(Matchday!G96="","",Matchday!G96)</f>
        <v/>
      </c>
      <c r="O94" s="54">
        <f>IF(L94="","",1/L94)</f>
        <v/>
      </c>
      <c r="P94" s="54">
        <f>IF(M94="","",1/M94)</f>
        <v/>
      </c>
      <c r="Q94" s="54">
        <f>IF(N94="","",1/N94)</f>
        <v/>
      </c>
      <c r="R94" s="54">
        <f>IF(COUNT(L94:N94)&lt;3,"",O94+P94+Q94)</f>
        <v/>
      </c>
      <c r="S94" s="54">
        <f t="array" ref="S94">IF($R94="","",IF(Method!$B$56="proportional",O94/$R94,IF(Method!$B$56="power",IFERROR(INDEX(power_devig($L94,$M94,$N94),1,1),O94/$R94),IFERROR(INDEX(shin($L94,$M94,$N94),1,1),O94/$R94))))</f>
        <v/>
      </c>
      <c r="T94" s="54">
        <f t="array" ref="T94">IF($R94="","",IF(Method!$B$56="proportional",P94/$R94,IF(Method!$B$56="power",IFERROR(INDEX(power_devig($L94,$M94,$N94),2,1),P94/$R94),IFERROR(INDEX(shin($L94,$M94,$N94),2,1),P94/$R94))))</f>
        <v/>
      </c>
      <c r="U94" s="54">
        <f t="array" ref="U94">IF($R94="","",IF(Method!$B$56="proportional",Q94/$R94,IF(Method!$B$56="power",IFERROR(INDEX(power_devig($L94,$M94,$N94),3,1),Q94/$R94),IFERROR(INDEX(shin($L94,$M94,$N94),3,1),Q94/$R94))))</f>
        <v/>
      </c>
      <c r="V94" s="54">
        <f>IF(S94="","",Method!$B$4*IF(BC94="",I94,BC94)+(1-Method!$B$4)*S94/($S94+$T94+$U94))</f>
        <v/>
      </c>
      <c r="W94" s="54">
        <f>IF(T94="","",Method!$B$4*IF(BD94="",J94,BD94)+(1-Method!$B$4)*T94/($S94+$T94+$U94))</f>
        <v/>
      </c>
      <c r="X94" s="54">
        <f>IF(U94="","",Method!$B$4*IF(BE94="",K94,BE94)+(1-Method!$B$4)*U94/($S94+$T94+$U94))</f>
        <v/>
      </c>
      <c r="Y94" s="54">
        <f>IF(V94="","",V94*L94-1)</f>
        <v/>
      </c>
      <c r="Z94" s="54">
        <f>IF(W94="","",W94*M94-1)</f>
        <v/>
      </c>
      <c r="AA94" s="54">
        <f>IF(X94="","",X94*N94-1)</f>
        <v/>
      </c>
      <c r="AB94" s="54">
        <f>IF(Y94="","",MATCH(MAX(Y94:AA94),Y94:AA94,0))</f>
        <v/>
      </c>
      <c r="AC94" s="54">
        <f>IF(AB94="","",CHOOSE(AB94,"H","D","A"))</f>
        <v/>
      </c>
      <c r="AD94" s="54">
        <f>IF(AB94="","",CHOOSE(AB94,"1  "&amp;D94,"X  Draw","2  "&amp;E94))</f>
        <v/>
      </c>
      <c r="AE94" s="54">
        <f>IF(AB94="","",INDEX(L94:N94,1,AB94))</f>
        <v/>
      </c>
      <c r="AF94" s="54">
        <f>IF(AB94="","",INDEX(Y94:AA94,1,AB94))</f>
        <v/>
      </c>
      <c r="AG94" s="54">
        <f>IF(AB94="","",INDEX(V94:X94,1,AB94)-INDEX(S94:U94,1,AB94))</f>
        <v/>
      </c>
      <c r="AH94" s="54">
        <f>IF(AB94="","· enter odds",IF(OR(AF94&gt;Method!$B$87,IFERROR(INDEX(BC94:BE94,1,AB94)/INDEX(S94:U94,1,AB94),0)&gt;Method!$B$88),"PASS",IF(AND(AF94&gt;=Method!$B$7,AG94&gt;=Method!$B$8),"BET","PASS")))</f>
        <v/>
      </c>
      <c r="AI94" s="54">
        <f>IF(AH94&lt;&gt;"BET",0,ROUND(MIN(Method!$B$6,Method!$B$5*AL94)*100,1))</f>
        <v/>
      </c>
      <c r="AJ94" s="54">
        <f>IF(OR(AH94&lt;&gt;"BET",Method!$B$55=TRUE()),0,IF(AI94*Method!$B$10/100&lt;Method!$B$9,0,ROUND(AI94*Method!$B$10/100,0)))</f>
        <v/>
      </c>
      <c r="AK94" s="54">
        <f>IF(AB94="","",INDEX(V94:X94,1,AB94))</f>
        <v/>
      </c>
      <c r="AL94" s="54">
        <f>IF(AH94&lt;&gt;"BET","",MAX(0,(AK94*AE94-1)/(AE94-1)))</f>
        <v/>
      </c>
      <c r="AM94" s="54">
        <f>IF(AH94="BET",AF94+A94/1000000,"")</f>
        <v/>
      </c>
      <c r="AN94" s="54">
        <f>IF(Matchday!N96="","",Matchday!N96)</f>
        <v/>
      </c>
      <c r="AO94" s="54">
        <f>IF(Matchday!P96="","",Matchday!P96)</f>
        <v/>
      </c>
      <c r="AP94" s="54">
        <f>IF(Matchday!Q96="","",Matchday!Q96)</f>
        <v/>
      </c>
      <c r="AQ94" s="54">
        <f>IF(Matchday!R96="","",Matchday!R96)</f>
        <v/>
      </c>
      <c r="AR94" s="54">
        <f>IF(OR(AN94&lt;&gt;"Y",AQ94="",AV94=""),"",IF(AQ94="Void",0,IF(AQ94=AV94,ROUND(AP94*(AO94-1),2),-AP94)))</f>
        <v/>
      </c>
      <c r="AS94" s="54">
        <f>IF(AR94="","",SUM($AR$2:AR94))</f>
        <v/>
      </c>
      <c r="AT94" s="54">
        <f>IF(AB94="","Type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pauses.")),IF(AH94="BET",IF(AJ94=0,"Edge found but stake rounds under £"&amp;Method!$B$9&amp;" — skip",IF(AND(AE94&gt;=6,AG94&gt;=0.15),"🟡 WAIT — long-shot review: odds "&amp;TEXT(AE94,"0.00")&amp;" + edge "&amp;TEXT(AG94,"0.0%")&amp;" — verify sharp-book + team news + stake comfort before Placed=Y","Value found: EV "&amp;TEXT(AF94,"0.0%")&amp;", edge "&amp;TEXT(AG94,"0.0%"))),IF(OR(AF94&gt;Method!$B$87,IFERROR(INDEX(BC94:BE94,1,AB94)/INDEX(S94:U94,1,AB94),0)&gt;Method!$B$88),"🛑 Tail trap — auto-PASS · EV "&amp;TEXT(AF94,"0.0%")&amp;" (cap "&amp;TEXT(Method!$B$87,"0%")&amp;") · model/market "&amp;TEXT(IFERROR(INDEX(BC94:BE94,1,AB94)/INDEX(S94:U94,1,AB94),0),"0.0")&amp;"× (cap "&amp;TEXT(Method!$B$88,"0.0")&amp;"×)",IF(AF94&lt;Method!$B$7,"Price too short — EV "&amp;TEXT(AF94,"0.0%")&amp;" (need "&amp;TEXT(Method!$B$7,"0.0%")&amp;"+)","Model ≈ market — edge "&amp;TEXT(AG94,"0.0%")&amp;" (need "&amp;TEXT(Method!$B$8,"0.0%")&amp;"+)")))))</f>
        <v/>
      </c>
      <c r="AU94" s="54">
        <f>IF(AN94&lt;&gt;"Y","",IF(AH94="· enter odds","⚠ type the 3 odds (1/X/2) to grade this bet",IF(OR(AV94="",AO94="",AP94=""),"⚠ log backed pick, odds &amp; stake",IF(AZ94&lt;&gt;"BET","⚠ FUN BET — engine said pass · staked £"&amp;AP94&amp;" vs engine £"&amp;BA94,IF(AV94&lt;&gt;IF(AY94="",AC94,AY94),"⚠ backed "&amp;AV94&amp;" but engine pick was "&amp;IF(AY94="",AC94,AY94),IF(AP94&gt;BA94,"⚠ stake over engine £"&amp;BA94,IF(ABS(AO94-IFERROR(INDEX(L94:N94,1,MATCH(AV94,{"H","D","A"},0)),AE94))&gt;0.02,"⚠ odds moved — re-check value","✓ engine bet")))))))</f>
        <v/>
      </c>
      <c r="AV94" s="54">
        <f>IF(Matchday!O96="","",Matchday!O96)</f>
        <v/>
      </c>
      <c r="AW94" s="54" t="n"/>
      <c r="AX94" s="54" t="n"/>
      <c r="AY94" s="54" t="n"/>
      <c r="AZ94" s="54">
        <f>IF(AW94="",AH94,AW94)</f>
        <v/>
      </c>
      <c r="BA94" s="54">
        <f>IF(AX94&lt;&gt;"",AX94,IF(AH94&lt;&gt;"BET",0,IF(AI94*Method!$B$10/100&lt;Method!$B$9,0,ROUND(AI94*Method!$B$10/100,0))))</f>
        <v/>
      </c>
      <c r="BB94" s="14" t="n">
        <v>19.05</v>
      </c>
      <c r="BC94" s="14">
        <f>IF(I94="","",I94)</f>
        <v/>
      </c>
      <c r="BD94" s="14">
        <f>IF(J94="","",J94)</f>
        <v/>
      </c>
      <c r="BE94" s="14">
        <f>IF(K94="","",K94)</f>
        <v/>
      </c>
      <c r="BF94" s="14" t="inlineStr">
        <is>
          <t>Portugal team-wide: +1 · Spain team-wide: +18</t>
        </is>
      </c>
      <c r="BG94" s="14" t="n">
        <v>0</v>
      </c>
    </row>
    <row r="95" ht="15.75" customHeight="1" s="153">
      <c r="A95" s="54" t="n">
        <v>94</v>
      </c>
      <c r="B95" s="80" t="n">
        <v>46209</v>
      </c>
      <c r="C95" s="54" t="inlineStr">
        <is>
          <t>R16</t>
        </is>
      </c>
      <c r="D95" s="54" t="inlineStr">
        <is>
          <t>United States</t>
        </is>
      </c>
      <c r="E95" s="54" t="inlineStr">
        <is>
          <t>Belgium</t>
        </is>
      </c>
      <c r="F95" s="54" t="inlineStr">
        <is>
          <t>Seattle, WA</t>
        </is>
      </c>
      <c r="G95" s="81" t="n">
        <v>0.7083333333333334</v>
      </c>
      <c r="H95" s="54" t="n"/>
      <c r="I95" s="54" t="n">
        <v>0.2440368547721816</v>
      </c>
      <c r="J95" s="54" t="n">
        <v>0.2649758081936993</v>
      </c>
      <c r="K95" s="54" t="n">
        <v>0.4909873370341191</v>
      </c>
      <c r="L95" s="54">
        <f>IF(Matchday!E97="","",Matchday!E97)</f>
        <v/>
      </c>
      <c r="M95" s="54">
        <f>IF(Matchday!F97="","",Matchday!F97)</f>
        <v/>
      </c>
      <c r="N95" s="54">
        <f>IF(Matchday!G97="","",Matchday!G97)</f>
        <v/>
      </c>
      <c r="O95" s="54">
        <f>IF(L95="","",1/L95)</f>
        <v/>
      </c>
      <c r="P95" s="54">
        <f>IF(M95="","",1/M95)</f>
        <v/>
      </c>
      <c r="Q95" s="54">
        <f>IF(N95="","",1/N95)</f>
        <v/>
      </c>
      <c r="R95" s="54">
        <f>IF(COUNT(L95:N95)&lt;3,"",O95+P95+Q95)</f>
        <v/>
      </c>
      <c r="S95" s="54">
        <f t="array" ref="S95">IF($R95="","",IF(Method!$B$56="proportional",O95/$R95,IF(Method!$B$56="power",IFERROR(INDEX(power_devig($L95,$M95,$N95),1,1),O95/$R95),IFERROR(INDEX(shin($L95,$M95,$N95),1,1),O95/$R95))))</f>
        <v/>
      </c>
      <c r="T95" s="54">
        <f t="array" ref="T95">IF($R95="","",IF(Method!$B$56="proportional",P95/$R95,IF(Method!$B$56="power",IFERROR(INDEX(power_devig($L95,$M95,$N95),2,1),P95/$R95),IFERROR(INDEX(shin($L95,$M95,$N95),2,1),P95/$R95))))</f>
        <v/>
      </c>
      <c r="U95" s="54">
        <f t="array" ref="U95">IF($R95="","",IF(Method!$B$56="proportional",Q95/$R95,IF(Method!$B$56="power",IFERROR(INDEX(power_devig($L95,$M95,$N95),3,1),Q95/$R95),IFERROR(INDEX(shin($L95,$M95,$N95),3,1),Q95/$R95))))</f>
        <v/>
      </c>
      <c r="V95" s="54">
        <f>IF(S95="","",Method!$B$4*IF(BC95="",I95,BC95)+(1-Method!$B$4)*S95/($S95+$T95+$U95))</f>
        <v/>
      </c>
      <c r="W95" s="54">
        <f>IF(T95="","",Method!$B$4*IF(BD95="",J95,BD95)+(1-Method!$B$4)*T95/($S95+$T95+$U95))</f>
        <v/>
      </c>
      <c r="X95" s="54">
        <f>IF(U95="","",Method!$B$4*IF(BE95="",K95,BE95)+(1-Method!$B$4)*U95/($S95+$T95+$U95))</f>
        <v/>
      </c>
      <c r="Y95" s="54">
        <f>IF(V95="","",V95*L95-1)</f>
        <v/>
      </c>
      <c r="Z95" s="54">
        <f>IF(W95="","",W95*M95-1)</f>
        <v/>
      </c>
      <c r="AA95" s="54">
        <f>IF(X95="","",X95*N95-1)</f>
        <v/>
      </c>
      <c r="AB95" s="54">
        <f>IF(Y95="","",MATCH(MAX(Y95:AA95),Y95:AA95,0))</f>
        <v/>
      </c>
      <c r="AC95" s="54">
        <f>IF(AB95="","",CHOOSE(AB95,"H","D","A"))</f>
        <v/>
      </c>
      <c r="AD95" s="54">
        <f>IF(AB95="","",CHOOSE(AB95,"1  "&amp;D95,"X  Draw","2  "&amp;E95))</f>
        <v/>
      </c>
      <c r="AE95" s="54">
        <f>IF(AB95="","",INDEX(L95:N95,1,AB95))</f>
        <v/>
      </c>
      <c r="AF95" s="54">
        <f>IF(AB95="","",INDEX(Y95:AA95,1,AB95))</f>
        <v/>
      </c>
      <c r="AG95" s="54">
        <f>IF(AB95="","",INDEX(V95:X95,1,AB95)-INDEX(S95:U95,1,AB95))</f>
        <v/>
      </c>
      <c r="AH95" s="54">
        <f>IF(AB95="","· enter odds",IF(OR(AF95&gt;Method!$B$87,IFERROR(INDEX(BC95:BE95,1,AB95)/INDEX(S95:U95,1,AB95),0)&gt;Method!$B$88),"PASS",IF(AND(AF95&gt;=Method!$B$7,AG95&gt;=Method!$B$8),"BET","PASS")))</f>
        <v/>
      </c>
      <c r="AI95" s="54">
        <f>IF(AH95&lt;&gt;"BET",0,ROUND(MIN(Method!$B$6,Method!$B$5*AL95)*100,1))</f>
        <v/>
      </c>
      <c r="AJ95" s="54">
        <f>IF(OR(AH95&lt;&gt;"BET",Method!$B$55=TRUE()),0,IF(AI95*Method!$B$10/100&lt;Method!$B$9,0,ROUND(AI95*Method!$B$10/100,0)))</f>
        <v/>
      </c>
      <c r="AK95" s="54">
        <f>IF(AB95="","",INDEX(V95:X95,1,AB95))</f>
        <v/>
      </c>
      <c r="AL95" s="54">
        <f>IF(AH95&lt;&gt;"BET","",MAX(0,(AK95*AE95-1)/(AE95-1)))</f>
        <v/>
      </c>
      <c r="AM95" s="54">
        <f>IF(AH95="BET",AF95+A95/1000000,"")</f>
        <v/>
      </c>
      <c r="AN95" s="54">
        <f>IF(Matchday!N97="","",Matchday!N97)</f>
        <v/>
      </c>
      <c r="AO95" s="54">
        <f>IF(Matchday!P97="","",Matchday!P97)</f>
        <v/>
      </c>
      <c r="AP95" s="54">
        <f>IF(Matchday!Q97="","",Matchday!Q97)</f>
        <v/>
      </c>
      <c r="AQ95" s="54">
        <f>IF(Matchday!R97="","",Matchday!R97)</f>
        <v/>
      </c>
      <c r="AR95" s="54">
        <f>IF(OR(AN95&lt;&gt;"Y",AQ95="",AV95=""),"",IF(AQ95="Void",0,IF(AQ95=AV95,ROUND(AP95*(AO95-1),2),-AP95)))</f>
        <v/>
      </c>
      <c r="AS95" s="54">
        <f>IF(AR95="","",SUM($AR$2:AR95))</f>
        <v/>
      </c>
      <c r="AT95" s="54">
        <f>IF(AB95="","Type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pauses.")),IF(AH95="BET",IF(AJ95=0,"Edge found but stake rounds under £"&amp;Method!$B$9&amp;" — skip",IF(AND(AE95&gt;=6,AG95&gt;=0.15),"🟡 WAIT — long-shot review: odds "&amp;TEXT(AE95,"0.00")&amp;" + edge "&amp;TEXT(AG95,"0.0%")&amp;" — verify sharp-book + team news + stake comfort before Placed=Y","Value found: EV "&amp;TEXT(AF95,"0.0%")&amp;", edge "&amp;TEXT(AG95,"0.0%"))),IF(OR(AF95&gt;Method!$B$87,IFERROR(INDEX(BC95:BE95,1,AB95)/INDEX(S95:U95,1,AB95),0)&gt;Method!$B$88),"🛑 Tail trap — auto-PASS · EV "&amp;TEXT(AF95,"0.0%")&amp;" (cap "&amp;TEXT(Method!$B$87,"0%")&amp;") · model/market "&amp;TEXT(IFERROR(INDEX(BC95:BE95,1,AB95)/INDEX(S95:U95,1,AB95),0),"0.0")&amp;"× (cap "&amp;TEXT(Method!$B$88,"0.0")&amp;"×)",IF(AF95&lt;Method!$B$7,"Price too short — EV "&amp;TEXT(AF95,"0.0%")&amp;" (need "&amp;TEXT(Method!$B$7,"0.0%")&amp;"+)","Model ≈ market — edge "&amp;TEXT(AG95,"0.0%")&amp;" (need "&amp;TEXT(Method!$B$8,"0.0%")&amp;"+)")))))</f>
        <v/>
      </c>
      <c r="AU95" s="54">
        <f>IF(AN95&lt;&gt;"Y","",IF(AH95="· enter odds","⚠ type the 3 odds (1/X/2) to grade this bet",IF(OR(AV95="",AO95="",AP95=""),"⚠ log backed pick, odds &amp; stake",IF(AZ95&lt;&gt;"BET","⚠ FUN BET — engine said pass · staked £"&amp;AP95&amp;" vs engine £"&amp;BA95,IF(AV95&lt;&gt;IF(AY95="",AC95,AY95),"⚠ backed "&amp;AV95&amp;" but engine pick was "&amp;IF(AY95="",AC95,AY95),IF(AP95&gt;BA95,"⚠ stake over engine £"&amp;BA95,IF(ABS(AO95-IFERROR(INDEX(L95:N95,1,MATCH(AV95,{"H","D","A"},0)),AE95))&gt;0.02,"⚠ odds moved — re-check value","✓ engine bet")))))))</f>
        <v/>
      </c>
      <c r="AV95" s="54">
        <f>IF(Matchday!O97="","",Matchday!O97)</f>
        <v/>
      </c>
      <c r="AW95" s="54" t="n"/>
      <c r="AX95" s="54" t="n"/>
      <c r="AY95" s="54" t="n"/>
      <c r="AZ95" s="54">
        <f>IF(AW95="",AH95,AW95)</f>
        <v/>
      </c>
      <c r="BA95" s="54">
        <f>IF(AX95&lt;&gt;"",AX95,IF(AH95&lt;&gt;"BET",0,IF(AI95*Method!$B$10/100&lt;Method!$B$9,0,ROUND(AI95*Method!$B$10/100,0))))</f>
        <v/>
      </c>
      <c r="BB95" s="14" t="n">
        <v>-38.09</v>
      </c>
      <c r="BC95" s="14">
        <f>IF(I95="","",I95)</f>
        <v/>
      </c>
      <c r="BD95" s="14">
        <f>IF(J95="","",J95)</f>
        <v/>
      </c>
      <c r="BE95" s="14">
        <f>IF(K95="","",K95)</f>
        <v/>
      </c>
      <c r="BF95" s="14" t="inlineStr">
        <is>
          <t>Belgium team-wide: -17 · United States team-wide: -18 · United States suspension: -3</t>
        </is>
      </c>
      <c r="BG95" s="14" t="n">
        <v>5</v>
      </c>
      <c r="BH95" s="14" t="inlineStr">
        <is>
          <t>mild</t>
        </is>
      </c>
    </row>
    <row r="96" ht="15.75" customHeight="1" s="153">
      <c r="A96" s="54" t="n">
        <v>95</v>
      </c>
      <c r="B96" s="80" t="n">
        <v>46210</v>
      </c>
      <c r="C96" s="54" t="inlineStr">
        <is>
          <t>R16</t>
        </is>
      </c>
      <c r="D96" s="54" t="inlineStr">
        <is>
          <t>W86</t>
        </is>
      </c>
      <c r="E96" s="54" t="inlineStr">
        <is>
          <t>W88</t>
        </is>
      </c>
      <c r="F96" s="54" t="inlineStr">
        <is>
          <t>Atlanta, GA</t>
        </is>
      </c>
      <c r="G96" s="81" t="n">
        <v>0.5</v>
      </c>
      <c r="H96" s="54" t="n"/>
      <c r="I96" s="54" t="n"/>
      <c r="J96" s="54" t="n"/>
      <c r="K96" s="54" t="n"/>
      <c r="L96" s="54">
        <f>IF(Matchday!E98="","",Matchday!E98)</f>
        <v/>
      </c>
      <c r="M96" s="54">
        <f>IF(Matchday!F98="","",Matchday!F98)</f>
        <v/>
      </c>
      <c r="N96" s="54">
        <f>IF(Matchday!G98="","",Matchday!G98)</f>
        <v/>
      </c>
      <c r="O96" s="54">
        <f>IF(L96="","",1/L96)</f>
        <v/>
      </c>
      <c r="P96" s="54">
        <f>IF(M96="","",1/M96)</f>
        <v/>
      </c>
      <c r="Q96" s="54">
        <f>IF(N96="","",1/N96)</f>
        <v/>
      </c>
      <c r="R96" s="54">
        <f>IF(COUNT(L96:N96)&lt;3,"",O96+P96+Q96)</f>
        <v/>
      </c>
      <c r="S96" s="54">
        <f t="array" ref="S96">IF($R96="","",IF(Method!$B$56="proportional",O96/$R96,IF(Method!$B$56="power",IFERROR(INDEX(power_devig($L96,$M96,$N96),1,1),O96/$R96),IFERROR(INDEX(shin($L96,$M96,$N96),1,1),O96/$R96))))</f>
        <v/>
      </c>
      <c r="T96" s="54">
        <f t="array" ref="T96">IF($R96="","",IF(Method!$B$56="proportional",P96/$R96,IF(Method!$B$56="power",IFERROR(INDEX(power_devig($L96,$M96,$N96),2,1),P96/$R96),IFERROR(INDEX(shin($L96,$M96,$N96),2,1),P96/$R96))))</f>
        <v/>
      </c>
      <c r="U96" s="54">
        <f t="array" ref="U96">IF($R96="","",IF(Method!$B$56="proportional",Q96/$R96,IF(Method!$B$56="power",IFERROR(INDEX(power_devig($L96,$M96,$N96),3,1),Q96/$R96),IFERROR(INDEX(shin($L96,$M96,$N96),3,1),Q96/$R96))))</f>
        <v/>
      </c>
      <c r="V96" s="54">
        <f>IF(S96="","",Method!$B$4*IF(BC96="",I96,BC96)+(1-Method!$B$4)*S96/($S96+$T96+$U96))</f>
        <v/>
      </c>
      <c r="W96" s="54">
        <f>IF(T96="","",Method!$B$4*IF(BD96="",J96,BD96)+(1-Method!$B$4)*T96/($S96+$T96+$U96))</f>
        <v/>
      </c>
      <c r="X96" s="54">
        <f>IF(U96="","",Method!$B$4*IF(BE96="",K96,BE96)+(1-Method!$B$4)*U96/($S96+$T96+$U96))</f>
        <v/>
      </c>
      <c r="Y96" s="54">
        <f>IF(V96="","",V96*L96-1)</f>
        <v/>
      </c>
      <c r="Z96" s="54">
        <f>IF(W96="","",W96*M96-1)</f>
        <v/>
      </c>
      <c r="AA96" s="54">
        <f>IF(X96="","",X96*N96-1)</f>
        <v/>
      </c>
      <c r="AB96" s="54">
        <f>IF(Y96="","",MATCH(MAX(Y96:AA96),Y96:AA96,0))</f>
        <v/>
      </c>
      <c r="AC96" s="54">
        <f>IF(AB96="","",CHOOSE(AB96,"H","D","A"))</f>
        <v/>
      </c>
      <c r="AD96" s="54">
        <f>IF(AB96="","",CHOOSE(AB96,"1  "&amp;D96,"X  Draw","2  "&amp;E96))</f>
        <v/>
      </c>
      <c r="AE96" s="54">
        <f>IF(AB96="","",INDEX(L96:N96,1,AB96))</f>
        <v/>
      </c>
      <c r="AF96" s="54">
        <f>IF(AB96="","",INDEX(Y96:AA96,1,AB96))</f>
        <v/>
      </c>
      <c r="AG96" s="54">
        <f>IF(AB96="","",INDEX(V96:X96,1,AB96)-INDEX(S96:U96,1,AB96))</f>
        <v/>
      </c>
      <c r="AH96" s="54">
        <f>IF(AB96="","· enter odds",IF(OR(AF96&gt;Method!$B$87,IFERROR(INDEX(BC96:BE96,1,AB96)/INDEX(S96:U96,1,AB96),0)&gt;Method!$B$88),"PASS",IF(AND(AF96&gt;=Method!$B$7,AG96&gt;=Method!$B$8),"BET","PASS")))</f>
        <v/>
      </c>
      <c r="AI96" s="54">
        <f>IF(AH96&lt;&gt;"BET",0,ROUND(MIN(Method!$B$6,Method!$B$5*AL96)*100,1))</f>
        <v/>
      </c>
      <c r="AJ96" s="54">
        <f>IF(OR(AH96&lt;&gt;"BET",Method!$B$55=TRUE()),0,IF(AI96*Method!$B$10/100&lt;Method!$B$9,0,ROUND(AI96*Method!$B$10/100,0)))</f>
        <v/>
      </c>
      <c r="AK96" s="54">
        <f>IF(AB96="","",INDEX(V96:X96,1,AB96))</f>
        <v/>
      </c>
      <c r="AL96" s="54">
        <f>IF(AH96&lt;&gt;"BET","",MAX(0,(AK96*AE96-1)/(AE96-1)))</f>
        <v/>
      </c>
      <c r="AM96" s="54">
        <f>IF(AH96="BET",AF96+A96/1000000,"")</f>
        <v/>
      </c>
      <c r="AN96" s="54">
        <f>IF(Matchday!N98="","",Matchday!N98)</f>
        <v/>
      </c>
      <c r="AO96" s="54">
        <f>IF(Matchday!P98="","",Matchday!P98)</f>
        <v/>
      </c>
      <c r="AP96" s="54">
        <f>IF(Matchday!Q98="","",Matchday!Q98)</f>
        <v/>
      </c>
      <c r="AQ96" s="54">
        <f>IF(Matchday!R98="","",Matchday!R98)</f>
        <v/>
      </c>
      <c r="AR96" s="54">
        <f>IF(OR(AN96&lt;&gt;"Y",AQ96="",AV96=""),"",IF(AQ96="Void",0,IF(AQ96=AV96,ROUND(AP96*(AO96-1),2),-AP96)))</f>
        <v/>
      </c>
      <c r="AS96" s="54">
        <f>IF(AR96="","",SUM($AR$2:AR96))</f>
        <v/>
      </c>
      <c r="AT96" s="54">
        <f>IF(AB96="","Type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pauses.")),IF(AH96="BET",IF(AJ96=0,"Edge found but stake rounds under £"&amp;Method!$B$9&amp;" — skip",IF(AND(AE96&gt;=6,AG96&gt;=0.15),"🟡 WAIT — long-shot review: odds "&amp;TEXT(AE96,"0.00")&amp;" + edge "&amp;TEXT(AG96,"0.0%")&amp;" — verify sharp-book + team news + stake comfort before Placed=Y","Value found: EV "&amp;TEXT(AF96,"0.0%")&amp;", edge "&amp;TEXT(AG96,"0.0%"))),IF(OR(AF96&gt;Method!$B$87,IFERROR(INDEX(BC96:BE96,1,AB96)/INDEX(S96:U96,1,AB96),0)&gt;Method!$B$88),"🛑 Tail trap — auto-PASS · EV "&amp;TEXT(AF96,"0.0%")&amp;" (cap "&amp;TEXT(Method!$B$87,"0%")&amp;") · model/market "&amp;TEXT(IFERROR(INDEX(BC96:BE96,1,AB96)/INDEX(S96:U96,1,AB96),0),"0.0")&amp;"× (cap "&amp;TEXT(Method!$B$88,"0.0")&amp;"×)",IF(AF96&lt;Method!$B$7,"Price too short — EV "&amp;TEXT(AF96,"0.0%")&amp;" (need "&amp;TEXT(Method!$B$7,"0.0%")&amp;"+)","Model ≈ market — edge "&amp;TEXT(AG96,"0.0%")&amp;" (need "&amp;TEXT(Method!$B$8,"0.0%")&amp;"+)")))))</f>
        <v/>
      </c>
      <c r="AU96" s="54">
        <f>IF(AN96&lt;&gt;"Y","",IF(AH96="· enter odds","⚠ type the 3 odds (1/X/2) to grade this bet",IF(OR(AV96="",AO96="",AP96=""),"⚠ log backed pick, odds &amp; stake",IF(AZ96&lt;&gt;"BET","⚠ FUN BET — engine said pass · staked £"&amp;AP96&amp;" vs engine £"&amp;BA96,IF(AV96&lt;&gt;IF(AY96="",AC96,AY96),"⚠ backed "&amp;AV96&amp;" but engine pick was "&amp;IF(AY96="",AC96,AY96),IF(AP96&gt;BA96,"⚠ stake over engine £"&amp;BA96,IF(ABS(AO96-IFERROR(INDEX(L96:N96,1,MATCH(AV96,{"H","D","A"},0)),AE96))&gt;0.02,"⚠ odds moved — re-check value","✓ engine bet")))))))</f>
        <v/>
      </c>
      <c r="AV96" s="54">
        <f>IF(Matchday!O98="","",Matchday!O98)</f>
        <v/>
      </c>
      <c r="AW96" s="54" t="n"/>
      <c r="AX96" s="54" t="n"/>
      <c r="AY96" s="54" t="n"/>
      <c r="AZ96" s="54">
        <f>IF(AW96="",AH96,AW96)</f>
        <v/>
      </c>
      <c r="BA96" s="54">
        <f>IF(AX96&lt;&gt;"",AX96,IF(AH96&lt;&gt;"BET",0,IF(AI96*Method!$B$10/100&lt;Method!$B$9,0,ROUND(AI96*Method!$B$10/100,0))))</f>
        <v/>
      </c>
      <c r="BB96" s="14" t="n">
        <v>0</v>
      </c>
      <c r="BC96" s="14">
        <f>IF(I96="","",I96)</f>
        <v/>
      </c>
      <c r="BD96" s="14">
        <f>IF(J96="","",J96)</f>
        <v/>
      </c>
      <c r="BE96" s="14">
        <f>IF(K96="","",K96)</f>
        <v/>
      </c>
      <c r="BG96" s="14" t="n">
        <v>320</v>
      </c>
      <c r="BH96" s="14" t="inlineStr">
        <is>
          <t>hot_humid_indoor</t>
        </is>
      </c>
    </row>
    <row r="97" ht="15.75" customHeight="1" s="153">
      <c r="A97" s="54" t="n">
        <v>96</v>
      </c>
      <c r="B97" s="80" t="n">
        <v>46210</v>
      </c>
      <c r="C97" s="54" t="inlineStr">
        <is>
          <t>R16</t>
        </is>
      </c>
      <c r="D97" s="54" t="inlineStr">
        <is>
          <t>W85</t>
        </is>
      </c>
      <c r="E97" s="54" t="inlineStr">
        <is>
          <t>W87</t>
        </is>
      </c>
      <c r="F97" s="54" t="inlineStr">
        <is>
          <t>Vancouver</t>
        </is>
      </c>
      <c r="G97" s="81" t="n">
        <v>0.5416666666666666</v>
      </c>
      <c r="H97" s="54" t="n"/>
      <c r="I97" s="54" t="n"/>
      <c r="J97" s="54" t="n"/>
      <c r="K97" s="54" t="n"/>
      <c r="L97" s="54">
        <f>IF(Matchday!E99="","",Matchday!E99)</f>
        <v/>
      </c>
      <c r="M97" s="54">
        <f>IF(Matchday!F99="","",Matchday!F99)</f>
        <v/>
      </c>
      <c r="N97" s="54">
        <f>IF(Matchday!G99="","",Matchday!G99)</f>
        <v/>
      </c>
      <c r="O97" s="54">
        <f>IF(L97="","",1/L97)</f>
        <v/>
      </c>
      <c r="P97" s="54">
        <f>IF(M97="","",1/M97)</f>
        <v/>
      </c>
      <c r="Q97" s="54">
        <f>IF(N97="","",1/N97)</f>
        <v/>
      </c>
      <c r="R97" s="54">
        <f>IF(COUNT(L97:N97)&lt;3,"",O97+P97+Q97)</f>
        <v/>
      </c>
      <c r="S97" s="54">
        <f t="array" ref="S97">IF($R97="","",IF(Method!$B$56="proportional",O97/$R97,IF(Method!$B$56="power",IFERROR(INDEX(power_devig($L97,$M97,$N97),1,1),O97/$R97),IFERROR(INDEX(shin($L97,$M97,$N97),1,1),O97/$R97))))</f>
        <v/>
      </c>
      <c r="T97" s="54">
        <f t="array" ref="T97">IF($R97="","",IF(Method!$B$56="proportional",P97/$R97,IF(Method!$B$56="power",IFERROR(INDEX(power_devig($L97,$M97,$N97),2,1),P97/$R97),IFERROR(INDEX(shin($L97,$M97,$N97),2,1),P97/$R97))))</f>
        <v/>
      </c>
      <c r="U97" s="54">
        <f t="array" ref="U97">IF($R97="","",IF(Method!$B$56="proportional",Q97/$R97,IF(Method!$B$56="power",IFERROR(INDEX(power_devig($L97,$M97,$N97),3,1),Q97/$R97),IFERROR(INDEX(shin($L97,$M97,$N97),3,1),Q97/$R97))))</f>
        <v/>
      </c>
      <c r="V97" s="54">
        <f>IF(S97="","",Method!$B$4*IF(BC97="",I97,BC97)+(1-Method!$B$4)*S97/($S97+$T97+$U97))</f>
        <v/>
      </c>
      <c r="W97" s="54">
        <f>IF(T97="","",Method!$B$4*IF(BD97="",J97,BD97)+(1-Method!$B$4)*T97/($S97+$T97+$U97))</f>
        <v/>
      </c>
      <c r="X97" s="54">
        <f>IF(U97="","",Method!$B$4*IF(BE97="",K97,BE97)+(1-Method!$B$4)*U97/($S97+$T97+$U97))</f>
        <v/>
      </c>
      <c r="Y97" s="54">
        <f>IF(V97="","",V97*L97-1)</f>
        <v/>
      </c>
      <c r="Z97" s="54">
        <f>IF(W97="","",W97*M97-1)</f>
        <v/>
      </c>
      <c r="AA97" s="54">
        <f>IF(X97="","",X97*N97-1)</f>
        <v/>
      </c>
      <c r="AB97" s="54">
        <f>IF(Y97="","",MATCH(MAX(Y97:AA97),Y97:AA97,0))</f>
        <v/>
      </c>
      <c r="AC97" s="54">
        <f>IF(AB97="","",CHOOSE(AB97,"H","D","A"))</f>
        <v/>
      </c>
      <c r="AD97" s="54">
        <f>IF(AB97="","",CHOOSE(AB97,"1  "&amp;D97,"X  Draw","2  "&amp;E97))</f>
        <v/>
      </c>
      <c r="AE97" s="54">
        <f>IF(AB97="","",INDEX(L97:N97,1,AB97))</f>
        <v/>
      </c>
      <c r="AF97" s="54">
        <f>IF(AB97="","",INDEX(Y97:AA97,1,AB97))</f>
        <v/>
      </c>
      <c r="AG97" s="54">
        <f>IF(AB97="","",INDEX(V97:X97,1,AB97)-INDEX(S97:U97,1,AB97))</f>
        <v/>
      </c>
      <c r="AH97" s="54">
        <f>IF(AB97="","· enter odds",IF(OR(AF97&gt;Method!$B$87,IFERROR(INDEX(BC97:BE97,1,AB97)/INDEX(S97:U97,1,AB97),0)&gt;Method!$B$88),"PASS",IF(AND(AF97&gt;=Method!$B$7,AG97&gt;=Method!$B$8),"BET","PASS")))</f>
        <v/>
      </c>
      <c r="AI97" s="54">
        <f>IF(AH97&lt;&gt;"BET",0,ROUND(MIN(Method!$B$6,Method!$B$5*AL97)*100,1))</f>
        <v/>
      </c>
      <c r="AJ97" s="54">
        <f>IF(OR(AH97&lt;&gt;"BET",Method!$B$55=TRUE()),0,IF(AI97*Method!$B$10/100&lt;Method!$B$9,0,ROUND(AI97*Method!$B$10/100,0)))</f>
        <v/>
      </c>
      <c r="AK97" s="54">
        <f>IF(AB97="","",INDEX(V97:X97,1,AB97))</f>
        <v/>
      </c>
      <c r="AL97" s="54">
        <f>IF(AH97&lt;&gt;"BET","",MAX(0,(AK97*AE97-1)/(AE97-1)))</f>
        <v/>
      </c>
      <c r="AM97" s="54">
        <f>IF(AH97="BET",AF97+A97/1000000,"")</f>
        <v/>
      </c>
      <c r="AN97" s="54">
        <f>IF(Matchday!N99="","",Matchday!N99)</f>
        <v/>
      </c>
      <c r="AO97" s="54">
        <f>IF(Matchday!P99="","",Matchday!P99)</f>
        <v/>
      </c>
      <c r="AP97" s="54">
        <f>IF(Matchday!Q99="","",Matchday!Q99)</f>
        <v/>
      </c>
      <c r="AQ97" s="54">
        <f>IF(Matchday!R99="","",Matchday!R99)</f>
        <v/>
      </c>
      <c r="AR97" s="54">
        <f>IF(OR(AN97&lt;&gt;"Y",AQ97="",AV97=""),"",IF(AQ97="Void",0,IF(AQ97=AV97,ROUND(AP97*(AO97-1),2),-AP97)))</f>
        <v/>
      </c>
      <c r="AS97" s="54">
        <f>IF(AR97="","",SUM($AR$2:AR97))</f>
        <v/>
      </c>
      <c r="AT97" s="54">
        <f>IF(AB97="","Type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pauses.")),IF(AH97="BET",IF(AJ97=0,"Edge found but stake rounds under £"&amp;Method!$B$9&amp;" — skip",IF(AND(AE97&gt;=6,AG97&gt;=0.15),"🟡 WAIT — long-shot review: odds "&amp;TEXT(AE97,"0.00")&amp;" + edge "&amp;TEXT(AG97,"0.0%")&amp;" — verify sharp-book + team news + stake comfort before Placed=Y","Value found: EV "&amp;TEXT(AF97,"0.0%")&amp;", edge "&amp;TEXT(AG97,"0.0%"))),IF(OR(AF97&gt;Method!$B$87,IFERROR(INDEX(BC97:BE97,1,AB97)/INDEX(S97:U97,1,AB97),0)&gt;Method!$B$88),"🛑 Tail trap — auto-PASS · EV "&amp;TEXT(AF97,"0.0%")&amp;" (cap "&amp;TEXT(Method!$B$87,"0%")&amp;") · model/market "&amp;TEXT(IFERROR(INDEX(BC97:BE97,1,AB97)/INDEX(S97:U97,1,AB97),0),"0.0")&amp;"× (cap "&amp;TEXT(Method!$B$88,"0.0")&amp;"×)",IF(AF97&lt;Method!$B$7,"Price too short — EV "&amp;TEXT(AF97,"0.0%")&amp;" (need "&amp;TEXT(Method!$B$7,"0.0%")&amp;"+)","Model ≈ market — edge "&amp;TEXT(AG97,"0.0%")&amp;" (need "&amp;TEXT(Method!$B$8,"0.0%")&amp;"+)")))))</f>
        <v/>
      </c>
      <c r="AU97" s="54">
        <f>IF(AN97&lt;&gt;"Y","",IF(AH97="· enter odds","⚠ type the 3 odds (1/X/2) to grade this bet",IF(OR(AV97="",AO97="",AP97=""),"⚠ log backed pick, odds &amp; stake",IF(AZ97&lt;&gt;"BET","⚠ FUN BET — engine said pass · staked £"&amp;AP97&amp;" vs engine £"&amp;BA97,IF(AV97&lt;&gt;IF(AY97="",AC97,AY97),"⚠ backed "&amp;AV97&amp;" but engine pick was "&amp;IF(AY97="",AC97,AY97),IF(AP97&gt;BA97,"⚠ stake over engine £"&amp;BA97,IF(ABS(AO97-IFERROR(INDEX(L97:N97,1,MATCH(AV97,{"H","D","A"},0)),AE97))&gt;0.02,"⚠ odds moved — re-check value","✓ engine bet")))))))</f>
        <v/>
      </c>
      <c r="AV97" s="54">
        <f>IF(Matchday!O99="","",Matchday!O99)</f>
        <v/>
      </c>
      <c r="AW97" s="54" t="n"/>
      <c r="AX97" s="54" t="n"/>
      <c r="AY97" s="54" t="n"/>
      <c r="AZ97" s="54">
        <f>IF(AW97="",AH97,AW97)</f>
        <v/>
      </c>
      <c r="BA97" s="54">
        <f>IF(AX97&lt;&gt;"",AX97,IF(AH97&lt;&gt;"BET",0,IF(AI97*Method!$B$10/100&lt;Method!$B$9,0,ROUND(AI97*Method!$B$10/100,0))))</f>
        <v/>
      </c>
      <c r="BB97" s="14" t="n">
        <v>0</v>
      </c>
      <c r="BC97" s="14">
        <f>IF(I97="","",I97)</f>
        <v/>
      </c>
      <c r="BD97" s="14">
        <f>IF(J97="","",J97)</f>
        <v/>
      </c>
      <c r="BE97" s="14">
        <f>IF(K97="","",K97)</f>
        <v/>
      </c>
      <c r="BG97" s="14" t="n">
        <v>0</v>
      </c>
      <c r="BH97" s="14" t="inlineStr">
        <is>
          <t>mild_indoor</t>
        </is>
      </c>
    </row>
    <row r="98" ht="15.75" customHeight="1" s="153">
      <c r="A98" s="54" t="n">
        <v>97</v>
      </c>
      <c r="B98" s="80" t="n">
        <v>46212</v>
      </c>
      <c r="C98" s="54" t="inlineStr">
        <is>
          <t>QF</t>
        </is>
      </c>
      <c r="D98" s="54" t="inlineStr">
        <is>
          <t>W89</t>
        </is>
      </c>
      <c r="E98" s="54" t="inlineStr">
        <is>
          <t>W90</t>
        </is>
      </c>
      <c r="F98" s="54" t="inlineStr">
        <is>
          <t>Foxborough, MA</t>
        </is>
      </c>
      <c r="G98" s="81" t="n">
        <v>0.6666666666666666</v>
      </c>
      <c r="H98" s="54" t="n"/>
      <c r="I98" s="54" t="n"/>
      <c r="J98" s="54" t="n"/>
      <c r="K98" s="54" t="n"/>
      <c r="L98" s="54">
        <f>IF(Matchday!E100="","",Matchday!E100)</f>
        <v/>
      </c>
      <c r="M98" s="54">
        <f>IF(Matchday!F100="","",Matchday!F100)</f>
        <v/>
      </c>
      <c r="N98" s="54">
        <f>IF(Matchday!G100="","",Matchday!G100)</f>
        <v/>
      </c>
      <c r="O98" s="54">
        <f>IF(L98="","",1/L98)</f>
        <v/>
      </c>
      <c r="P98" s="54">
        <f>IF(M98="","",1/M98)</f>
        <v/>
      </c>
      <c r="Q98" s="54">
        <f>IF(N98="","",1/N98)</f>
        <v/>
      </c>
      <c r="R98" s="54">
        <f>IF(COUNT(L98:N98)&lt;3,"",O98+P98+Q98)</f>
        <v/>
      </c>
      <c r="S98" s="54">
        <f t="array" ref="S98">IF($R98="","",IF(Method!$B$56="proportional",O98/$R98,IF(Method!$B$56="power",IFERROR(INDEX(power_devig($L98,$M98,$N98),1,1),O98/$R98),IFERROR(INDEX(shin($L98,$M98,$N98),1,1),O98/$R98))))</f>
        <v/>
      </c>
      <c r="T98" s="54">
        <f t="array" ref="T98">IF($R98="","",IF(Method!$B$56="proportional",P98/$R98,IF(Method!$B$56="power",IFERROR(INDEX(power_devig($L98,$M98,$N98),2,1),P98/$R98),IFERROR(INDEX(shin($L98,$M98,$N98),2,1),P98/$R98))))</f>
        <v/>
      </c>
      <c r="U98" s="54">
        <f t="array" ref="U98">IF($R98="","",IF(Method!$B$56="proportional",Q98/$R98,IF(Method!$B$56="power",IFERROR(INDEX(power_devig($L98,$M98,$N98),3,1),Q98/$R98),IFERROR(INDEX(shin($L98,$M98,$N98),3,1),Q98/$R98))))</f>
        <v/>
      </c>
      <c r="V98" s="54">
        <f>IF(S98="","",Method!$B$4*IF(BC98="",I98,BC98)+(1-Method!$B$4)*S98/($S98+$T98+$U98))</f>
        <v/>
      </c>
      <c r="W98" s="54">
        <f>IF(T98="","",Method!$B$4*IF(BD98="",J98,BD98)+(1-Method!$B$4)*T98/($S98+$T98+$U98))</f>
        <v/>
      </c>
      <c r="X98" s="54">
        <f>IF(U98="","",Method!$B$4*IF(BE98="",K98,BE98)+(1-Method!$B$4)*U98/($S98+$T98+$U98))</f>
        <v/>
      </c>
      <c r="Y98" s="54">
        <f>IF(V98="","",V98*L98-1)</f>
        <v/>
      </c>
      <c r="Z98" s="54">
        <f>IF(W98="","",W98*M98-1)</f>
        <v/>
      </c>
      <c r="AA98" s="54">
        <f>IF(X98="","",X98*N98-1)</f>
        <v/>
      </c>
      <c r="AB98" s="54">
        <f>IF(Y98="","",MATCH(MAX(Y98:AA98),Y98:AA98,0))</f>
        <v/>
      </c>
      <c r="AC98" s="54">
        <f>IF(AB98="","",CHOOSE(AB98,"H","D","A"))</f>
        <v/>
      </c>
      <c r="AD98" s="54">
        <f>IF(AB98="","",CHOOSE(AB98,"1  "&amp;D98,"X  Draw","2  "&amp;E98))</f>
        <v/>
      </c>
      <c r="AE98" s="54">
        <f>IF(AB98="","",INDEX(L98:N98,1,AB98))</f>
        <v/>
      </c>
      <c r="AF98" s="54">
        <f>IF(AB98="","",INDEX(Y98:AA98,1,AB98))</f>
        <v/>
      </c>
      <c r="AG98" s="54">
        <f>IF(AB98="","",INDEX(V98:X98,1,AB98)-INDEX(S98:U98,1,AB98))</f>
        <v/>
      </c>
      <c r="AH98" s="54">
        <f>IF(AB98="","· enter odds",IF(OR(AF98&gt;Method!$B$87,IFERROR(INDEX(BC98:BE98,1,AB98)/INDEX(S98:U98,1,AB98),0)&gt;Method!$B$88),"PASS",IF(AND(AF98&gt;=Method!$B$7,AG98&gt;=Method!$B$8),"BET","PASS")))</f>
        <v/>
      </c>
      <c r="AI98" s="54">
        <f>IF(AH98&lt;&gt;"BET",0,ROUND(MIN(Method!$B$6,Method!$B$5*AL98)*100,1))</f>
        <v/>
      </c>
      <c r="AJ98" s="54">
        <f>IF(OR(AH98&lt;&gt;"BET",Method!$B$55=TRUE()),0,IF(AI98*Method!$B$10/100&lt;Method!$B$9,0,ROUND(AI98*Method!$B$10/100,0)))</f>
        <v/>
      </c>
      <c r="AK98" s="54">
        <f>IF(AB98="","",INDEX(V98:X98,1,AB98))</f>
        <v/>
      </c>
      <c r="AL98" s="54">
        <f>IF(AH98&lt;&gt;"BET","",MAX(0,(AK98*AE98-1)/(AE98-1)))</f>
        <v/>
      </c>
      <c r="AM98" s="54">
        <f>IF(AH98="BET",AF98+A98/1000000,"")</f>
        <v/>
      </c>
      <c r="AN98" s="54">
        <f>IF(Matchday!N100="","",Matchday!N100)</f>
        <v/>
      </c>
      <c r="AO98" s="54">
        <f>IF(Matchday!P100="","",Matchday!P100)</f>
        <v/>
      </c>
      <c r="AP98" s="54">
        <f>IF(Matchday!Q100="","",Matchday!Q100)</f>
        <v/>
      </c>
      <c r="AQ98" s="54">
        <f>IF(Matchday!R100="","",Matchday!R100)</f>
        <v/>
      </c>
      <c r="AR98" s="54">
        <f>IF(OR(AN98&lt;&gt;"Y",AQ98="",AV98=""),"",IF(AQ98="Void",0,IF(AQ98=AV98,ROUND(AP98*(AO98-1),2),-AP98)))</f>
        <v/>
      </c>
      <c r="AS98" s="54">
        <f>IF(AR98="","",SUM($AR$2:AR98))</f>
        <v/>
      </c>
      <c r="AT98" s="54">
        <f>IF(AB98="","Type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pauses.")),IF(AH98="BET",IF(AJ98=0,"Edge found but stake rounds under £"&amp;Method!$B$9&amp;" — skip",IF(AND(AE98&gt;=6,AG98&gt;=0.15),"🟡 WAIT — long-shot review: odds "&amp;TEXT(AE98,"0.00")&amp;" + edge "&amp;TEXT(AG98,"0.0%")&amp;" — verify sharp-book + team news + stake comfort before Placed=Y","Value found: EV "&amp;TEXT(AF98,"0.0%")&amp;", edge "&amp;TEXT(AG98,"0.0%"))),IF(OR(AF98&gt;Method!$B$87,IFERROR(INDEX(BC98:BE98,1,AB98)/INDEX(S98:U98,1,AB98),0)&gt;Method!$B$88),"🛑 Tail trap — auto-PASS · EV "&amp;TEXT(AF98,"0.0%")&amp;" (cap "&amp;TEXT(Method!$B$87,"0%")&amp;") · model/market "&amp;TEXT(IFERROR(INDEX(BC98:BE98,1,AB98)/INDEX(S98:U98,1,AB98),0),"0.0")&amp;"× (cap "&amp;TEXT(Method!$B$88,"0.0")&amp;"×)",IF(AF98&lt;Method!$B$7,"Price too short — EV "&amp;TEXT(AF98,"0.0%")&amp;" (need "&amp;TEXT(Method!$B$7,"0.0%")&amp;"+)","Model ≈ market — edge "&amp;TEXT(AG98,"0.0%")&amp;" (need "&amp;TEXT(Method!$B$8,"0.0%")&amp;"+)")))))</f>
        <v/>
      </c>
      <c r="AU98" s="54">
        <f>IF(AN98&lt;&gt;"Y","",IF(AH98="· enter odds","⚠ type the 3 odds (1/X/2) to grade this bet",IF(OR(AV98="",AO98="",AP98=""),"⚠ log backed pick, odds &amp; stake",IF(AZ98&lt;&gt;"BET","⚠ FUN BET — engine said pass · staked £"&amp;AP98&amp;" vs engine £"&amp;BA98,IF(AV98&lt;&gt;IF(AY98="",AC98,AY98),"⚠ backed "&amp;AV98&amp;" but engine pick was "&amp;IF(AY98="",AC98,AY98),IF(AP98&gt;BA98,"⚠ stake over engine £"&amp;BA98,IF(ABS(AO98-IFERROR(INDEX(L98:N98,1,MATCH(AV98,{"H","D","A"},0)),AE98))&gt;0.02,"⚠ odds moved — re-check value","✓ engine bet")))))))</f>
        <v/>
      </c>
      <c r="AV98" s="54">
        <f>IF(Matchday!O100="","",Matchday!O100)</f>
        <v/>
      </c>
      <c r="AW98" s="54" t="n"/>
      <c r="AX98" s="54" t="n"/>
      <c r="AY98" s="54" t="n"/>
      <c r="AZ98" s="54">
        <f>IF(AW98="",AH98,AW98)</f>
        <v/>
      </c>
      <c r="BA98" s="54">
        <f>IF(AX98&lt;&gt;"",AX98,IF(AH98&lt;&gt;"BET",0,IF(AI98*Method!$B$10/100&lt;Method!$B$9,0,ROUND(AI98*Method!$B$10/100,0))))</f>
        <v/>
      </c>
      <c r="BB98" s="14" t="n">
        <v>0</v>
      </c>
      <c r="BC98" s="14">
        <f>IF(I98="","",I98)</f>
        <v/>
      </c>
      <c r="BD98" s="14">
        <f>IF(J98="","",J98)</f>
        <v/>
      </c>
      <c r="BE98" s="14">
        <f>IF(K98="","",K98)</f>
        <v/>
      </c>
      <c r="BG98" s="14" t="n">
        <v>0</v>
      </c>
    </row>
    <row r="99" ht="15.75" customHeight="1" s="153">
      <c r="A99" s="54" t="n">
        <v>98</v>
      </c>
      <c r="B99" s="80" t="n">
        <v>46213</v>
      </c>
      <c r="C99" s="54" t="inlineStr">
        <is>
          <t>QF</t>
        </is>
      </c>
      <c r="D99" s="54" t="inlineStr">
        <is>
          <t>W93</t>
        </is>
      </c>
      <c r="E99" s="54" t="inlineStr">
        <is>
          <t>W94</t>
        </is>
      </c>
      <c r="F99" s="54" t="inlineStr">
        <is>
          <t>Inglewood, CA</t>
        </is>
      </c>
      <c r="G99" s="81" t="n">
        <v>0.5</v>
      </c>
      <c r="H99" s="54" t="n"/>
      <c r="I99" s="54" t="n"/>
      <c r="J99" s="54" t="n"/>
      <c r="K99" s="54" t="n"/>
      <c r="L99" s="54">
        <f>IF(Matchday!E101="","",Matchday!E101)</f>
        <v/>
      </c>
      <c r="M99" s="54">
        <f>IF(Matchday!F101="","",Matchday!F101)</f>
        <v/>
      </c>
      <c r="N99" s="54">
        <f>IF(Matchday!G101="","",Matchday!G101)</f>
        <v/>
      </c>
      <c r="O99" s="54">
        <f>IF(L99="","",1/L99)</f>
        <v/>
      </c>
      <c r="P99" s="54">
        <f>IF(M99="","",1/M99)</f>
        <v/>
      </c>
      <c r="Q99" s="54">
        <f>IF(N99="","",1/N99)</f>
        <v/>
      </c>
      <c r="R99" s="54">
        <f>IF(COUNT(L99:N99)&lt;3,"",O99+P99+Q99)</f>
        <v/>
      </c>
      <c r="S99" s="54">
        <f t="array" ref="S99">IF($R99="","",IF(Method!$B$56="proportional",O99/$R99,IF(Method!$B$56="power",IFERROR(INDEX(power_devig($L99,$M99,$N99),1,1),O99/$R99),IFERROR(INDEX(shin($L99,$M99,$N99),1,1),O99/$R99))))</f>
        <v/>
      </c>
      <c r="T99" s="54">
        <f t="array" ref="T99">IF($R99="","",IF(Method!$B$56="proportional",P99/$R99,IF(Method!$B$56="power",IFERROR(INDEX(power_devig($L99,$M99,$N99),2,1),P99/$R99),IFERROR(INDEX(shin($L99,$M99,$N99),2,1),P99/$R99))))</f>
        <v/>
      </c>
      <c r="U99" s="54">
        <f t="array" ref="U99">IF($R99="","",IF(Method!$B$56="proportional",Q99/$R99,IF(Method!$B$56="power",IFERROR(INDEX(power_devig($L99,$M99,$N99),3,1),Q99/$R99),IFERROR(INDEX(shin($L99,$M99,$N99),3,1),Q99/$R99))))</f>
        <v/>
      </c>
      <c r="V99" s="54">
        <f>IF(S99="","",Method!$B$4*IF(BC99="",I99,BC99)+(1-Method!$B$4)*S99/($S99+$T99+$U99))</f>
        <v/>
      </c>
      <c r="W99" s="54">
        <f>IF(T99="","",Method!$B$4*IF(BD99="",J99,BD99)+(1-Method!$B$4)*T99/($S99+$T99+$U99))</f>
        <v/>
      </c>
      <c r="X99" s="54">
        <f>IF(U99="","",Method!$B$4*IF(BE99="",K99,BE99)+(1-Method!$B$4)*U99/($S99+$T99+$U99))</f>
        <v/>
      </c>
      <c r="Y99" s="54">
        <f>IF(V99="","",V99*L99-1)</f>
        <v/>
      </c>
      <c r="Z99" s="54">
        <f>IF(W99="","",W99*M99-1)</f>
        <v/>
      </c>
      <c r="AA99" s="54">
        <f>IF(X99="","",X99*N99-1)</f>
        <v/>
      </c>
      <c r="AB99" s="54">
        <f>IF(Y99="","",MATCH(MAX(Y99:AA99),Y99:AA99,0))</f>
        <v/>
      </c>
      <c r="AC99" s="54">
        <f>IF(AB99="","",CHOOSE(AB99,"H","D","A"))</f>
        <v/>
      </c>
      <c r="AD99" s="54">
        <f>IF(AB99="","",CHOOSE(AB99,"1  "&amp;D99,"X  Draw","2  "&amp;E99))</f>
        <v/>
      </c>
      <c r="AE99" s="54">
        <f>IF(AB99="","",INDEX(L99:N99,1,AB99))</f>
        <v/>
      </c>
      <c r="AF99" s="54">
        <f>IF(AB99="","",INDEX(Y99:AA99,1,AB99))</f>
        <v/>
      </c>
      <c r="AG99" s="54">
        <f>IF(AB99="","",INDEX(V99:X99,1,AB99)-INDEX(S99:U99,1,AB99))</f>
        <v/>
      </c>
      <c r="AH99" s="54">
        <f>IF(AB99="","· enter odds",IF(OR(AF99&gt;Method!$B$87,IFERROR(INDEX(BC99:BE99,1,AB99)/INDEX(S99:U99,1,AB99),0)&gt;Method!$B$88),"PASS",IF(AND(AF99&gt;=Method!$B$7,AG99&gt;=Method!$B$8),"BET","PASS")))</f>
        <v/>
      </c>
      <c r="AI99" s="54">
        <f>IF(AH99&lt;&gt;"BET",0,ROUND(MIN(Method!$B$6,Method!$B$5*AL99)*100,1))</f>
        <v/>
      </c>
      <c r="AJ99" s="54">
        <f>IF(OR(AH99&lt;&gt;"BET",Method!$B$55=TRUE()),0,IF(AI99*Method!$B$10/100&lt;Method!$B$9,0,ROUND(AI99*Method!$B$10/100,0)))</f>
        <v/>
      </c>
      <c r="AK99" s="54">
        <f>IF(AB99="","",INDEX(V99:X99,1,AB99))</f>
        <v/>
      </c>
      <c r="AL99" s="54">
        <f>IF(AH99&lt;&gt;"BET","",MAX(0,(AK99*AE99-1)/(AE99-1)))</f>
        <v/>
      </c>
      <c r="AM99" s="54">
        <f>IF(AH99="BET",AF99+A99/1000000,"")</f>
        <v/>
      </c>
      <c r="AN99" s="54">
        <f>IF(Matchday!N101="","",Matchday!N101)</f>
        <v/>
      </c>
      <c r="AO99" s="54">
        <f>IF(Matchday!P101="","",Matchday!P101)</f>
        <v/>
      </c>
      <c r="AP99" s="54">
        <f>IF(Matchday!Q101="","",Matchday!Q101)</f>
        <v/>
      </c>
      <c r="AQ99" s="54">
        <f>IF(Matchday!R101="","",Matchday!R101)</f>
        <v/>
      </c>
      <c r="AR99" s="54">
        <f>IF(OR(AN99&lt;&gt;"Y",AQ99="",AV99=""),"",IF(AQ99="Void",0,IF(AQ99=AV99,ROUND(AP99*(AO99-1),2),-AP99)))</f>
        <v/>
      </c>
      <c r="AS99" s="54">
        <f>IF(AR99="","",SUM($AR$2:AR99))</f>
        <v/>
      </c>
      <c r="AT99" s="54">
        <f>IF(AB99="","Type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pauses.")),IF(AH99="BET",IF(AJ99=0,"Edge found but stake rounds under £"&amp;Method!$B$9&amp;" — skip",IF(AND(AE99&gt;=6,AG99&gt;=0.15),"🟡 WAIT — long-shot review: odds "&amp;TEXT(AE99,"0.00")&amp;" + edge "&amp;TEXT(AG99,"0.0%")&amp;" — verify sharp-book + team news + stake comfort before Placed=Y","Value found: EV "&amp;TEXT(AF99,"0.0%")&amp;", edge "&amp;TEXT(AG99,"0.0%"))),IF(OR(AF99&gt;Method!$B$87,IFERROR(INDEX(BC99:BE99,1,AB99)/INDEX(S99:U99,1,AB99),0)&gt;Method!$B$88),"🛑 Tail trap — auto-PASS · EV "&amp;TEXT(AF99,"0.0%")&amp;" (cap "&amp;TEXT(Method!$B$87,"0%")&amp;") · model/market "&amp;TEXT(IFERROR(INDEX(BC99:BE99,1,AB99)/INDEX(S99:U99,1,AB99),0),"0.0")&amp;"× (cap "&amp;TEXT(Method!$B$88,"0.0")&amp;"×)",IF(AF99&lt;Method!$B$7,"Price too short — EV "&amp;TEXT(AF99,"0.0%")&amp;" (need "&amp;TEXT(Method!$B$7,"0.0%")&amp;"+)","Model ≈ market — edge "&amp;TEXT(AG99,"0.0%")&amp;" (need "&amp;TEXT(Method!$B$8,"0.0%")&amp;"+)")))))</f>
        <v/>
      </c>
      <c r="AU99" s="54">
        <f>IF(AN99&lt;&gt;"Y","",IF(AH99="· enter odds","⚠ type the 3 odds (1/X/2) to grade this bet",IF(OR(AV99="",AO99="",AP99=""),"⚠ log backed pick, odds &amp; stake",IF(AZ99&lt;&gt;"BET","⚠ FUN BET — engine said pass · staked £"&amp;AP99&amp;" vs engine £"&amp;BA99,IF(AV99&lt;&gt;IF(AY99="",AC99,AY99),"⚠ backed "&amp;AV99&amp;" but engine pick was "&amp;IF(AY99="",AC99,AY99),IF(AP99&gt;BA99,"⚠ stake over engine £"&amp;BA99,IF(ABS(AO99-IFERROR(INDEX(L99:N99,1,MATCH(AV99,{"H","D","A"},0)),AE99))&gt;0.02,"⚠ odds moved — re-check value","✓ engine bet")))))))</f>
        <v/>
      </c>
      <c r="AV99" s="54">
        <f>IF(Matchday!O101="","",Matchday!O101)</f>
        <v/>
      </c>
      <c r="AW99" s="54" t="n"/>
      <c r="AX99" s="54" t="n"/>
      <c r="AY99" s="54" t="n"/>
      <c r="AZ99" s="54">
        <f>IF(AW99="",AH99,AW99)</f>
        <v/>
      </c>
      <c r="BA99" s="54">
        <f>IF(AX99&lt;&gt;"",AX99,IF(AH99&lt;&gt;"BET",0,IF(AI99*Method!$B$10/100&lt;Method!$B$9,0,ROUND(AI99*Method!$B$10/100,0))))</f>
        <v/>
      </c>
      <c r="BB99" s="14" t="n">
        <v>0</v>
      </c>
      <c r="BC99" s="14">
        <f>IF(I99="","",I99)</f>
        <v/>
      </c>
      <c r="BD99" s="14">
        <f>IF(J99="","",J99)</f>
        <v/>
      </c>
      <c r="BE99" s="14">
        <f>IF(K99="","",K99)</f>
        <v/>
      </c>
      <c r="BG99" s="14" t="n">
        <v>0</v>
      </c>
    </row>
    <row r="100" ht="15.75" customHeight="1" s="153">
      <c r="A100" s="54" t="n">
        <v>99</v>
      </c>
      <c r="B100" s="80" t="n">
        <v>46214</v>
      </c>
      <c r="C100" s="54" t="inlineStr">
        <is>
          <t>QF</t>
        </is>
      </c>
      <c r="D100" s="54" t="inlineStr">
        <is>
          <t>W91</t>
        </is>
      </c>
      <c r="E100" s="54" t="inlineStr">
        <is>
          <t>W92</t>
        </is>
      </c>
      <c r="F100" s="54" t="inlineStr">
        <is>
          <t>Miami Gardens, FL</t>
        </is>
      </c>
      <c r="G100" s="81" t="n">
        <v>0.7083333333333334</v>
      </c>
      <c r="H100" s="54" t="n"/>
      <c r="I100" s="54" t="n"/>
      <c r="J100" s="54" t="n"/>
      <c r="K100" s="54" t="n"/>
      <c r="L100" s="54">
        <f>IF(Matchday!E102="","",Matchday!E102)</f>
        <v/>
      </c>
      <c r="M100" s="54">
        <f>IF(Matchday!F102="","",Matchday!F102)</f>
        <v/>
      </c>
      <c r="N100" s="54">
        <f>IF(Matchday!G102="","",Matchday!G102)</f>
        <v/>
      </c>
      <c r="O100" s="54">
        <f>IF(L100="","",1/L100)</f>
        <v/>
      </c>
      <c r="P100" s="54">
        <f>IF(M100="","",1/M100)</f>
        <v/>
      </c>
      <c r="Q100" s="54">
        <f>IF(N100="","",1/N100)</f>
        <v/>
      </c>
      <c r="R100" s="54">
        <f>IF(COUNT(L100:N100)&lt;3,"",O100+P100+Q100)</f>
        <v/>
      </c>
      <c r="S100" s="54">
        <f t="array" ref="S100">IF($R100="","",IF(Method!$B$56="proportional",O100/$R100,IF(Method!$B$56="power",IFERROR(INDEX(power_devig($L100,$M100,$N100),1,1),O100/$R100),IFERROR(INDEX(shin($L100,$M100,$N100),1,1),O100/$R100))))</f>
        <v/>
      </c>
      <c r="T100" s="54">
        <f t="array" ref="T100">IF($R100="","",IF(Method!$B$56="proportional",P100/$R100,IF(Method!$B$56="power",IFERROR(INDEX(power_devig($L100,$M100,$N100),2,1),P100/$R100),IFERROR(INDEX(shin($L100,$M100,$N100),2,1),P100/$R100))))</f>
        <v/>
      </c>
      <c r="U100" s="54">
        <f t="array" ref="U100">IF($R100="","",IF(Method!$B$56="proportional",Q100/$R100,IF(Method!$B$56="power",IFERROR(INDEX(power_devig($L100,$M100,$N100),3,1),Q100/$R100),IFERROR(INDEX(shin($L100,$M100,$N100),3,1),Q100/$R100))))</f>
        <v/>
      </c>
      <c r="V100" s="54">
        <f>IF(S100="","",Method!$B$4*IF(BC100="",I100,BC100)+(1-Method!$B$4)*S100/($S100+$T100+$U100))</f>
        <v/>
      </c>
      <c r="W100" s="54">
        <f>IF(T100="","",Method!$B$4*IF(BD100="",J100,BD100)+(1-Method!$B$4)*T100/($S100+$T100+$U100))</f>
        <v/>
      </c>
      <c r="X100" s="54">
        <f>IF(U100="","",Method!$B$4*IF(BE100="",K100,BE100)+(1-Method!$B$4)*U100/($S100+$T100+$U100))</f>
        <v/>
      </c>
      <c r="Y100" s="54">
        <f>IF(V100="","",V100*L100-1)</f>
        <v/>
      </c>
      <c r="Z100" s="54">
        <f>IF(W100="","",W100*M100-1)</f>
        <v/>
      </c>
      <c r="AA100" s="54">
        <f>IF(X100="","",X100*N100-1)</f>
        <v/>
      </c>
      <c r="AB100" s="54">
        <f>IF(Y100="","",MATCH(MAX(Y100:AA100),Y100:AA100,0))</f>
        <v/>
      </c>
      <c r="AC100" s="54">
        <f>IF(AB100="","",CHOOSE(AB100,"H","D","A"))</f>
        <v/>
      </c>
      <c r="AD100" s="54">
        <f>IF(AB100="","",CHOOSE(AB100,"1  "&amp;D100,"X  Draw","2  "&amp;E100))</f>
        <v/>
      </c>
      <c r="AE100" s="54">
        <f>IF(AB100="","",INDEX(L100:N100,1,AB100))</f>
        <v/>
      </c>
      <c r="AF100" s="54">
        <f>IF(AB100="","",INDEX(Y100:AA100,1,AB100))</f>
        <v/>
      </c>
      <c r="AG100" s="54">
        <f>IF(AB100="","",INDEX(V100:X100,1,AB100)-INDEX(S100:U100,1,AB100))</f>
        <v/>
      </c>
      <c r="AH100" s="54">
        <f>IF(AB100="","· enter odds",IF(OR(AF100&gt;Method!$B$87,IFERROR(INDEX(BC100:BE100,1,AB100)/INDEX(S100:U100,1,AB100),0)&gt;Method!$B$88),"PASS",IF(AND(AF100&gt;=Method!$B$7,AG100&gt;=Method!$B$8),"BET","PASS")))</f>
        <v/>
      </c>
      <c r="AI100" s="54">
        <f>IF(AH100&lt;&gt;"BET",0,ROUND(MIN(Method!$B$6,Method!$B$5*AL100)*100,1))</f>
        <v/>
      </c>
      <c r="AJ100" s="54">
        <f>IF(OR(AH100&lt;&gt;"BET",Method!$B$55=TRUE()),0,IF(AI100*Method!$B$10/100&lt;Method!$B$9,0,ROUND(AI100*Method!$B$10/100,0)))</f>
        <v/>
      </c>
      <c r="AK100" s="54">
        <f>IF(AB100="","",INDEX(V100:X100,1,AB100))</f>
        <v/>
      </c>
      <c r="AL100" s="54">
        <f>IF(AH100&lt;&gt;"BET","",MAX(0,(AK100*AE100-1)/(AE100-1)))</f>
        <v/>
      </c>
      <c r="AM100" s="54">
        <f>IF(AH100="BET",AF100+A100/1000000,"")</f>
        <v/>
      </c>
      <c r="AN100" s="54">
        <f>IF(Matchday!N102="","",Matchday!N102)</f>
        <v/>
      </c>
      <c r="AO100" s="54">
        <f>IF(Matchday!P102="","",Matchday!P102)</f>
        <v/>
      </c>
      <c r="AP100" s="54">
        <f>IF(Matchday!Q102="","",Matchday!Q102)</f>
        <v/>
      </c>
      <c r="AQ100" s="54">
        <f>IF(Matchday!R102="","",Matchday!R102)</f>
        <v/>
      </c>
      <c r="AR100" s="54">
        <f>IF(OR(AN100&lt;&gt;"Y",AQ100="",AV100=""),"",IF(AQ100="Void",0,IF(AQ100=AV100,ROUND(AP100*(AO100-1),2),-AP100)))</f>
        <v/>
      </c>
      <c r="AS100" s="54">
        <f>IF(AR100="","",SUM($AR$2:AR100))</f>
        <v/>
      </c>
      <c r="AT100" s="54">
        <f>IF(AB100="","Type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pauses.")),IF(AH100="BET",IF(AJ100=0,"Edge found but stake rounds under £"&amp;Method!$B$9&amp;" — skip",IF(AND(AE100&gt;=6,AG100&gt;=0.15),"🟡 WAIT — long-shot review: odds "&amp;TEXT(AE100,"0.00")&amp;" + edge "&amp;TEXT(AG100,"0.0%")&amp;" — verify sharp-book + team news + stake comfort before Placed=Y","Value found: EV "&amp;TEXT(AF100,"0.0%")&amp;", edge "&amp;TEXT(AG100,"0.0%"))),IF(OR(AF100&gt;Method!$B$87,IFERROR(INDEX(BC100:BE100,1,AB100)/INDEX(S100:U100,1,AB100),0)&gt;Method!$B$88),"🛑 Tail trap — auto-PASS · EV "&amp;TEXT(AF100,"0.0%")&amp;" (cap "&amp;TEXT(Method!$B$87,"0%")&amp;") · model/market "&amp;TEXT(IFERROR(INDEX(BC100:BE100,1,AB100)/INDEX(S100:U100,1,AB100),0),"0.0")&amp;"× (cap "&amp;TEXT(Method!$B$88,"0.0")&amp;"×)",IF(AF100&lt;Method!$B$7,"Price too short — EV "&amp;TEXT(AF100,"0.0%")&amp;" (need "&amp;TEXT(Method!$B$7,"0.0%")&amp;"+)","Model ≈ market — edge "&amp;TEXT(AG100,"0.0%")&amp;" (need "&amp;TEXT(Method!$B$8,"0.0%")&amp;"+)")))))</f>
        <v/>
      </c>
      <c r="AU100" s="54">
        <f>IF(AN100&lt;&gt;"Y","",IF(AH100="· enter odds","⚠ type the 3 odds (1/X/2) to grade this bet",IF(OR(AV100="",AO100="",AP100=""),"⚠ log backed pick, odds &amp; stake",IF(AZ100&lt;&gt;"BET","⚠ FUN BET — engine said pass · staked £"&amp;AP100&amp;" vs engine £"&amp;BA100,IF(AV100&lt;&gt;IF(AY100="",AC100,AY100),"⚠ backed "&amp;AV100&amp;" but engine pick was "&amp;IF(AY100="",AC100,AY100),IF(AP100&gt;BA100,"⚠ stake over engine £"&amp;BA100,IF(ABS(AO100-IFERROR(INDEX(L100:N100,1,MATCH(AV100,{"H","D","A"},0)),AE100))&gt;0.02,"⚠ odds moved — re-check value","✓ engine bet")))))))</f>
        <v/>
      </c>
      <c r="AV100" s="54">
        <f>IF(Matchday!O102="","",Matchday!O102)</f>
        <v/>
      </c>
      <c r="AW100" s="54" t="n"/>
      <c r="AX100" s="54" t="n"/>
      <c r="AY100" s="54" t="n"/>
      <c r="AZ100" s="54">
        <f>IF(AW100="",AH100,AW100)</f>
        <v/>
      </c>
      <c r="BA100" s="54">
        <f>IF(AX100&lt;&gt;"",AX100,IF(AH100&lt;&gt;"BET",0,IF(AI100*Method!$B$10/100&lt;Method!$B$9,0,ROUND(AI100*Method!$B$10/100,0))))</f>
        <v/>
      </c>
      <c r="BB100" s="14" t="n">
        <v>0</v>
      </c>
      <c r="BC100" s="14">
        <f>IF(I100="","",I100)</f>
        <v/>
      </c>
      <c r="BD100" s="14">
        <f>IF(J100="","",J100)</f>
        <v/>
      </c>
      <c r="BE100" s="14">
        <f>IF(K100="","",K100)</f>
        <v/>
      </c>
      <c r="BG100" s="14" t="n">
        <v>0</v>
      </c>
    </row>
    <row r="101" ht="15.75" customHeight="1" s="153">
      <c r="A101" s="54" t="n">
        <v>100</v>
      </c>
      <c r="B101" s="80" t="n">
        <v>46214</v>
      </c>
      <c r="C101" s="54" t="inlineStr">
        <is>
          <t>QF</t>
        </is>
      </c>
      <c r="D101" s="54" t="inlineStr">
        <is>
          <t>W95</t>
        </is>
      </c>
      <c r="E101" s="54" t="inlineStr">
        <is>
          <t>W96</t>
        </is>
      </c>
      <c r="F101" s="54" t="inlineStr">
        <is>
          <t>Kansas City, MO</t>
        </is>
      </c>
      <c r="G101" s="81" t="n">
        <v>0.8333333333333334</v>
      </c>
      <c r="H101" s="54" t="n"/>
      <c r="I101" s="54" t="n"/>
      <c r="J101" s="54" t="n"/>
      <c r="K101" s="54" t="n"/>
      <c r="L101" s="54">
        <f>IF(Matchday!E103="","",Matchday!E103)</f>
        <v/>
      </c>
      <c r="M101" s="54">
        <f>IF(Matchday!F103="","",Matchday!F103)</f>
        <v/>
      </c>
      <c r="N101" s="54">
        <f>IF(Matchday!G103="","",Matchday!G103)</f>
        <v/>
      </c>
      <c r="O101" s="54">
        <f>IF(L101="","",1/L101)</f>
        <v/>
      </c>
      <c r="P101" s="54">
        <f>IF(M101="","",1/M101)</f>
        <v/>
      </c>
      <c r="Q101" s="54">
        <f>IF(N101="","",1/N101)</f>
        <v/>
      </c>
      <c r="R101" s="54">
        <f>IF(COUNT(L101:N101)&lt;3,"",O101+P101+Q101)</f>
        <v/>
      </c>
      <c r="S101" s="54">
        <f t="array" ref="S101">IF($R101="","",IF(Method!$B$56="proportional",O101/$R101,IF(Method!$B$56="power",IFERROR(INDEX(power_devig($L101,$M101,$N101),1,1),O101/$R101),IFERROR(INDEX(shin($L101,$M101,$N101),1,1),O101/$R101))))</f>
        <v/>
      </c>
      <c r="T101" s="54">
        <f t="array" ref="T101">IF($R101="","",IF(Method!$B$56="proportional",P101/$R101,IF(Method!$B$56="power",IFERROR(INDEX(power_devig($L101,$M101,$N101),2,1),P101/$R101),IFERROR(INDEX(shin($L101,$M101,$N101),2,1),P101/$R101))))</f>
        <v/>
      </c>
      <c r="U101" s="54">
        <f t="array" ref="U101">IF($R101="","",IF(Method!$B$56="proportional",Q101/$R101,IF(Method!$B$56="power",IFERROR(INDEX(power_devig($L101,$M101,$N101),3,1),Q101/$R101),IFERROR(INDEX(shin($L101,$M101,$N101),3,1),Q101/$R101))))</f>
        <v/>
      </c>
      <c r="V101" s="54">
        <f>IF(S101="","",Method!$B$4*IF(BC101="",I101,BC101)+(1-Method!$B$4)*S101/($S101+$T101+$U101))</f>
        <v/>
      </c>
      <c r="W101" s="54">
        <f>IF(T101="","",Method!$B$4*IF(BD101="",J101,BD101)+(1-Method!$B$4)*T101/($S101+$T101+$U101))</f>
        <v/>
      </c>
      <c r="X101" s="54">
        <f>IF(U101="","",Method!$B$4*IF(BE101="",K101,BE101)+(1-Method!$B$4)*U101/($S101+$T101+$U101))</f>
        <v/>
      </c>
      <c r="Y101" s="54">
        <f>IF(V101="","",V101*L101-1)</f>
        <v/>
      </c>
      <c r="Z101" s="54">
        <f>IF(W101="","",W101*M101-1)</f>
        <v/>
      </c>
      <c r="AA101" s="54">
        <f>IF(X101="","",X101*N101-1)</f>
        <v/>
      </c>
      <c r="AB101" s="54">
        <f>IF(Y101="","",MATCH(MAX(Y101:AA101),Y101:AA101,0))</f>
        <v/>
      </c>
      <c r="AC101" s="54">
        <f>IF(AB101="","",CHOOSE(AB101,"H","D","A"))</f>
        <v/>
      </c>
      <c r="AD101" s="54">
        <f>IF(AB101="","",CHOOSE(AB101,"1  "&amp;D101,"X  Draw","2  "&amp;E101))</f>
        <v/>
      </c>
      <c r="AE101" s="54">
        <f>IF(AB101="","",INDEX(L101:N101,1,AB101))</f>
        <v/>
      </c>
      <c r="AF101" s="54">
        <f>IF(AB101="","",INDEX(Y101:AA101,1,AB101))</f>
        <v/>
      </c>
      <c r="AG101" s="54">
        <f>IF(AB101="","",INDEX(V101:X101,1,AB101)-INDEX(S101:U101,1,AB101))</f>
        <v/>
      </c>
      <c r="AH101" s="54">
        <f>IF(AB101="","· enter odds",IF(OR(AF101&gt;Method!$B$87,IFERROR(INDEX(BC101:BE101,1,AB101)/INDEX(S101:U101,1,AB101),0)&gt;Method!$B$88),"PASS",IF(AND(AF101&gt;=Method!$B$7,AG101&gt;=Method!$B$8),"BET","PASS")))</f>
        <v/>
      </c>
      <c r="AI101" s="54">
        <f>IF(AH101&lt;&gt;"BET",0,ROUND(MIN(Method!$B$6,Method!$B$5*AL101)*100,1))</f>
        <v/>
      </c>
      <c r="AJ101" s="54">
        <f>IF(OR(AH101&lt;&gt;"BET",Method!$B$55=TRUE()),0,IF(AI101*Method!$B$10/100&lt;Method!$B$9,0,ROUND(AI101*Method!$B$10/100,0)))</f>
        <v/>
      </c>
      <c r="AK101" s="54">
        <f>IF(AB101="","",INDEX(V101:X101,1,AB101))</f>
        <v/>
      </c>
      <c r="AL101" s="54">
        <f>IF(AH101&lt;&gt;"BET","",MAX(0,(AK101*AE101-1)/(AE101-1)))</f>
        <v/>
      </c>
      <c r="AM101" s="54">
        <f>IF(AH101="BET",AF101+A101/1000000,"")</f>
        <v/>
      </c>
      <c r="AN101" s="54">
        <f>IF(Matchday!N103="","",Matchday!N103)</f>
        <v/>
      </c>
      <c r="AO101" s="54">
        <f>IF(Matchday!P103="","",Matchday!P103)</f>
        <v/>
      </c>
      <c r="AP101" s="54">
        <f>IF(Matchday!Q103="","",Matchday!Q103)</f>
        <v/>
      </c>
      <c r="AQ101" s="54">
        <f>IF(Matchday!R103="","",Matchday!R103)</f>
        <v/>
      </c>
      <c r="AR101" s="54">
        <f>IF(OR(AN101&lt;&gt;"Y",AQ101="",AV101=""),"",IF(AQ101="Void",0,IF(AQ101=AV101,ROUND(AP101*(AO101-1),2),-AP101)))</f>
        <v/>
      </c>
      <c r="AS101" s="54">
        <f>IF(AR101="","",SUM($AR$2:AR101))</f>
        <v/>
      </c>
      <c r="AT101" s="54">
        <f>IF(AB101="","Type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pauses.")),IF(AH101="BET",IF(AJ101=0,"Edge found but stake rounds under £"&amp;Method!$B$9&amp;" — skip",IF(AND(AE101&gt;=6,AG101&gt;=0.15),"🟡 WAIT — long-shot review: odds "&amp;TEXT(AE101,"0.00")&amp;" + edge "&amp;TEXT(AG101,"0.0%")&amp;" — verify sharp-book + team news + stake comfort before Placed=Y","Value found: EV "&amp;TEXT(AF101,"0.0%")&amp;", edge "&amp;TEXT(AG101,"0.0%"))),IF(OR(AF101&gt;Method!$B$87,IFERROR(INDEX(BC101:BE101,1,AB101)/INDEX(S101:U101,1,AB101),0)&gt;Method!$B$88),"🛑 Tail trap — auto-PASS · EV "&amp;TEXT(AF101,"0.0%")&amp;" (cap "&amp;TEXT(Method!$B$87,"0%")&amp;") · model/market "&amp;TEXT(IFERROR(INDEX(BC101:BE101,1,AB101)/INDEX(S101:U101,1,AB101),0),"0.0")&amp;"× (cap "&amp;TEXT(Method!$B$88,"0.0")&amp;"×)",IF(AF101&lt;Method!$B$7,"Price too short — EV "&amp;TEXT(AF101,"0.0%")&amp;" (need "&amp;TEXT(Method!$B$7,"0.0%")&amp;"+)","Model ≈ market — edge "&amp;TEXT(AG101,"0.0%")&amp;" (need "&amp;TEXT(Method!$B$8,"0.0%")&amp;"+)")))))</f>
        <v/>
      </c>
      <c r="AU101" s="54">
        <f>IF(AN101&lt;&gt;"Y","",IF(AH101="· enter odds","⚠ type the 3 odds (1/X/2) to grade this bet",IF(OR(AV101="",AO101="",AP101=""),"⚠ log backed pick, odds &amp; stake",IF(AZ101&lt;&gt;"BET","⚠ FUN BET — engine said pass · staked £"&amp;AP101&amp;" vs engine £"&amp;BA101,IF(AV101&lt;&gt;IF(AY101="",AC101,AY101),"⚠ backed "&amp;AV101&amp;" but engine pick was "&amp;IF(AY101="",AC101,AY101),IF(AP101&gt;BA101,"⚠ stake over engine £"&amp;BA101,IF(ABS(AO101-IFERROR(INDEX(L101:N101,1,MATCH(AV101,{"H","D","A"},0)),AE101))&gt;0.02,"⚠ odds moved — re-check value","✓ engine bet")))))))</f>
        <v/>
      </c>
      <c r="AV101" s="54">
        <f>IF(Matchday!O103="","",Matchday!O103)</f>
        <v/>
      </c>
      <c r="AW101" s="54" t="n"/>
      <c r="AX101" s="54" t="n"/>
      <c r="AY101" s="54" t="n"/>
      <c r="AZ101" s="54">
        <f>IF(AW101="",AH101,AW101)</f>
        <v/>
      </c>
      <c r="BA101" s="54">
        <f>IF(AX101&lt;&gt;"",AX101,IF(AH101&lt;&gt;"BET",0,IF(AI101*Method!$B$10/100&lt;Method!$B$9,0,ROUND(AI101*Method!$B$10/100,0))))</f>
        <v/>
      </c>
      <c r="BB101" s="14" t="n">
        <v>0</v>
      </c>
      <c r="BC101" s="14">
        <f>IF(I101="","",I101)</f>
        <v/>
      </c>
      <c r="BD101" s="14">
        <f>IF(J101="","",J101)</f>
        <v/>
      </c>
      <c r="BE101" s="14">
        <f>IF(K101="","",K101)</f>
        <v/>
      </c>
      <c r="BG101" s="14" t="n">
        <v>270</v>
      </c>
      <c r="BH101" s="14" t="inlineStr">
        <is>
          <t>hot</t>
        </is>
      </c>
    </row>
    <row r="102" ht="15.75" customHeight="1" s="153">
      <c r="A102" s="54" t="n">
        <v>101</v>
      </c>
      <c r="B102" s="80" t="n">
        <v>46217</v>
      </c>
      <c r="C102" s="54" t="inlineStr">
        <is>
          <t>SF</t>
        </is>
      </c>
      <c r="D102" s="54" t="inlineStr">
        <is>
          <t>W97</t>
        </is>
      </c>
      <c r="E102" s="54" t="inlineStr">
        <is>
          <t>W98</t>
        </is>
      </c>
      <c r="F102" s="54" t="inlineStr">
        <is>
          <t>Arlington, TX</t>
        </is>
      </c>
      <c r="G102" s="81" t="n">
        <v>0.5833333333333334</v>
      </c>
      <c r="H102" s="54" t="n"/>
      <c r="I102" s="54" t="n"/>
      <c r="J102" s="54" t="n"/>
      <c r="K102" s="54" t="n"/>
      <c r="L102" s="54">
        <f>IF(Matchday!E104="","",Matchday!E104)</f>
        <v/>
      </c>
      <c r="M102" s="54">
        <f>IF(Matchday!F104="","",Matchday!F104)</f>
        <v/>
      </c>
      <c r="N102" s="54">
        <f>IF(Matchday!G104="","",Matchday!G104)</f>
        <v/>
      </c>
      <c r="O102" s="54">
        <f>IF(L102="","",1/L102)</f>
        <v/>
      </c>
      <c r="P102" s="54">
        <f>IF(M102="","",1/M102)</f>
        <v/>
      </c>
      <c r="Q102" s="54">
        <f>IF(N102="","",1/N102)</f>
        <v/>
      </c>
      <c r="R102" s="54">
        <f>IF(COUNT(L102:N102)&lt;3,"",O102+P102+Q102)</f>
        <v/>
      </c>
      <c r="S102" s="54">
        <f t="array" ref="S102">IF($R102="","",IF(Method!$B$56="proportional",O102/$R102,IF(Method!$B$56="power",IFERROR(INDEX(power_devig($L102,$M102,$N102),1,1),O102/$R102),IFERROR(INDEX(shin($L102,$M102,$N102),1,1),O102/$R102))))</f>
        <v/>
      </c>
      <c r="T102" s="54">
        <f t="array" ref="T102">IF($R102="","",IF(Method!$B$56="proportional",P102/$R102,IF(Method!$B$56="power",IFERROR(INDEX(power_devig($L102,$M102,$N102),2,1),P102/$R102),IFERROR(INDEX(shin($L102,$M102,$N102),2,1),P102/$R102))))</f>
        <v/>
      </c>
      <c r="U102" s="54">
        <f t="array" ref="U102">IF($R102="","",IF(Method!$B$56="proportional",Q102/$R102,IF(Method!$B$56="power",IFERROR(INDEX(power_devig($L102,$M102,$N102),3,1),Q102/$R102),IFERROR(INDEX(shin($L102,$M102,$N102),3,1),Q102/$R102))))</f>
        <v/>
      </c>
      <c r="V102" s="54">
        <f>IF(S102="","",Method!$B$4*IF(BC102="",I102,BC102)+(1-Method!$B$4)*S102/($S102+$T102+$U102))</f>
        <v/>
      </c>
      <c r="W102" s="54">
        <f>IF(T102="","",Method!$B$4*IF(BD102="",J102,BD102)+(1-Method!$B$4)*T102/($S102+$T102+$U102))</f>
        <v/>
      </c>
      <c r="X102" s="54">
        <f>IF(U102="","",Method!$B$4*IF(BE102="",K102,BE102)+(1-Method!$B$4)*U102/($S102+$T102+$U102))</f>
        <v/>
      </c>
      <c r="Y102" s="54">
        <f>IF(V102="","",V102*L102-1)</f>
        <v/>
      </c>
      <c r="Z102" s="54">
        <f>IF(W102="","",W102*M102-1)</f>
        <v/>
      </c>
      <c r="AA102" s="54">
        <f>IF(X102="","",X102*N102-1)</f>
        <v/>
      </c>
      <c r="AB102" s="54">
        <f>IF(Y102="","",MATCH(MAX(Y102:AA102),Y102:AA102,0))</f>
        <v/>
      </c>
      <c r="AC102" s="54">
        <f>IF(AB102="","",CHOOSE(AB102,"H","D","A"))</f>
        <v/>
      </c>
      <c r="AD102" s="54">
        <f>IF(AB102="","",CHOOSE(AB102,"1  "&amp;D102,"X  Draw","2  "&amp;E102))</f>
        <v/>
      </c>
      <c r="AE102" s="54">
        <f>IF(AB102="","",INDEX(L102:N102,1,AB102))</f>
        <v/>
      </c>
      <c r="AF102" s="54">
        <f>IF(AB102="","",INDEX(Y102:AA102,1,AB102))</f>
        <v/>
      </c>
      <c r="AG102" s="54">
        <f>IF(AB102="","",INDEX(V102:X102,1,AB102)-INDEX(S102:U102,1,AB102))</f>
        <v/>
      </c>
      <c r="AH102" s="54">
        <f>IF(AB102="","· enter odds",IF(OR(AF102&gt;Method!$B$87,IFERROR(INDEX(BC102:BE102,1,AB102)/INDEX(S102:U102,1,AB102),0)&gt;Method!$B$88),"PASS",IF(AND(AF102&gt;=Method!$B$7,AG102&gt;=Method!$B$8),"BET","PASS")))</f>
        <v/>
      </c>
      <c r="AI102" s="54">
        <f>IF(AH102&lt;&gt;"BET",0,ROUND(MIN(Method!$B$6,Method!$B$5*AL102)*100,1))</f>
        <v/>
      </c>
      <c r="AJ102" s="54">
        <f>IF(OR(AH102&lt;&gt;"BET",Method!$B$55=TRUE()),0,IF(AI102*Method!$B$10/100&lt;Method!$B$9,0,ROUND(AI102*Method!$B$10/100,0)))</f>
        <v/>
      </c>
      <c r="AK102" s="54">
        <f>IF(AB102="","",INDEX(V102:X102,1,AB102))</f>
        <v/>
      </c>
      <c r="AL102" s="54">
        <f>IF(AH102&lt;&gt;"BET","",MAX(0,(AK102*AE102-1)/(AE102-1)))</f>
        <v/>
      </c>
      <c r="AM102" s="54">
        <f>IF(AH102="BET",AF102+A102/1000000,"")</f>
        <v/>
      </c>
      <c r="AN102" s="54">
        <f>IF(Matchday!N104="","",Matchday!N104)</f>
        <v/>
      </c>
      <c r="AO102" s="54">
        <f>IF(Matchday!P104="","",Matchday!P104)</f>
        <v/>
      </c>
      <c r="AP102" s="54">
        <f>IF(Matchday!Q104="","",Matchday!Q104)</f>
        <v/>
      </c>
      <c r="AQ102" s="54">
        <f>IF(Matchday!R104="","",Matchday!R104)</f>
        <v/>
      </c>
      <c r="AR102" s="54">
        <f>IF(OR(AN102&lt;&gt;"Y",AQ102="",AV102=""),"",IF(AQ102="Void",0,IF(AQ102=AV102,ROUND(AP102*(AO102-1),2),-AP102)))</f>
        <v/>
      </c>
      <c r="AS102" s="54">
        <f>IF(AR102="","",SUM($AR$2:AR102))</f>
        <v/>
      </c>
      <c r="AT102" s="54">
        <f>IF(AB102="","Type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pauses.")),IF(AH102="BET",IF(AJ102=0,"Edge found but stake rounds under £"&amp;Method!$B$9&amp;" — skip",IF(AND(AE102&gt;=6,AG102&gt;=0.15),"🟡 WAIT — long-shot review: odds "&amp;TEXT(AE102,"0.00")&amp;" + edge "&amp;TEXT(AG102,"0.0%")&amp;" — verify sharp-book + team news + stake comfort before Placed=Y","Value found: EV "&amp;TEXT(AF102,"0.0%")&amp;", edge "&amp;TEXT(AG102,"0.0%"))),IF(OR(AF102&gt;Method!$B$87,IFERROR(INDEX(BC102:BE102,1,AB102)/INDEX(S102:U102,1,AB102),0)&gt;Method!$B$88),"🛑 Tail trap — auto-PASS · EV "&amp;TEXT(AF102,"0.0%")&amp;" (cap "&amp;TEXT(Method!$B$87,"0%")&amp;") · model/market "&amp;TEXT(IFERROR(INDEX(BC102:BE102,1,AB102)/INDEX(S102:U102,1,AB102),0),"0.0")&amp;"× (cap "&amp;TEXT(Method!$B$88,"0.0")&amp;"×)",IF(AF102&lt;Method!$B$7,"Price too short — EV "&amp;TEXT(AF102,"0.0%")&amp;" (need "&amp;TEXT(Method!$B$7,"0.0%")&amp;"+)","Model ≈ market — edge "&amp;TEXT(AG102,"0.0%")&amp;" (need "&amp;TEXT(Method!$B$8,"0.0%")&amp;"+)")))))</f>
        <v/>
      </c>
      <c r="AU102" s="54">
        <f>IF(AN102&lt;&gt;"Y","",IF(AH102="· enter odds","⚠ type the 3 odds (1/X/2) to grade this bet",IF(OR(AV102="",AO102="",AP102=""),"⚠ log backed pick, odds &amp; stake",IF(AZ102&lt;&gt;"BET","⚠ FUN BET — engine said pass · staked £"&amp;AP102&amp;" vs engine £"&amp;BA102,IF(AV102&lt;&gt;IF(AY102="",AC102,AY102),"⚠ backed "&amp;AV102&amp;" but engine pick was "&amp;IF(AY102="",AC102,AY102),IF(AP102&gt;BA102,"⚠ stake over engine £"&amp;BA102,IF(ABS(AO102-IFERROR(INDEX(L102:N102,1,MATCH(AV102,{"H","D","A"},0)),AE102))&gt;0.02,"⚠ odds moved — re-check value","✓ engine bet")))))))</f>
        <v/>
      </c>
      <c r="AV102" s="54">
        <f>IF(Matchday!O104="","",Matchday!O104)</f>
        <v/>
      </c>
      <c r="AW102" s="54" t="n"/>
      <c r="AX102" s="54" t="n"/>
      <c r="AY102" s="54" t="n"/>
      <c r="AZ102" s="54">
        <f>IF(AW102="",AH102,AW102)</f>
        <v/>
      </c>
      <c r="BA102" s="54">
        <f>IF(AX102&lt;&gt;"",AX102,IF(AH102&lt;&gt;"BET",0,IF(AI102*Method!$B$10/100&lt;Method!$B$9,0,ROUND(AI102*Method!$B$10/100,0))))</f>
        <v/>
      </c>
      <c r="BB102" s="14" t="n">
        <v>0</v>
      </c>
      <c r="BC102" s="14">
        <f>IF(I102="","",I102)</f>
        <v/>
      </c>
      <c r="BD102" s="14">
        <f>IF(J102="","",J102)</f>
        <v/>
      </c>
      <c r="BE102" s="14">
        <f>IF(K102="","",K102)</f>
        <v/>
      </c>
      <c r="BG102" s="14" t="n">
        <v>0</v>
      </c>
    </row>
    <row r="103" ht="15.75" customHeight="1" s="153">
      <c r="A103" s="54" t="n">
        <v>102</v>
      </c>
      <c r="B103" s="80" t="n">
        <v>46218</v>
      </c>
      <c r="C103" s="54" t="inlineStr">
        <is>
          <t>SF</t>
        </is>
      </c>
      <c r="D103" s="54" t="inlineStr">
        <is>
          <t>W99</t>
        </is>
      </c>
      <c r="E103" s="54" t="inlineStr">
        <is>
          <t>W100</t>
        </is>
      </c>
      <c r="F103" s="54" t="inlineStr">
        <is>
          <t>Atlanta, GA</t>
        </is>
      </c>
      <c r="G103" s="81" t="n">
        <v>0.625</v>
      </c>
      <c r="H103" s="54" t="n"/>
      <c r="I103" s="54" t="n"/>
      <c r="J103" s="54" t="n"/>
      <c r="K103" s="54" t="n"/>
      <c r="L103" s="54">
        <f>IF(Matchday!E105="","",Matchday!E105)</f>
        <v/>
      </c>
      <c r="M103" s="54">
        <f>IF(Matchday!F105="","",Matchday!F105)</f>
        <v/>
      </c>
      <c r="N103" s="54">
        <f>IF(Matchday!G105="","",Matchday!G105)</f>
        <v/>
      </c>
      <c r="O103" s="54">
        <f>IF(L103="","",1/L103)</f>
        <v/>
      </c>
      <c r="P103" s="54">
        <f>IF(M103="","",1/M103)</f>
        <v/>
      </c>
      <c r="Q103" s="54">
        <f>IF(N103="","",1/N103)</f>
        <v/>
      </c>
      <c r="R103" s="54">
        <f>IF(COUNT(L103:N103)&lt;3,"",O103+P103+Q103)</f>
        <v/>
      </c>
      <c r="S103" s="54">
        <f t="array" ref="S103">IF($R103="","",IF(Method!$B$56="proportional",O103/$R103,IF(Method!$B$56="power",IFERROR(INDEX(power_devig($L103,$M103,$N103),1,1),O103/$R103),IFERROR(INDEX(shin($L103,$M103,$N103),1,1),O103/$R103))))</f>
        <v/>
      </c>
      <c r="T103" s="54">
        <f t="array" ref="T103">IF($R103="","",IF(Method!$B$56="proportional",P103/$R103,IF(Method!$B$56="power",IFERROR(INDEX(power_devig($L103,$M103,$N103),2,1),P103/$R103),IFERROR(INDEX(shin($L103,$M103,$N103),2,1),P103/$R103))))</f>
        <v/>
      </c>
      <c r="U103" s="54">
        <f t="array" ref="U103">IF($R103="","",IF(Method!$B$56="proportional",Q103/$R103,IF(Method!$B$56="power",IFERROR(INDEX(power_devig($L103,$M103,$N103),3,1),Q103/$R103),IFERROR(INDEX(shin($L103,$M103,$N103),3,1),Q103/$R103))))</f>
        <v/>
      </c>
      <c r="V103" s="54">
        <f>IF(S103="","",Method!$B$4*IF(BC103="",I103,BC103)+(1-Method!$B$4)*S103/($S103+$T103+$U103))</f>
        <v/>
      </c>
      <c r="W103" s="54">
        <f>IF(T103="","",Method!$B$4*IF(BD103="",J103,BD103)+(1-Method!$B$4)*T103/($S103+$T103+$U103))</f>
        <v/>
      </c>
      <c r="X103" s="54">
        <f>IF(U103="","",Method!$B$4*IF(BE103="",K103,BE103)+(1-Method!$B$4)*U103/($S103+$T103+$U103))</f>
        <v/>
      </c>
      <c r="Y103" s="54">
        <f>IF(V103="","",V103*L103-1)</f>
        <v/>
      </c>
      <c r="Z103" s="54">
        <f>IF(W103="","",W103*M103-1)</f>
        <v/>
      </c>
      <c r="AA103" s="54">
        <f>IF(X103="","",X103*N103-1)</f>
        <v/>
      </c>
      <c r="AB103" s="54">
        <f>IF(Y103="","",MATCH(MAX(Y103:AA103),Y103:AA103,0))</f>
        <v/>
      </c>
      <c r="AC103" s="54">
        <f>IF(AB103="","",CHOOSE(AB103,"H","D","A"))</f>
        <v/>
      </c>
      <c r="AD103" s="54">
        <f>IF(AB103="","",CHOOSE(AB103,"1  "&amp;D103,"X  Draw","2  "&amp;E103))</f>
        <v/>
      </c>
      <c r="AE103" s="54">
        <f>IF(AB103="","",INDEX(L103:N103,1,AB103))</f>
        <v/>
      </c>
      <c r="AF103" s="54">
        <f>IF(AB103="","",INDEX(Y103:AA103,1,AB103))</f>
        <v/>
      </c>
      <c r="AG103" s="54">
        <f>IF(AB103="","",INDEX(V103:X103,1,AB103)-INDEX(S103:U103,1,AB103))</f>
        <v/>
      </c>
      <c r="AH103" s="54">
        <f>IF(AB103="","· enter odds",IF(OR(AF103&gt;Method!$B$87,IFERROR(INDEX(BC103:BE103,1,AB103)/INDEX(S103:U103,1,AB103),0)&gt;Method!$B$88),"PASS",IF(AND(AF103&gt;=Method!$B$7,AG103&gt;=Method!$B$8),"BET","PASS")))</f>
        <v/>
      </c>
      <c r="AI103" s="54">
        <f>IF(AH103&lt;&gt;"BET",0,ROUND(MIN(Method!$B$6,Method!$B$5*AL103)*100,1))</f>
        <v/>
      </c>
      <c r="AJ103" s="54">
        <f>IF(OR(AH103&lt;&gt;"BET",Method!$B$55=TRUE()),0,IF(AI103*Method!$B$10/100&lt;Method!$B$9,0,ROUND(AI103*Method!$B$10/100,0)))</f>
        <v/>
      </c>
      <c r="AK103" s="54">
        <f>IF(AB103="","",INDEX(V103:X103,1,AB103))</f>
        <v/>
      </c>
      <c r="AL103" s="54">
        <f>IF(AH103&lt;&gt;"BET","",MAX(0,(AK103*AE103-1)/(AE103-1)))</f>
        <v/>
      </c>
      <c r="AM103" s="54">
        <f>IF(AH103="BET",AF103+A103/1000000,"")</f>
        <v/>
      </c>
      <c r="AN103" s="54">
        <f>IF(Matchday!N105="","",Matchday!N105)</f>
        <v/>
      </c>
      <c r="AO103" s="54">
        <f>IF(Matchday!P105="","",Matchday!P105)</f>
        <v/>
      </c>
      <c r="AP103" s="54">
        <f>IF(Matchday!Q105="","",Matchday!Q105)</f>
        <v/>
      </c>
      <c r="AQ103" s="54">
        <f>IF(Matchday!R105="","",Matchday!R105)</f>
        <v/>
      </c>
      <c r="AR103" s="54">
        <f>IF(OR(AN103&lt;&gt;"Y",AQ103="",AV103=""),"",IF(AQ103="Void",0,IF(AQ103=AV103,ROUND(AP103*(AO103-1),2),-AP103)))</f>
        <v/>
      </c>
      <c r="AS103" s="54">
        <f>IF(AR103="","",SUM($AR$2:AR103))</f>
        <v/>
      </c>
      <c r="AT103" s="54">
        <f>IF(AB103="","Type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pauses.")),IF(AH103="BET",IF(AJ103=0,"Edge found but stake rounds under £"&amp;Method!$B$9&amp;" — skip",IF(AND(AE103&gt;=6,AG103&gt;=0.15),"🟡 WAIT — long-shot review: odds "&amp;TEXT(AE103,"0.00")&amp;" + edge "&amp;TEXT(AG103,"0.0%")&amp;" — verify sharp-book + team news + stake comfort before Placed=Y","Value found: EV "&amp;TEXT(AF103,"0.0%")&amp;", edge "&amp;TEXT(AG103,"0.0%"))),IF(OR(AF103&gt;Method!$B$87,IFERROR(INDEX(BC103:BE103,1,AB103)/INDEX(S103:U103,1,AB103),0)&gt;Method!$B$88),"🛑 Tail trap — auto-PASS · EV "&amp;TEXT(AF103,"0.0%")&amp;" (cap "&amp;TEXT(Method!$B$87,"0%")&amp;") · model/market "&amp;TEXT(IFERROR(INDEX(BC103:BE103,1,AB103)/INDEX(S103:U103,1,AB103),0),"0.0")&amp;"× (cap "&amp;TEXT(Method!$B$88,"0.0")&amp;"×)",IF(AF103&lt;Method!$B$7,"Price too short — EV "&amp;TEXT(AF103,"0.0%")&amp;" (need "&amp;TEXT(Method!$B$7,"0.0%")&amp;"+)","Model ≈ market — edge "&amp;TEXT(AG103,"0.0%")&amp;" (need "&amp;TEXT(Method!$B$8,"0.0%")&amp;"+)")))))</f>
        <v/>
      </c>
      <c r="AU103" s="54">
        <f>IF(AN103&lt;&gt;"Y","",IF(AH103="· enter odds","⚠ type the 3 odds (1/X/2) to grade this bet",IF(OR(AV103="",AO103="",AP103=""),"⚠ log backed pick, odds &amp; stake",IF(AZ103&lt;&gt;"BET","⚠ FUN BET — engine said pass · staked £"&amp;AP103&amp;" vs engine £"&amp;BA103,IF(AV103&lt;&gt;IF(AY103="",AC103,AY103),"⚠ backed "&amp;AV103&amp;" but engine pick was "&amp;IF(AY103="",AC103,AY103),IF(AP103&gt;BA103,"⚠ stake over engine £"&amp;BA103,IF(ABS(AO103-IFERROR(INDEX(L103:N103,1,MATCH(AV103,{"H","D","A"},0)),AE103))&gt;0.02,"⚠ odds moved — re-check value","✓ engine bet")))))))</f>
        <v/>
      </c>
      <c r="AV103" s="54">
        <f>IF(Matchday!O105="","",Matchday!O105)</f>
        <v/>
      </c>
      <c r="AW103" s="54" t="n"/>
      <c r="AX103" s="54" t="n"/>
      <c r="AY103" s="54" t="n"/>
      <c r="AZ103" s="54">
        <f>IF(AW103="",AH103,AW103)</f>
        <v/>
      </c>
      <c r="BA103" s="54">
        <f>IF(AX103&lt;&gt;"",AX103,IF(AH103&lt;&gt;"BET",0,IF(AI103*Method!$B$10/100&lt;Method!$B$9,0,ROUND(AI103*Method!$B$10/100,0))))</f>
        <v/>
      </c>
      <c r="BB103" s="14" t="n">
        <v>0</v>
      </c>
      <c r="BC103" s="14">
        <f>IF(I103="","",I103)</f>
        <v/>
      </c>
      <c r="BD103" s="14">
        <f>IF(J103="","",J103)</f>
        <v/>
      </c>
      <c r="BE103" s="14">
        <f>IF(K103="","",K103)</f>
        <v/>
      </c>
      <c r="BG103" s="14" t="n">
        <v>320</v>
      </c>
      <c r="BH103" s="14" t="inlineStr">
        <is>
          <t>hot_humid_indoor</t>
        </is>
      </c>
    </row>
    <row r="104" ht="15.75" customHeight="1" s="153">
      <c r="A104" s="54" t="n">
        <v>103</v>
      </c>
      <c r="B104" s="80" t="n">
        <v>46221</v>
      </c>
      <c r="C104" s="54" t="inlineStr">
        <is>
          <t>3rd</t>
        </is>
      </c>
      <c r="D104" s="54" t="inlineStr">
        <is>
          <t>L101</t>
        </is>
      </c>
      <c r="E104" s="54" t="inlineStr">
        <is>
          <t>L102</t>
        </is>
      </c>
      <c r="F104" s="54" t="inlineStr">
        <is>
          <t>Miami Gardens, FL</t>
        </is>
      </c>
      <c r="G104" s="81" t="n">
        <v>0.7083333333333334</v>
      </c>
      <c r="H104" s="54" t="n"/>
      <c r="I104" s="54" t="n"/>
      <c r="J104" s="54" t="n"/>
      <c r="K104" s="54" t="n"/>
      <c r="L104" s="54">
        <f>IF(Matchday!E106="","",Matchday!E106)</f>
        <v/>
      </c>
      <c r="M104" s="54">
        <f>IF(Matchday!F106="","",Matchday!F106)</f>
        <v/>
      </c>
      <c r="N104" s="54">
        <f>IF(Matchday!G106="","",Matchday!G106)</f>
        <v/>
      </c>
      <c r="O104" s="54">
        <f>IF(L104="","",1/L104)</f>
        <v/>
      </c>
      <c r="P104" s="54">
        <f>IF(M104="","",1/M104)</f>
        <v/>
      </c>
      <c r="Q104" s="54">
        <f>IF(N104="","",1/N104)</f>
        <v/>
      </c>
      <c r="R104" s="54">
        <f>IF(COUNT(L104:N104)&lt;3,"",O104+P104+Q104)</f>
        <v/>
      </c>
      <c r="S104" s="54">
        <f t="array" ref="S104">IF($R104="","",IF(Method!$B$56="proportional",O104/$R104,IF(Method!$B$56="power",IFERROR(INDEX(power_devig($L104,$M104,$N104),1,1),O104/$R104),IFERROR(INDEX(shin($L104,$M104,$N104),1,1),O104/$R104))))</f>
        <v/>
      </c>
      <c r="T104" s="54">
        <f t="array" ref="T104">IF($R104="","",IF(Method!$B$56="proportional",P104/$R104,IF(Method!$B$56="power",IFERROR(INDEX(power_devig($L104,$M104,$N104),2,1),P104/$R104),IFERROR(INDEX(shin($L104,$M104,$N104),2,1),P104/$R104))))</f>
        <v/>
      </c>
      <c r="U104" s="54">
        <f t="array" ref="U104">IF($R104="","",IF(Method!$B$56="proportional",Q104/$R104,IF(Method!$B$56="power",IFERROR(INDEX(power_devig($L104,$M104,$N104),3,1),Q104/$R104),IFERROR(INDEX(shin($L104,$M104,$N104),3,1),Q104/$R104))))</f>
        <v/>
      </c>
      <c r="V104" s="54">
        <f>IF(S104="","",Method!$B$4*IF(BC104="",I104,BC104)+(1-Method!$B$4)*S104/($S104+$T104+$U104))</f>
        <v/>
      </c>
      <c r="W104" s="54">
        <f>IF(T104="","",Method!$B$4*IF(BD104="",J104,BD104)+(1-Method!$B$4)*T104/($S104+$T104+$U104))</f>
        <v/>
      </c>
      <c r="X104" s="54">
        <f>IF(U104="","",Method!$B$4*IF(BE104="",K104,BE104)+(1-Method!$B$4)*U104/($S104+$T104+$U104))</f>
        <v/>
      </c>
      <c r="Y104" s="54">
        <f>IF(V104="","",V104*L104-1)</f>
        <v/>
      </c>
      <c r="Z104" s="54">
        <f>IF(W104="","",W104*M104-1)</f>
        <v/>
      </c>
      <c r="AA104" s="54">
        <f>IF(X104="","",X104*N104-1)</f>
        <v/>
      </c>
      <c r="AB104" s="54">
        <f>IF(Y104="","",MATCH(MAX(Y104:AA104),Y104:AA104,0))</f>
        <v/>
      </c>
      <c r="AC104" s="54">
        <f>IF(AB104="","",CHOOSE(AB104,"H","D","A"))</f>
        <v/>
      </c>
      <c r="AD104" s="54">
        <f>IF(AB104="","",CHOOSE(AB104,"1  "&amp;D104,"X  Draw","2  "&amp;E104))</f>
        <v/>
      </c>
      <c r="AE104" s="54">
        <f>IF(AB104="","",INDEX(L104:N104,1,AB104))</f>
        <v/>
      </c>
      <c r="AF104" s="54">
        <f>IF(AB104="","",INDEX(Y104:AA104,1,AB104))</f>
        <v/>
      </c>
      <c r="AG104" s="54">
        <f>IF(AB104="","",INDEX(V104:X104,1,AB104)-INDEX(S104:U104,1,AB104))</f>
        <v/>
      </c>
      <c r="AH104" s="54">
        <f>IF(AB104="","· enter odds",IF(OR(AF104&gt;Method!$B$87,IFERROR(INDEX(BC104:BE104,1,AB104)/INDEX(S104:U104,1,AB104),0)&gt;Method!$B$88),"PASS",IF(AND(AF104&gt;=Method!$B$7,AG104&gt;=Method!$B$8),"BET","PASS")))</f>
        <v/>
      </c>
      <c r="AI104" s="54">
        <f>IF(AH104&lt;&gt;"BET",0,ROUND(MIN(Method!$B$6,Method!$B$5*AL104)*100,1))</f>
        <v/>
      </c>
      <c r="AJ104" s="54">
        <f>IF(OR(AH104&lt;&gt;"BET",Method!$B$55=TRUE()),0,IF(AI104*Method!$B$10/100&lt;Method!$B$9,0,ROUND(AI104*Method!$B$10/100,0)))</f>
        <v/>
      </c>
      <c r="AK104" s="54">
        <f>IF(AB104="","",INDEX(V104:X104,1,AB104))</f>
        <v/>
      </c>
      <c r="AL104" s="54">
        <f>IF(AH104&lt;&gt;"BET","",MAX(0,(AK104*AE104-1)/(AE104-1)))</f>
        <v/>
      </c>
      <c r="AM104" s="54">
        <f>IF(AH104="BET",AF104+A104/1000000,"")</f>
        <v/>
      </c>
      <c r="AN104" s="54">
        <f>IF(Matchday!N106="","",Matchday!N106)</f>
        <v/>
      </c>
      <c r="AO104" s="54">
        <f>IF(Matchday!P106="","",Matchday!P106)</f>
        <v/>
      </c>
      <c r="AP104" s="54">
        <f>IF(Matchday!Q106="","",Matchday!Q106)</f>
        <v/>
      </c>
      <c r="AQ104" s="54">
        <f>IF(Matchday!R106="","",Matchday!R106)</f>
        <v/>
      </c>
      <c r="AR104" s="54">
        <f>IF(OR(AN104&lt;&gt;"Y",AQ104="",AV104=""),"",IF(AQ104="Void",0,IF(AQ104=AV104,ROUND(AP104*(AO104-1),2),-AP104)))</f>
        <v/>
      </c>
      <c r="AS104" s="54">
        <f>IF(AR104="","",SUM($AR$2:AR104))</f>
        <v/>
      </c>
      <c r="AT104" s="54">
        <f>IF(AB104="","Type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pauses.")),IF(AH104="BET",IF(AJ104=0,"Edge found but stake rounds under £"&amp;Method!$B$9&amp;" — skip",IF(AND(AE104&gt;=6,AG104&gt;=0.15),"🟡 WAIT — long-shot review: odds "&amp;TEXT(AE104,"0.00")&amp;" + edge "&amp;TEXT(AG104,"0.0%")&amp;" — verify sharp-book + team news + stake comfort before Placed=Y","Value found: EV "&amp;TEXT(AF104,"0.0%")&amp;", edge "&amp;TEXT(AG104,"0.0%"))),IF(OR(AF104&gt;Method!$B$87,IFERROR(INDEX(BC104:BE104,1,AB104)/INDEX(S104:U104,1,AB104),0)&gt;Method!$B$88),"🛑 Tail trap — auto-PASS · EV "&amp;TEXT(AF104,"0.0%")&amp;" (cap "&amp;TEXT(Method!$B$87,"0%")&amp;") · model/market "&amp;TEXT(IFERROR(INDEX(BC104:BE104,1,AB104)/INDEX(S104:U104,1,AB104),0),"0.0")&amp;"× (cap "&amp;TEXT(Method!$B$88,"0.0")&amp;"×)",IF(AF104&lt;Method!$B$7,"Price too short — EV "&amp;TEXT(AF104,"0.0%")&amp;" (need "&amp;TEXT(Method!$B$7,"0.0%")&amp;"+)","Model ≈ market — edge "&amp;TEXT(AG104,"0.0%")&amp;" (need "&amp;TEXT(Method!$B$8,"0.0%")&amp;"+)")))))</f>
        <v/>
      </c>
      <c r="AU104" s="54">
        <f>IF(AN104&lt;&gt;"Y","",IF(AH104="· enter odds","⚠ type the 3 odds (1/X/2) to grade this bet",IF(OR(AV104="",AO104="",AP104=""),"⚠ log backed pick, odds &amp; stake",IF(AZ104&lt;&gt;"BET","⚠ FUN BET — engine said pass · staked £"&amp;AP104&amp;" vs engine £"&amp;BA104,IF(AV104&lt;&gt;IF(AY104="",AC104,AY104),"⚠ backed "&amp;AV104&amp;" but engine pick was "&amp;IF(AY104="",AC104,AY104),IF(AP104&gt;BA104,"⚠ stake over engine £"&amp;BA104,IF(ABS(AO104-IFERROR(INDEX(L104:N104,1,MATCH(AV104,{"H","D","A"},0)),AE104))&gt;0.02,"⚠ odds moved — re-check value","✓ engine bet")))))))</f>
        <v/>
      </c>
      <c r="AV104" s="54">
        <f>IF(Matchday!O106="","",Matchday!O106)</f>
        <v/>
      </c>
      <c r="AW104" s="54" t="n"/>
      <c r="AX104" s="54" t="n"/>
      <c r="AY104" s="54" t="n"/>
      <c r="AZ104" s="54">
        <f>IF(AW104="",AH104,AW104)</f>
        <v/>
      </c>
      <c r="BA104" s="54">
        <f>IF(AX104&lt;&gt;"",AX104,IF(AH104&lt;&gt;"BET",0,IF(AI104*Method!$B$10/100&lt;Method!$B$9,0,ROUND(AI104*Method!$B$10/100,0))))</f>
        <v/>
      </c>
      <c r="BB104" s="14" t="n">
        <v>0</v>
      </c>
      <c r="BC104" s="14">
        <f>IF(I104="","",I104)</f>
        <v/>
      </c>
      <c r="BD104" s="14">
        <f>IF(J104="","",J104)</f>
        <v/>
      </c>
      <c r="BE104" s="14">
        <f>IF(K104="","",K104)</f>
        <v/>
      </c>
      <c r="BG104" s="14" t="n">
        <v>0</v>
      </c>
    </row>
    <row r="105" ht="15.75" customHeight="1" s="153">
      <c r="A105" s="54" t="n">
        <v>104</v>
      </c>
      <c r="B105" s="80" t="n">
        <v>46222</v>
      </c>
      <c r="C105" s="54" t="inlineStr">
        <is>
          <t>Final</t>
        </is>
      </c>
      <c r="D105" s="54" t="inlineStr">
        <is>
          <t>W101</t>
        </is>
      </c>
      <c r="E105" s="54" t="inlineStr">
        <is>
          <t>W102</t>
        </is>
      </c>
      <c r="F105" s="54" t="inlineStr">
        <is>
          <t>East Rutherford, NJ</t>
        </is>
      </c>
      <c r="G105" s="81" t="n">
        <v>0.625</v>
      </c>
      <c r="H105" s="54" t="n"/>
      <c r="I105" s="54" t="n"/>
      <c r="J105" s="54" t="n"/>
      <c r="K105" s="54" t="n"/>
      <c r="L105" s="54">
        <f>IF(Matchday!E107="","",Matchday!E107)</f>
        <v/>
      </c>
      <c r="M105" s="54">
        <f>IF(Matchday!F107="","",Matchday!F107)</f>
        <v/>
      </c>
      <c r="N105" s="54">
        <f>IF(Matchday!G107="","",Matchday!G107)</f>
        <v/>
      </c>
      <c r="O105" s="54">
        <f>IF(L105="","",1/L105)</f>
        <v/>
      </c>
      <c r="P105" s="54">
        <f>IF(M105="","",1/M105)</f>
        <v/>
      </c>
      <c r="Q105" s="54">
        <f>IF(N105="","",1/N105)</f>
        <v/>
      </c>
      <c r="R105" s="54">
        <f>IF(COUNT(L105:N105)&lt;3,"",O105+P105+Q105)</f>
        <v/>
      </c>
      <c r="S105" s="54">
        <f t="array" ref="S105">IF($R105="","",IF(Method!$B$56="proportional",O105/$R105,IF(Method!$B$56="power",IFERROR(INDEX(power_devig($L105,$M105,$N105),1,1),O105/$R105),IFERROR(INDEX(shin($L105,$M105,$N105),1,1),O105/$R105))))</f>
        <v/>
      </c>
      <c r="T105" s="54">
        <f t="array" ref="T105">IF($R105="","",IF(Method!$B$56="proportional",P105/$R105,IF(Method!$B$56="power",IFERROR(INDEX(power_devig($L105,$M105,$N105),2,1),P105/$R105),IFERROR(INDEX(shin($L105,$M105,$N105),2,1),P105/$R105))))</f>
        <v/>
      </c>
      <c r="U105" s="54">
        <f t="array" ref="U105">IF($R105="","",IF(Method!$B$56="proportional",Q105/$R105,IF(Method!$B$56="power",IFERROR(INDEX(power_devig($L105,$M105,$N105),3,1),Q105/$R105),IFERROR(INDEX(shin($L105,$M105,$N105),3,1),Q105/$R105))))</f>
        <v/>
      </c>
      <c r="V105" s="54">
        <f>IF(S105="","",Method!$B$4*IF(BC105="",I105,BC105)+(1-Method!$B$4)*S105/($S105+$T105+$U105))</f>
        <v/>
      </c>
      <c r="W105" s="54">
        <f>IF(T105="","",Method!$B$4*IF(BD105="",J105,BD105)+(1-Method!$B$4)*T105/($S105+$T105+$U105))</f>
        <v/>
      </c>
      <c r="X105" s="54">
        <f>IF(U105="","",Method!$B$4*IF(BE105="",K105,BE105)+(1-Method!$B$4)*U105/($S105+$T105+$U105))</f>
        <v/>
      </c>
      <c r="Y105" s="54">
        <f>IF(V105="","",V105*L105-1)</f>
        <v/>
      </c>
      <c r="Z105" s="54">
        <f>IF(W105="","",W105*M105-1)</f>
        <v/>
      </c>
      <c r="AA105" s="54">
        <f>IF(X105="","",X105*N105-1)</f>
        <v/>
      </c>
      <c r="AB105" s="54">
        <f>IF(Y105="","",MATCH(MAX(Y105:AA105),Y105:AA105,0))</f>
        <v/>
      </c>
      <c r="AC105" s="54">
        <f>IF(AB105="","",CHOOSE(AB105,"H","D","A"))</f>
        <v/>
      </c>
      <c r="AD105" s="54">
        <f>IF(AB105="","",CHOOSE(AB105,"1  "&amp;D105,"X  Draw","2  "&amp;E105))</f>
        <v/>
      </c>
      <c r="AE105" s="54">
        <f>IF(AB105="","",INDEX(L105:N105,1,AB105))</f>
        <v/>
      </c>
      <c r="AF105" s="54">
        <f>IF(AB105="","",INDEX(Y105:AA105,1,AB105))</f>
        <v/>
      </c>
      <c r="AG105" s="54">
        <f>IF(AB105="","",INDEX(V105:X105,1,AB105)-INDEX(S105:U105,1,AB105))</f>
        <v/>
      </c>
      <c r="AH105" s="54">
        <f>IF(AB105="","· enter odds",IF(OR(AF105&gt;Method!$B$87,IFERROR(INDEX(BC105:BE105,1,AB105)/INDEX(S105:U105,1,AB105),0)&gt;Method!$B$88),"PASS",IF(AND(AF105&gt;=Method!$B$7,AG105&gt;=Method!$B$8),"BET","PASS")))</f>
        <v/>
      </c>
      <c r="AI105" s="54">
        <f>IF(AH105&lt;&gt;"BET",0,ROUND(MIN(Method!$B$6,Method!$B$5*AL105)*100,1))</f>
        <v/>
      </c>
      <c r="AJ105" s="54">
        <f>IF(OR(AH105&lt;&gt;"BET",Method!$B$55=TRUE()),0,IF(AI105*Method!$B$10/100&lt;Method!$B$9,0,ROUND(AI105*Method!$B$10/100,0)))</f>
        <v/>
      </c>
      <c r="AK105" s="54">
        <f>IF(AB105="","",INDEX(V105:X105,1,AB105))</f>
        <v/>
      </c>
      <c r="AL105" s="54">
        <f>IF(AH105&lt;&gt;"BET","",MAX(0,(AK105*AE105-1)/(AE105-1)))</f>
        <v/>
      </c>
      <c r="AM105" s="54">
        <f>IF(AH105="BET",AF105+A105/1000000,"")</f>
        <v/>
      </c>
      <c r="AN105" s="54">
        <f>IF(Matchday!N107="","",Matchday!N107)</f>
        <v/>
      </c>
      <c r="AO105" s="54">
        <f>IF(Matchday!P107="","",Matchday!P107)</f>
        <v/>
      </c>
      <c r="AP105" s="54">
        <f>IF(Matchday!Q107="","",Matchday!Q107)</f>
        <v/>
      </c>
      <c r="AQ105" s="54">
        <f>IF(Matchday!R107="","",Matchday!R107)</f>
        <v/>
      </c>
      <c r="AR105" s="54">
        <f>IF(OR(AN105&lt;&gt;"Y",AQ105="",AV105=""),"",IF(AQ105="Void",0,IF(AQ105=AV105,ROUND(AP105*(AO105-1),2),-AP105)))</f>
        <v/>
      </c>
      <c r="AS105" s="54">
        <f>IF(AR105="","",SUM($AR$2:AR105))</f>
        <v/>
      </c>
      <c r="AT105" s="54">
        <f>IF(AB105="","Type the 3 odds on the Matchday tab",IF(Method!$B$55=TRUE(),IF(Method!$B$81=TRUE(),"🛑 PAUSED — feed stale &gt; 25 min — check Live tab;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pauses.")),IF(AH105="BET",IF(AJ105=0,"Edge found but stake rounds under £"&amp;Method!$B$9&amp;" — skip",IF(AND(AE105&gt;=6,AG105&gt;=0.15),"🟡 WAIT — long-shot review: odds "&amp;TEXT(AE105,"0.00")&amp;" + edge "&amp;TEXT(AG105,"0.0%")&amp;" — verify sharp-book + team news + stake comfort before Placed=Y","Value found: EV "&amp;TEXT(AF105,"0.0%")&amp;", edge "&amp;TEXT(AG105,"0.0%"))),IF(OR(AF105&gt;Method!$B$87,IFERROR(INDEX(BC105:BE105,1,AB105)/INDEX(S105:U105,1,AB105),0)&gt;Method!$B$88),"🛑 Tail trap — auto-PASS · EV "&amp;TEXT(AF105,"0.0%")&amp;" (cap "&amp;TEXT(Method!$B$87,"0%")&amp;") · model/market "&amp;TEXT(IFERROR(INDEX(BC105:BE105,1,AB105)/INDEX(S105:U105,1,AB105),0),"0.0")&amp;"× (cap "&amp;TEXT(Method!$B$88,"0.0")&amp;"×)",IF(AF105&lt;Method!$B$7,"Price too short — EV "&amp;TEXT(AF105,"0.0%")&amp;" (need "&amp;TEXT(Method!$B$7,"0.0%")&amp;"+)","Model ≈ market — edge "&amp;TEXT(AG105,"0.0%")&amp;" (need "&amp;TEXT(Method!$B$8,"0.0%")&amp;"+)")))))</f>
        <v/>
      </c>
      <c r="AU105" s="54">
        <f>IF(AN105&lt;&gt;"Y","",IF(AH105="· enter odds","⚠ type the 3 odds (1/X/2) to grade this bet",IF(OR(AV105="",AO105="",AP105=""),"⚠ log backed pick, odds &amp; stake",IF(AZ105&lt;&gt;"BET","⚠ FUN BET — engine said pass · staked £"&amp;AP105&amp;" vs engine £"&amp;BA105,IF(AV105&lt;&gt;IF(AY105="",AC105,AY105),"⚠ backed "&amp;AV105&amp;" but engine pick was "&amp;IF(AY105="",AC105,AY105),IF(AP105&gt;BA105,"⚠ stake over engine £"&amp;BA105,IF(ABS(AO105-IFERROR(INDEX(L105:N105,1,MATCH(AV105,{"H","D","A"},0)),AE105))&gt;0.02,"⚠ odds moved — re-check value","✓ engine bet")))))))</f>
        <v/>
      </c>
      <c r="AV105" s="54">
        <f>IF(Matchday!O107="","",Matchday!O107)</f>
        <v/>
      </c>
      <c r="AW105" s="54" t="n"/>
      <c r="AX105" s="54" t="n"/>
      <c r="AY105" s="54" t="n"/>
      <c r="AZ105" s="54">
        <f>IF(AW105="",AH105,AW105)</f>
        <v/>
      </c>
      <c r="BA105" s="54">
        <f>IF(AX105&lt;&gt;"",AX105,IF(AH105&lt;&gt;"BET",0,IF(AI105*Method!$B$10/100&lt;Method!$B$9,0,ROUND(AI105*Method!$B$10/100,0))))</f>
        <v/>
      </c>
      <c r="BB105" s="14" t="n">
        <v>0</v>
      </c>
      <c r="BC105" s="14">
        <f>IF(I105="","",I105)</f>
        <v/>
      </c>
      <c r="BD105" s="14">
        <f>IF(J105="","",J105)</f>
        <v/>
      </c>
      <c r="BE105" s="14">
        <f>IF(K105="","",K105)</f>
        <v/>
      </c>
      <c r="BG105" s="14" t="n">
        <v>0</v>
      </c>
    </row>
    <row r="106" ht="15.75" customHeight="1" s="153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4" t="n"/>
      <c r="K106" s="54" t="n"/>
      <c r="L106" s="54" t="n"/>
      <c r="M106" s="54" t="n"/>
      <c r="N106" s="54" t="n"/>
      <c r="O106" s="54" t="n"/>
      <c r="P106" s="54" t="n"/>
      <c r="Q106" s="54" t="n"/>
      <c r="R106" s="54" t="n"/>
      <c r="S106" s="54" t="n"/>
      <c r="T106" s="54" t="n"/>
      <c r="U106" s="54" t="n"/>
      <c r="V106" s="54" t="n"/>
      <c r="W106" s="54" t="n"/>
      <c r="X106" s="54" t="n"/>
      <c r="Y106" s="54" t="n"/>
      <c r="Z106" s="54" t="n"/>
      <c r="AA106" s="54" t="n"/>
      <c r="AB106" s="54" t="n"/>
      <c r="AC106" s="54" t="n"/>
      <c r="AD106" s="54" t="n"/>
      <c r="AE106" s="54" t="n"/>
      <c r="AF106" s="54" t="n"/>
      <c r="AG106" s="54" t="n"/>
      <c r="AH106" s="54" t="n"/>
      <c r="AI106" s="54" t="n"/>
      <c r="AJ106" s="54" t="n"/>
      <c r="AK106" s="54" t="n"/>
      <c r="AL106" s="54" t="n"/>
      <c r="AM106" s="54" t="n"/>
      <c r="AN106" s="54" t="n"/>
      <c r="AO106" s="54" t="n"/>
      <c r="AP106" s="54" t="n"/>
      <c r="AQ106" s="54" t="n"/>
      <c r="AR106" s="54" t="n"/>
      <c r="AS106" s="54" t="n"/>
      <c r="AT106" s="54" t="n"/>
      <c r="AU106" s="54" t="n"/>
      <c r="AV106" s="54" t="n"/>
      <c r="AW106" s="54" t="n"/>
      <c r="AX106" s="54" t="n"/>
      <c r="AY106" s="54" t="n"/>
      <c r="AZ106" s="54" t="n"/>
      <c r="BA106" s="54" t="n"/>
    </row>
    <row r="107" ht="15.75" customHeight="1" s="153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4" t="n"/>
      <c r="K107" s="54" t="n"/>
      <c r="L107" s="54" t="n"/>
      <c r="M107" s="54" t="n"/>
      <c r="N107" s="54" t="n"/>
      <c r="O107" s="54" t="n"/>
      <c r="P107" s="54" t="n"/>
      <c r="Q107" s="54" t="n"/>
      <c r="R107" s="54" t="n"/>
      <c r="S107" s="54" t="n"/>
      <c r="T107" s="54" t="n"/>
      <c r="U107" s="54" t="n"/>
      <c r="V107" s="54" t="n"/>
      <c r="W107" s="54" t="n"/>
      <c r="X107" s="54" t="n"/>
      <c r="Y107" s="54" t="n"/>
      <c r="Z107" s="54" t="n"/>
      <c r="AA107" s="54" t="n"/>
      <c r="AB107" s="54" t="n"/>
      <c r="AC107" s="54" t="n"/>
      <c r="AD107" s="54" t="n"/>
      <c r="AE107" s="54" t="n"/>
      <c r="AF107" s="54" t="n"/>
      <c r="AG107" s="54" t="n"/>
      <c r="AH107" s="54" t="n"/>
      <c r="AI107" s="54" t="n"/>
      <c r="AJ107" s="54" t="n"/>
      <c r="AK107" s="54" t="n"/>
      <c r="AL107" s="54" t="n"/>
      <c r="AM107" s="54" t="n"/>
      <c r="AN107" s="54" t="n"/>
      <c r="AO107" s="54" t="n"/>
      <c r="AP107" s="54" t="n"/>
      <c r="AQ107" s="54" t="n"/>
      <c r="AR107" s="54" t="n"/>
      <c r="AS107" s="54" t="n"/>
      <c r="AT107" s="54" t="n"/>
      <c r="AU107" s="54" t="n"/>
      <c r="AV107" s="54" t="n"/>
      <c r="AW107" s="54" t="n"/>
      <c r="AX107" s="54" t="n"/>
      <c r="AY107" s="54" t="n"/>
      <c r="AZ107" s="54" t="n"/>
      <c r="BA107" s="54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4" t="n"/>
      <c r="K108" s="54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54" t="n"/>
      <c r="V108" s="54" t="n"/>
      <c r="W108" s="54" t="n"/>
      <c r="X108" s="54" t="n"/>
      <c r="Y108" s="54" t="n"/>
      <c r="Z108" s="54" t="n"/>
      <c r="AA108" s="54" t="n"/>
      <c r="AB108" s="54" t="n"/>
      <c r="AC108" s="54" t="n"/>
      <c r="AD108" s="54" t="n"/>
      <c r="AE108" s="54" t="n"/>
      <c r="AF108" s="54" t="n"/>
      <c r="AG108" s="54" t="n"/>
      <c r="AH108" s="54" t="n"/>
      <c r="AI108" s="54" t="n"/>
      <c r="AJ108" s="54" t="n"/>
      <c r="AK108" s="54" t="n"/>
      <c r="AL108" s="54" t="n"/>
      <c r="AM108" s="54" t="n"/>
      <c r="AN108" s="54" t="n"/>
      <c r="AO108" s="54" t="n"/>
      <c r="AP108" s="54" t="n"/>
      <c r="AQ108" s="54" t="n"/>
      <c r="AR108" s="54" t="n"/>
      <c r="AS108" s="54" t="n"/>
      <c r="AT108" s="54" t="n"/>
      <c r="AU108" s="54" t="n"/>
      <c r="AV108" s="54" t="n"/>
      <c r="AW108" s="54" t="n"/>
      <c r="AX108" s="54" t="n"/>
      <c r="AY108" s="54" t="n"/>
      <c r="AZ108" s="54" t="n"/>
      <c r="BA108" s="54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54" t="n"/>
      <c r="L109" s="54" t="n"/>
      <c r="M109" s="54" t="n"/>
      <c r="N109" s="54" t="n"/>
      <c r="O109" s="54" t="n"/>
      <c r="P109" s="54" t="n"/>
      <c r="Q109" s="54" t="n"/>
      <c r="R109" s="54" t="n"/>
      <c r="S109" s="54" t="n"/>
      <c r="T109" s="54" t="n"/>
      <c r="U109" s="54" t="n"/>
      <c r="V109" s="54" t="n"/>
      <c r="W109" s="54" t="n"/>
      <c r="X109" s="54" t="n"/>
      <c r="Y109" s="54" t="n"/>
      <c r="Z109" s="54" t="n"/>
      <c r="AA109" s="54" t="n"/>
      <c r="AB109" s="54" t="n"/>
      <c r="AC109" s="54" t="n"/>
      <c r="AD109" s="54" t="n"/>
      <c r="AE109" s="54" t="n"/>
      <c r="AF109" s="54" t="n"/>
      <c r="AG109" s="54" t="n"/>
      <c r="AH109" s="54" t="n"/>
      <c r="AI109" s="54" t="n"/>
      <c r="AJ109" s="54" t="n"/>
      <c r="AK109" s="54" t="n"/>
      <c r="AL109" s="54" t="n"/>
      <c r="AM109" s="54" t="n"/>
      <c r="AN109" s="54" t="n"/>
      <c r="AO109" s="54" t="n"/>
      <c r="AP109" s="54" t="n"/>
      <c r="AQ109" s="54" t="n"/>
      <c r="AR109" s="54" t="n"/>
      <c r="AS109" s="54" t="n"/>
      <c r="AT109" s="54" t="n"/>
      <c r="AU109" s="54" t="n"/>
      <c r="AV109" s="54" t="n"/>
      <c r="AW109" s="54" t="n"/>
      <c r="AX109" s="54" t="n"/>
      <c r="AY109" s="54" t="n"/>
      <c r="AZ109" s="54" t="n"/>
      <c r="BA109" s="54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4" t="n"/>
      <c r="K110" s="54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54" t="n"/>
      <c r="V110" s="54" t="n"/>
      <c r="W110" s="54" t="n"/>
      <c r="X110" s="54" t="n"/>
      <c r="Y110" s="54" t="n"/>
      <c r="Z110" s="54" t="n"/>
      <c r="AA110" s="54" t="n"/>
      <c r="AB110" s="54" t="n"/>
      <c r="AC110" s="54" t="n"/>
      <c r="AD110" s="54" t="n"/>
      <c r="AE110" s="54" t="n"/>
      <c r="AF110" s="54" t="n"/>
      <c r="AG110" s="54" t="n"/>
      <c r="AH110" s="54" t="n"/>
      <c r="AI110" s="54" t="n"/>
      <c r="AJ110" s="54" t="n"/>
      <c r="AK110" s="54" t="n"/>
      <c r="AL110" s="54" t="n"/>
      <c r="AM110" s="54" t="n"/>
      <c r="AN110" s="54" t="n"/>
      <c r="AO110" s="54" t="n"/>
      <c r="AP110" s="54" t="n"/>
      <c r="AQ110" s="54" t="n"/>
      <c r="AR110" s="54" t="n"/>
      <c r="AS110" s="54" t="n"/>
      <c r="AT110" s="54" t="n"/>
      <c r="AU110" s="54" t="n"/>
      <c r="AV110" s="54" t="n"/>
      <c r="AW110" s="54" t="n"/>
      <c r="AX110" s="54" t="n"/>
      <c r="AY110" s="54" t="n"/>
      <c r="AZ110" s="54" t="n"/>
      <c r="BA110" s="54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4" t="n"/>
      <c r="L111" s="54" t="n"/>
      <c r="M111" s="54" t="n"/>
      <c r="N111" s="54" t="n"/>
      <c r="O111" s="54" t="n"/>
      <c r="P111" s="54" t="n"/>
      <c r="Q111" s="54" t="n"/>
      <c r="R111" s="54" t="n"/>
      <c r="S111" s="54" t="n"/>
      <c r="T111" s="54" t="n"/>
      <c r="U111" s="54" t="n"/>
      <c r="V111" s="54" t="n"/>
      <c r="W111" s="54" t="n"/>
      <c r="X111" s="54" t="n"/>
      <c r="Y111" s="54" t="n"/>
      <c r="Z111" s="54" t="n"/>
      <c r="AA111" s="54" t="n"/>
      <c r="AB111" s="54" t="n"/>
      <c r="AC111" s="54" t="n"/>
      <c r="AD111" s="54" t="n"/>
      <c r="AE111" s="54" t="n"/>
      <c r="AF111" s="54" t="n"/>
      <c r="AG111" s="54" t="n"/>
      <c r="AH111" s="54" t="n"/>
      <c r="AI111" s="54" t="n"/>
      <c r="AJ111" s="54" t="n"/>
      <c r="AK111" s="54" t="n"/>
      <c r="AL111" s="54" t="n"/>
      <c r="AM111" s="54" t="n"/>
      <c r="AN111" s="54" t="n"/>
      <c r="AO111" s="54" t="n"/>
      <c r="AP111" s="54" t="n"/>
      <c r="AQ111" s="54" t="n"/>
      <c r="AR111" s="54" t="n"/>
      <c r="AS111" s="54" t="n"/>
      <c r="AT111" s="54" t="n"/>
      <c r="AU111" s="54" t="n"/>
      <c r="AV111" s="54" t="n"/>
      <c r="AW111" s="54" t="n"/>
      <c r="AX111" s="54" t="n"/>
      <c r="AY111" s="54" t="n"/>
      <c r="AZ111" s="54" t="n"/>
      <c r="BA111" s="54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4" t="n"/>
      <c r="O112" s="54" t="n"/>
      <c r="P112" s="54" t="n"/>
      <c r="Q112" s="54" t="n"/>
      <c r="R112" s="54" t="n"/>
      <c r="S112" s="54" t="n"/>
      <c r="T112" s="54" t="n"/>
      <c r="U112" s="54" t="n"/>
      <c r="V112" s="54" t="n"/>
      <c r="W112" s="54" t="n"/>
      <c r="X112" s="54" t="n"/>
      <c r="Y112" s="54" t="n"/>
      <c r="Z112" s="54" t="n"/>
      <c r="AA112" s="54" t="n"/>
      <c r="AB112" s="54" t="n"/>
      <c r="AC112" s="54" t="n"/>
      <c r="AD112" s="54" t="n"/>
      <c r="AE112" s="54" t="n"/>
      <c r="AF112" s="54" t="n"/>
      <c r="AG112" s="54" t="n"/>
      <c r="AH112" s="54" t="n"/>
      <c r="AI112" s="54" t="n"/>
      <c r="AJ112" s="54" t="n"/>
      <c r="AK112" s="54" t="n"/>
      <c r="AL112" s="54" t="n"/>
      <c r="AM112" s="54" t="n"/>
      <c r="AN112" s="54" t="n"/>
      <c r="AO112" s="54" t="n"/>
      <c r="AP112" s="54" t="n"/>
      <c r="AQ112" s="54" t="n"/>
      <c r="AR112" s="54" t="n"/>
      <c r="AS112" s="54" t="n"/>
      <c r="AT112" s="54" t="n"/>
      <c r="AU112" s="54" t="n"/>
      <c r="AV112" s="54" t="n"/>
      <c r="AW112" s="54" t="n"/>
      <c r="AX112" s="54" t="n"/>
      <c r="AY112" s="54" t="n"/>
      <c r="AZ112" s="54" t="n"/>
      <c r="BA112" s="54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4" t="n"/>
      <c r="K113" s="54" t="n"/>
      <c r="L113" s="54" t="n"/>
      <c r="M113" s="54" t="n"/>
      <c r="N113" s="54" t="n"/>
      <c r="O113" s="54" t="n"/>
      <c r="P113" s="54" t="n"/>
      <c r="Q113" s="54" t="n"/>
      <c r="R113" s="54" t="n"/>
      <c r="S113" s="54" t="n"/>
      <c r="T113" s="54" t="n"/>
      <c r="U113" s="54" t="n"/>
      <c r="V113" s="54" t="n"/>
      <c r="W113" s="54" t="n"/>
      <c r="X113" s="54" t="n"/>
      <c r="Y113" s="54" t="n"/>
      <c r="Z113" s="54" t="n"/>
      <c r="AA113" s="54" t="n"/>
      <c r="AB113" s="54" t="n"/>
      <c r="AC113" s="54" t="n"/>
      <c r="AD113" s="54" t="n"/>
      <c r="AE113" s="54" t="n"/>
      <c r="AF113" s="54" t="n"/>
      <c r="AG113" s="54" t="n"/>
      <c r="AH113" s="54" t="n"/>
      <c r="AI113" s="54" t="n"/>
      <c r="AJ113" s="54" t="n"/>
      <c r="AK113" s="54" t="n"/>
      <c r="AL113" s="54" t="n"/>
      <c r="AM113" s="54" t="n"/>
      <c r="AN113" s="54" t="n"/>
      <c r="AO113" s="54" t="n"/>
      <c r="AP113" s="54" t="n"/>
      <c r="AQ113" s="54" t="n"/>
      <c r="AR113" s="54" t="n"/>
      <c r="AS113" s="54" t="n"/>
      <c r="AT113" s="54" t="n"/>
      <c r="AU113" s="54" t="n"/>
      <c r="AV113" s="54" t="n"/>
      <c r="AW113" s="54" t="n"/>
      <c r="AX113" s="54" t="n"/>
      <c r="AY113" s="54" t="n"/>
      <c r="AZ113" s="54" t="n"/>
      <c r="BA113" s="54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4" t="n"/>
      <c r="L114" s="54" t="n"/>
      <c r="M114" s="54" t="n"/>
      <c r="N114" s="54" t="n"/>
      <c r="O114" s="54" t="n"/>
      <c r="P114" s="54" t="n"/>
      <c r="Q114" s="54" t="n"/>
      <c r="R114" s="54" t="n"/>
      <c r="S114" s="54" t="n"/>
      <c r="T114" s="54" t="n"/>
      <c r="U114" s="54" t="n"/>
      <c r="V114" s="54" t="n"/>
      <c r="W114" s="54" t="n"/>
      <c r="X114" s="54" t="n"/>
      <c r="Y114" s="54" t="n"/>
      <c r="Z114" s="54" t="n"/>
      <c r="AA114" s="54" t="n"/>
      <c r="AB114" s="54" t="n"/>
      <c r="AC114" s="54" t="n"/>
      <c r="AD114" s="54" t="n"/>
      <c r="AE114" s="54" t="n"/>
      <c r="AF114" s="54" t="n"/>
      <c r="AG114" s="54" t="n"/>
      <c r="AH114" s="54" t="n"/>
      <c r="AI114" s="54" t="n"/>
      <c r="AJ114" s="54" t="n"/>
      <c r="AK114" s="54" t="n"/>
      <c r="AL114" s="54" t="n"/>
      <c r="AM114" s="54" t="n"/>
      <c r="AN114" s="54" t="n"/>
      <c r="AO114" s="54" t="n"/>
      <c r="AP114" s="54" t="n"/>
      <c r="AQ114" s="54" t="n"/>
      <c r="AR114" s="54" t="n"/>
      <c r="AS114" s="54" t="n"/>
      <c r="AT114" s="54" t="n"/>
      <c r="AU114" s="54" t="n"/>
      <c r="AV114" s="54" t="n"/>
      <c r="AW114" s="54" t="n"/>
      <c r="AX114" s="54" t="n"/>
      <c r="AY114" s="54" t="n"/>
      <c r="AZ114" s="54" t="n"/>
      <c r="BA114" s="54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4" t="n"/>
      <c r="K115" s="54" t="n"/>
      <c r="L115" s="54" t="n"/>
      <c r="M115" s="54" t="n"/>
      <c r="N115" s="54" t="n"/>
      <c r="O115" s="54" t="n"/>
      <c r="P115" s="54" t="n"/>
      <c r="Q115" s="54" t="n"/>
      <c r="R115" s="54" t="n"/>
      <c r="S115" s="54" t="n"/>
      <c r="T115" s="54" t="n"/>
      <c r="U115" s="54" t="n"/>
      <c r="V115" s="54" t="n"/>
      <c r="W115" s="54" t="n"/>
      <c r="X115" s="54" t="n"/>
      <c r="Y115" s="54" t="n"/>
      <c r="Z115" s="54" t="n"/>
      <c r="AA115" s="54" t="n"/>
      <c r="AB115" s="54" t="n"/>
      <c r="AC115" s="54" t="n"/>
      <c r="AD115" s="54" t="n"/>
      <c r="AE115" s="54" t="n"/>
      <c r="AF115" s="54" t="n"/>
      <c r="AG115" s="54" t="n"/>
      <c r="AH115" s="54" t="n"/>
      <c r="AI115" s="54" t="n"/>
      <c r="AJ115" s="54" t="n"/>
      <c r="AK115" s="54" t="n"/>
      <c r="AL115" s="54" t="n"/>
      <c r="AM115" s="54" t="n"/>
      <c r="AN115" s="54" t="n"/>
      <c r="AO115" s="54" t="n"/>
      <c r="AP115" s="54" t="n"/>
      <c r="AQ115" s="54" t="n"/>
      <c r="AR115" s="54" t="n"/>
      <c r="AS115" s="54" t="n"/>
      <c r="AT115" s="54" t="n"/>
      <c r="AU115" s="54" t="n"/>
      <c r="AV115" s="54" t="n"/>
      <c r="AW115" s="54" t="n"/>
      <c r="AX115" s="54" t="n"/>
      <c r="AY115" s="54" t="n"/>
      <c r="AZ115" s="54" t="n"/>
      <c r="BA115" s="54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4" t="n"/>
      <c r="K116" s="54" t="n"/>
      <c r="L116" s="54" t="n"/>
      <c r="M116" s="54" t="n"/>
      <c r="N116" s="54" t="n"/>
      <c r="O116" s="54" t="n"/>
      <c r="P116" s="54" t="n"/>
      <c r="Q116" s="54" t="n"/>
      <c r="R116" s="54" t="n"/>
      <c r="S116" s="54" t="n"/>
      <c r="T116" s="54" t="n"/>
      <c r="U116" s="54" t="n"/>
      <c r="V116" s="54" t="n"/>
      <c r="W116" s="54" t="n"/>
      <c r="X116" s="54" t="n"/>
      <c r="Y116" s="54" t="n"/>
      <c r="Z116" s="54" t="n"/>
      <c r="AA116" s="54" t="n"/>
      <c r="AB116" s="54" t="n"/>
      <c r="AC116" s="54" t="n"/>
      <c r="AD116" s="54" t="n"/>
      <c r="AE116" s="54" t="n"/>
      <c r="AF116" s="54" t="n"/>
      <c r="AG116" s="54" t="n"/>
      <c r="AH116" s="54" t="n"/>
      <c r="AI116" s="54" t="n"/>
      <c r="AJ116" s="54" t="n"/>
      <c r="AK116" s="54" t="n"/>
      <c r="AL116" s="54" t="n"/>
      <c r="AM116" s="54" t="n"/>
      <c r="AN116" s="54" t="n"/>
      <c r="AO116" s="54" t="n"/>
      <c r="AP116" s="54" t="n"/>
      <c r="AQ116" s="54" t="n"/>
      <c r="AR116" s="54" t="n"/>
      <c r="AS116" s="54" t="n"/>
      <c r="AT116" s="54" t="n"/>
      <c r="AU116" s="54" t="n"/>
      <c r="AV116" s="54" t="n"/>
      <c r="AW116" s="54" t="n"/>
      <c r="AX116" s="54" t="n"/>
      <c r="AY116" s="54" t="n"/>
      <c r="AZ116" s="54" t="n"/>
      <c r="BA116" s="54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  <c r="K117" s="54" t="n"/>
      <c r="L117" s="54" t="n"/>
      <c r="M117" s="54" t="n"/>
      <c r="N117" s="54" t="n"/>
      <c r="O117" s="54" t="n"/>
      <c r="P117" s="54" t="n"/>
      <c r="Q117" s="54" t="n"/>
      <c r="R117" s="54" t="n"/>
      <c r="S117" s="54" t="n"/>
      <c r="T117" s="54" t="n"/>
      <c r="U117" s="54" t="n"/>
      <c r="V117" s="54" t="n"/>
      <c r="W117" s="54" t="n"/>
      <c r="X117" s="54" t="n"/>
      <c r="Y117" s="54" t="n"/>
      <c r="Z117" s="54" t="n"/>
      <c r="AA117" s="54" t="n"/>
      <c r="AB117" s="54" t="n"/>
      <c r="AC117" s="54" t="n"/>
      <c r="AD117" s="54" t="n"/>
      <c r="AE117" s="54" t="n"/>
      <c r="AF117" s="54" t="n"/>
      <c r="AG117" s="54" t="n"/>
      <c r="AH117" s="54" t="n"/>
      <c r="AI117" s="54" t="n"/>
      <c r="AJ117" s="54" t="n"/>
      <c r="AK117" s="54" t="n"/>
      <c r="AL117" s="54" t="n"/>
      <c r="AM117" s="54" t="n"/>
      <c r="AN117" s="54" t="n"/>
      <c r="AO117" s="54" t="n"/>
      <c r="AP117" s="54" t="n"/>
      <c r="AQ117" s="54" t="n"/>
      <c r="AR117" s="54" t="n"/>
      <c r="AS117" s="54" t="n"/>
      <c r="AT117" s="54" t="n"/>
      <c r="AU117" s="54" t="n"/>
      <c r="AV117" s="54" t="n"/>
      <c r="AW117" s="54" t="n"/>
      <c r="AX117" s="54" t="n"/>
      <c r="AY117" s="54" t="n"/>
      <c r="AZ117" s="54" t="n"/>
      <c r="BA117" s="54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4" t="n"/>
      <c r="K118" s="54" t="n"/>
      <c r="L118" s="54" t="n"/>
      <c r="M118" s="54" t="n"/>
      <c r="N118" s="54" t="n"/>
      <c r="O118" s="54" t="n"/>
      <c r="P118" s="54" t="n"/>
      <c r="Q118" s="54" t="n"/>
      <c r="R118" s="54" t="n"/>
      <c r="S118" s="54" t="n"/>
      <c r="T118" s="54" t="n"/>
      <c r="U118" s="54" t="n"/>
      <c r="V118" s="54" t="n"/>
      <c r="W118" s="54" t="n"/>
      <c r="X118" s="54" t="n"/>
      <c r="Y118" s="54" t="n"/>
      <c r="Z118" s="54" t="n"/>
      <c r="AA118" s="54" t="n"/>
      <c r="AB118" s="54" t="n"/>
      <c r="AC118" s="54" t="n"/>
      <c r="AD118" s="54" t="n"/>
      <c r="AE118" s="54" t="n"/>
      <c r="AF118" s="54" t="n"/>
      <c r="AG118" s="54" t="n"/>
      <c r="AH118" s="54" t="n"/>
      <c r="AI118" s="54" t="n"/>
      <c r="AJ118" s="54" t="n"/>
      <c r="AK118" s="54" t="n"/>
      <c r="AL118" s="54" t="n"/>
      <c r="AM118" s="54" t="n"/>
      <c r="AN118" s="54" t="n"/>
      <c r="AO118" s="54" t="n"/>
      <c r="AP118" s="54" t="n"/>
      <c r="AQ118" s="54" t="n"/>
      <c r="AR118" s="54" t="n"/>
      <c r="AS118" s="54" t="n"/>
      <c r="AT118" s="54" t="n"/>
      <c r="AU118" s="54" t="n"/>
      <c r="AV118" s="54" t="n"/>
      <c r="AW118" s="54" t="n"/>
      <c r="AX118" s="54" t="n"/>
      <c r="AY118" s="54" t="n"/>
      <c r="AZ118" s="54" t="n"/>
      <c r="BA118" s="54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4" t="n"/>
      <c r="K119" s="54" t="n"/>
      <c r="L119" s="54" t="n"/>
      <c r="M119" s="54" t="n"/>
      <c r="N119" s="54" t="n"/>
      <c r="O119" s="54" t="n"/>
      <c r="P119" s="54" t="n"/>
      <c r="Q119" s="54" t="n"/>
      <c r="R119" s="54" t="n"/>
      <c r="S119" s="54" t="n"/>
      <c r="T119" s="54" t="n"/>
      <c r="U119" s="54" t="n"/>
      <c r="V119" s="54" t="n"/>
      <c r="W119" s="54" t="n"/>
      <c r="X119" s="54" t="n"/>
      <c r="Y119" s="54" t="n"/>
      <c r="Z119" s="54" t="n"/>
      <c r="AA119" s="54" t="n"/>
      <c r="AB119" s="54" t="n"/>
      <c r="AC119" s="54" t="n"/>
      <c r="AD119" s="54" t="n"/>
      <c r="AE119" s="54" t="n"/>
      <c r="AF119" s="54" t="n"/>
      <c r="AG119" s="54" t="n"/>
      <c r="AH119" s="54" t="n"/>
      <c r="AI119" s="54" t="n"/>
      <c r="AJ119" s="54" t="n"/>
      <c r="AK119" s="54" t="n"/>
      <c r="AL119" s="54" t="n"/>
      <c r="AM119" s="54" t="n"/>
      <c r="AN119" s="54" t="n"/>
      <c r="AO119" s="54" t="n"/>
      <c r="AP119" s="54" t="n"/>
      <c r="AQ119" s="54" t="n"/>
      <c r="AR119" s="54" t="n"/>
      <c r="AS119" s="54" t="n"/>
      <c r="AT119" s="54" t="n"/>
      <c r="AU119" s="54" t="n"/>
      <c r="AV119" s="54" t="n"/>
      <c r="AW119" s="54" t="n"/>
      <c r="AX119" s="54" t="n"/>
      <c r="AY119" s="54" t="n"/>
      <c r="AZ119" s="54" t="n"/>
      <c r="BA119" s="54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4" t="n"/>
      <c r="L120" s="54" t="n"/>
      <c r="M120" s="54" t="n"/>
      <c r="N120" s="54" t="n"/>
      <c r="O120" s="54" t="n"/>
      <c r="P120" s="54" t="n"/>
      <c r="Q120" s="54" t="n"/>
      <c r="R120" s="54" t="n"/>
      <c r="S120" s="54" t="n"/>
      <c r="T120" s="54" t="n"/>
      <c r="U120" s="54" t="n"/>
      <c r="V120" s="54" t="n"/>
      <c r="W120" s="54" t="n"/>
      <c r="X120" s="54" t="n"/>
      <c r="Y120" s="54" t="n"/>
      <c r="Z120" s="54" t="n"/>
      <c r="AA120" s="54" t="n"/>
      <c r="AB120" s="54" t="n"/>
      <c r="AC120" s="54" t="n"/>
      <c r="AD120" s="54" t="n"/>
      <c r="AE120" s="54" t="n"/>
      <c r="AF120" s="54" t="n"/>
      <c r="AG120" s="54" t="n"/>
      <c r="AH120" s="54" t="n"/>
      <c r="AI120" s="54" t="n"/>
      <c r="AJ120" s="54" t="n"/>
      <c r="AK120" s="54" t="n"/>
      <c r="AL120" s="54" t="n"/>
      <c r="AM120" s="54" t="n"/>
      <c r="AN120" s="54" t="n"/>
      <c r="AO120" s="54" t="n"/>
      <c r="AP120" s="54" t="n"/>
      <c r="AQ120" s="54" t="n"/>
      <c r="AR120" s="54" t="n"/>
      <c r="AS120" s="54" t="n"/>
      <c r="AT120" s="54" t="n"/>
      <c r="AU120" s="54" t="n"/>
      <c r="AV120" s="54" t="n"/>
      <c r="AW120" s="54" t="n"/>
      <c r="AX120" s="54" t="n"/>
      <c r="AY120" s="54" t="n"/>
      <c r="AZ120" s="54" t="n"/>
      <c r="BA120" s="54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4" t="n"/>
      <c r="K121" s="54" t="n"/>
      <c r="L121" s="54" t="n"/>
      <c r="M121" s="54" t="n"/>
      <c r="N121" s="54" t="n"/>
      <c r="O121" s="54" t="n"/>
      <c r="P121" s="54" t="n"/>
      <c r="Q121" s="54" t="n"/>
      <c r="R121" s="54" t="n"/>
      <c r="S121" s="54" t="n"/>
      <c r="T121" s="54" t="n"/>
      <c r="U121" s="54" t="n"/>
      <c r="V121" s="54" t="n"/>
      <c r="W121" s="54" t="n"/>
      <c r="X121" s="54" t="n"/>
      <c r="Y121" s="54" t="n"/>
      <c r="Z121" s="54" t="n"/>
      <c r="AA121" s="54" t="n"/>
      <c r="AB121" s="54" t="n"/>
      <c r="AC121" s="54" t="n"/>
      <c r="AD121" s="54" t="n"/>
      <c r="AE121" s="54" t="n"/>
      <c r="AF121" s="54" t="n"/>
      <c r="AG121" s="54" t="n"/>
      <c r="AH121" s="54" t="n"/>
      <c r="AI121" s="54" t="n"/>
      <c r="AJ121" s="54" t="n"/>
      <c r="AK121" s="54" t="n"/>
      <c r="AL121" s="54" t="n"/>
      <c r="AM121" s="54" t="n"/>
      <c r="AN121" s="54" t="n"/>
      <c r="AO121" s="54" t="n"/>
      <c r="AP121" s="54" t="n"/>
      <c r="AQ121" s="54" t="n"/>
      <c r="AR121" s="54" t="n"/>
      <c r="AS121" s="54" t="n"/>
      <c r="AT121" s="54" t="n"/>
      <c r="AU121" s="54" t="n"/>
      <c r="AV121" s="54" t="n"/>
      <c r="AW121" s="54" t="n"/>
      <c r="AX121" s="54" t="n"/>
      <c r="AY121" s="54" t="n"/>
      <c r="AZ121" s="54" t="n"/>
      <c r="BA121" s="54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4" t="n"/>
      <c r="K122" s="54" t="n"/>
      <c r="L122" s="54" t="n"/>
      <c r="M122" s="54" t="n"/>
      <c r="N122" s="54" t="n"/>
      <c r="O122" s="54" t="n"/>
      <c r="P122" s="54" t="n"/>
      <c r="Q122" s="54" t="n"/>
      <c r="R122" s="54" t="n"/>
      <c r="S122" s="54" t="n"/>
      <c r="T122" s="54" t="n"/>
      <c r="U122" s="54" t="n"/>
      <c r="V122" s="54" t="n"/>
      <c r="W122" s="54" t="n"/>
      <c r="X122" s="54" t="n"/>
      <c r="Y122" s="54" t="n"/>
      <c r="Z122" s="54" t="n"/>
      <c r="AA122" s="54" t="n"/>
      <c r="AB122" s="54" t="n"/>
      <c r="AC122" s="54" t="n"/>
      <c r="AD122" s="54" t="n"/>
      <c r="AE122" s="54" t="n"/>
      <c r="AF122" s="54" t="n"/>
      <c r="AG122" s="54" t="n"/>
      <c r="AH122" s="54" t="n"/>
      <c r="AI122" s="54" t="n"/>
      <c r="AJ122" s="54" t="n"/>
      <c r="AK122" s="54" t="n"/>
      <c r="AL122" s="54" t="n"/>
      <c r="AM122" s="54" t="n"/>
      <c r="AN122" s="54" t="n"/>
      <c r="AO122" s="54" t="n"/>
      <c r="AP122" s="54" t="n"/>
      <c r="AQ122" s="54" t="n"/>
      <c r="AR122" s="54" t="n"/>
      <c r="AS122" s="54" t="n"/>
      <c r="AT122" s="54" t="n"/>
      <c r="AU122" s="54" t="n"/>
      <c r="AV122" s="54" t="n"/>
      <c r="AW122" s="54" t="n"/>
      <c r="AX122" s="54" t="n"/>
      <c r="AY122" s="54" t="n"/>
      <c r="AZ122" s="54" t="n"/>
      <c r="BA122" s="54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4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  <c r="AU123" s="54" t="n"/>
      <c r="AV123" s="54" t="n"/>
      <c r="AW123" s="54" t="n"/>
      <c r="AX123" s="54" t="n"/>
      <c r="AY123" s="54" t="n"/>
      <c r="AZ123" s="54" t="n"/>
      <c r="BA123" s="54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4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54" t="n"/>
      <c r="W124" s="54" t="n"/>
      <c r="X124" s="54" t="n"/>
      <c r="Y124" s="54" t="n"/>
      <c r="Z124" s="54" t="n"/>
      <c r="AA124" s="54" t="n"/>
      <c r="AB124" s="54" t="n"/>
      <c r="AC124" s="54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L124" s="54" t="n"/>
      <c r="AM124" s="54" t="n"/>
      <c r="AN124" s="54" t="n"/>
      <c r="AO124" s="54" t="n"/>
      <c r="AP124" s="54" t="n"/>
      <c r="AQ124" s="54" t="n"/>
      <c r="AR124" s="54" t="n"/>
      <c r="AS124" s="54" t="n"/>
      <c r="AT124" s="54" t="n"/>
      <c r="AU124" s="54" t="n"/>
      <c r="AV124" s="54" t="n"/>
      <c r="AW124" s="54" t="n"/>
      <c r="AX124" s="54" t="n"/>
      <c r="AY124" s="54" t="n"/>
      <c r="AZ124" s="54" t="n"/>
      <c r="BA124" s="54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4" t="n"/>
      <c r="K125" s="54" t="n"/>
      <c r="L125" s="54" t="n"/>
      <c r="M125" s="54" t="n"/>
      <c r="N125" s="54" t="n"/>
      <c r="O125" s="54" t="n"/>
      <c r="P125" s="54" t="n"/>
      <c r="Q125" s="54" t="n"/>
      <c r="R125" s="54" t="n"/>
      <c r="S125" s="54" t="n"/>
      <c r="T125" s="54" t="n"/>
      <c r="U125" s="54" t="n"/>
      <c r="V125" s="54" t="n"/>
      <c r="W125" s="54" t="n"/>
      <c r="X125" s="54" t="n"/>
      <c r="Y125" s="54" t="n"/>
      <c r="Z125" s="54" t="n"/>
      <c r="AA125" s="54" t="n"/>
      <c r="AB125" s="54" t="n"/>
      <c r="AC125" s="54" t="n"/>
      <c r="AD125" s="54" t="n"/>
      <c r="AE125" s="54" t="n"/>
      <c r="AF125" s="54" t="n"/>
      <c r="AG125" s="54" t="n"/>
      <c r="AH125" s="54" t="n"/>
      <c r="AI125" s="54" t="n"/>
      <c r="AJ125" s="54" t="n"/>
      <c r="AK125" s="54" t="n"/>
      <c r="AL125" s="54" t="n"/>
      <c r="AM125" s="54" t="n"/>
      <c r="AN125" s="54" t="n"/>
      <c r="AO125" s="54" t="n"/>
      <c r="AP125" s="54" t="n"/>
      <c r="AQ125" s="54" t="n"/>
      <c r="AR125" s="54" t="n"/>
      <c r="AS125" s="54" t="n"/>
      <c r="AT125" s="54" t="n"/>
      <c r="AU125" s="54" t="n"/>
      <c r="AV125" s="54" t="n"/>
      <c r="AW125" s="54" t="n"/>
      <c r="AX125" s="54" t="n"/>
      <c r="AY125" s="54" t="n"/>
      <c r="AZ125" s="54" t="n"/>
      <c r="BA125" s="54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54" t="n"/>
      <c r="W126" s="54" t="n"/>
      <c r="X126" s="54" t="n"/>
      <c r="Y126" s="54" t="n"/>
      <c r="Z126" s="54" t="n"/>
      <c r="AA126" s="54" t="n"/>
      <c r="AB126" s="54" t="n"/>
      <c r="AC126" s="54" t="n"/>
      <c r="AD126" s="54" t="n"/>
      <c r="AE126" s="54" t="n"/>
      <c r="AF126" s="54" t="n"/>
      <c r="AG126" s="54" t="n"/>
      <c r="AH126" s="54" t="n"/>
      <c r="AI126" s="54" t="n"/>
      <c r="AJ126" s="54" t="n"/>
      <c r="AK126" s="54" t="n"/>
      <c r="AL126" s="54" t="n"/>
      <c r="AM126" s="54" t="n"/>
      <c r="AN126" s="54" t="n"/>
      <c r="AO126" s="54" t="n"/>
      <c r="AP126" s="54" t="n"/>
      <c r="AQ126" s="54" t="n"/>
      <c r="AR126" s="54" t="n"/>
      <c r="AS126" s="54" t="n"/>
      <c r="AT126" s="54" t="n"/>
      <c r="AU126" s="54" t="n"/>
      <c r="AV126" s="54" t="n"/>
      <c r="AW126" s="54" t="n"/>
      <c r="AX126" s="54" t="n"/>
      <c r="AY126" s="54" t="n"/>
      <c r="AZ126" s="54" t="n"/>
      <c r="BA126" s="54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4" t="n"/>
      <c r="K127" s="54" t="n"/>
      <c r="L127" s="54" t="n"/>
      <c r="M127" s="54" t="n"/>
      <c r="N127" s="54" t="n"/>
      <c r="O127" s="54" t="n"/>
      <c r="P127" s="54" t="n"/>
      <c r="Q127" s="54" t="n"/>
      <c r="R127" s="54" t="n"/>
      <c r="S127" s="54" t="n"/>
      <c r="T127" s="54" t="n"/>
      <c r="U127" s="54" t="n"/>
      <c r="V127" s="54" t="n"/>
      <c r="W127" s="54" t="n"/>
      <c r="X127" s="54" t="n"/>
      <c r="Y127" s="54" t="n"/>
      <c r="Z127" s="54" t="n"/>
      <c r="AA127" s="54" t="n"/>
      <c r="AB127" s="54" t="n"/>
      <c r="AC127" s="54" t="n"/>
      <c r="AD127" s="54" t="n"/>
      <c r="AE127" s="54" t="n"/>
      <c r="AF127" s="54" t="n"/>
      <c r="AG127" s="54" t="n"/>
      <c r="AH127" s="54" t="n"/>
      <c r="AI127" s="54" t="n"/>
      <c r="AJ127" s="54" t="n"/>
      <c r="AK127" s="54" t="n"/>
      <c r="AL127" s="54" t="n"/>
      <c r="AM127" s="54" t="n"/>
      <c r="AN127" s="54" t="n"/>
      <c r="AO127" s="54" t="n"/>
      <c r="AP127" s="54" t="n"/>
      <c r="AQ127" s="54" t="n"/>
      <c r="AR127" s="54" t="n"/>
      <c r="AS127" s="54" t="n"/>
      <c r="AT127" s="54" t="n"/>
      <c r="AU127" s="54" t="n"/>
      <c r="AV127" s="54" t="n"/>
      <c r="AW127" s="54" t="n"/>
      <c r="AX127" s="54" t="n"/>
      <c r="AY127" s="54" t="n"/>
      <c r="AZ127" s="54" t="n"/>
      <c r="BA127" s="54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4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54" t="n"/>
      <c r="W128" s="54" t="n"/>
      <c r="X128" s="54" t="n"/>
      <c r="Y128" s="54" t="n"/>
      <c r="Z128" s="54" t="n"/>
      <c r="AA128" s="54" t="n"/>
      <c r="AB128" s="54" t="n"/>
      <c r="AC128" s="54" t="n"/>
      <c r="AD128" s="54" t="n"/>
      <c r="AE128" s="54" t="n"/>
      <c r="AF128" s="54" t="n"/>
      <c r="AG128" s="54" t="n"/>
      <c r="AH128" s="54" t="n"/>
      <c r="AI128" s="54" t="n"/>
      <c r="AJ128" s="54" t="n"/>
      <c r="AK128" s="54" t="n"/>
      <c r="AL128" s="54" t="n"/>
      <c r="AM128" s="54" t="n"/>
      <c r="AN128" s="54" t="n"/>
      <c r="AO128" s="54" t="n"/>
      <c r="AP128" s="54" t="n"/>
      <c r="AQ128" s="54" t="n"/>
      <c r="AR128" s="54" t="n"/>
      <c r="AS128" s="54" t="n"/>
      <c r="AT128" s="54" t="n"/>
      <c r="AU128" s="54" t="n"/>
      <c r="AV128" s="54" t="n"/>
      <c r="AW128" s="54" t="n"/>
      <c r="AX128" s="54" t="n"/>
      <c r="AY128" s="54" t="n"/>
      <c r="AZ128" s="54" t="n"/>
      <c r="BA128" s="54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4" t="n"/>
      <c r="K129" s="54" t="n"/>
      <c r="L129" s="54" t="n"/>
      <c r="M129" s="54" t="n"/>
      <c r="N129" s="54" t="n"/>
      <c r="O129" s="54" t="n"/>
      <c r="P129" s="54" t="n"/>
      <c r="Q129" s="54" t="n"/>
      <c r="R129" s="54" t="n"/>
      <c r="S129" s="54" t="n"/>
      <c r="T129" s="54" t="n"/>
      <c r="U129" s="54" t="n"/>
      <c r="V129" s="54" t="n"/>
      <c r="W129" s="54" t="n"/>
      <c r="X129" s="54" t="n"/>
      <c r="Y129" s="54" t="n"/>
      <c r="Z129" s="54" t="n"/>
      <c r="AA129" s="54" t="n"/>
      <c r="AB129" s="54" t="n"/>
      <c r="AC129" s="54" t="n"/>
      <c r="AD129" s="54" t="n"/>
      <c r="AE129" s="54" t="n"/>
      <c r="AF129" s="54" t="n"/>
      <c r="AG129" s="54" t="n"/>
      <c r="AH129" s="54" t="n"/>
      <c r="AI129" s="54" t="n"/>
      <c r="AJ129" s="54" t="n"/>
      <c r="AK129" s="54" t="n"/>
      <c r="AL129" s="54" t="n"/>
      <c r="AM129" s="54" t="n"/>
      <c r="AN129" s="54" t="n"/>
      <c r="AO129" s="54" t="n"/>
      <c r="AP129" s="54" t="n"/>
      <c r="AQ129" s="54" t="n"/>
      <c r="AR129" s="54" t="n"/>
      <c r="AS129" s="54" t="n"/>
      <c r="AT129" s="54" t="n"/>
      <c r="AU129" s="54" t="n"/>
      <c r="AV129" s="54" t="n"/>
      <c r="AW129" s="54" t="n"/>
      <c r="AX129" s="54" t="n"/>
      <c r="AY129" s="54" t="n"/>
      <c r="AZ129" s="54" t="n"/>
      <c r="BA129" s="54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4" t="n"/>
      <c r="K130" s="54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54" t="n"/>
      <c r="V130" s="54" t="n"/>
      <c r="W130" s="54" t="n"/>
      <c r="X130" s="54" t="n"/>
      <c r="Y130" s="54" t="n"/>
      <c r="Z130" s="54" t="n"/>
      <c r="AA130" s="54" t="n"/>
      <c r="AB130" s="54" t="n"/>
      <c r="AC130" s="54" t="n"/>
      <c r="AD130" s="54" t="n"/>
      <c r="AE130" s="54" t="n"/>
      <c r="AF130" s="54" t="n"/>
      <c r="AG130" s="54" t="n"/>
      <c r="AH130" s="54" t="n"/>
      <c r="AI130" s="54" t="n"/>
      <c r="AJ130" s="54" t="n"/>
      <c r="AK130" s="54" t="n"/>
      <c r="AL130" s="54" t="n"/>
      <c r="AM130" s="54" t="n"/>
      <c r="AN130" s="54" t="n"/>
      <c r="AO130" s="54" t="n"/>
      <c r="AP130" s="54" t="n"/>
      <c r="AQ130" s="54" t="n"/>
      <c r="AR130" s="54" t="n"/>
      <c r="AS130" s="54" t="n"/>
      <c r="AT130" s="54" t="n"/>
      <c r="AU130" s="54" t="n"/>
      <c r="AV130" s="54" t="n"/>
      <c r="AW130" s="54" t="n"/>
      <c r="AX130" s="54" t="n"/>
      <c r="AY130" s="54" t="n"/>
      <c r="AZ130" s="54" t="n"/>
      <c r="BA130" s="54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4" t="n"/>
      <c r="K131" s="54" t="n"/>
      <c r="L131" s="54" t="n"/>
      <c r="M131" s="54" t="n"/>
      <c r="N131" s="54" t="n"/>
      <c r="O131" s="54" t="n"/>
      <c r="P131" s="54" t="n"/>
      <c r="Q131" s="54" t="n"/>
      <c r="R131" s="54" t="n"/>
      <c r="S131" s="54" t="n"/>
      <c r="T131" s="54" t="n"/>
      <c r="U131" s="54" t="n"/>
      <c r="V131" s="54" t="n"/>
      <c r="W131" s="54" t="n"/>
      <c r="X131" s="54" t="n"/>
      <c r="Y131" s="54" t="n"/>
      <c r="Z131" s="54" t="n"/>
      <c r="AA131" s="54" t="n"/>
      <c r="AB131" s="54" t="n"/>
      <c r="AC131" s="54" t="n"/>
      <c r="AD131" s="54" t="n"/>
      <c r="AE131" s="54" t="n"/>
      <c r="AF131" s="54" t="n"/>
      <c r="AG131" s="54" t="n"/>
      <c r="AH131" s="54" t="n"/>
      <c r="AI131" s="54" t="n"/>
      <c r="AJ131" s="54" t="n"/>
      <c r="AK131" s="54" t="n"/>
      <c r="AL131" s="54" t="n"/>
      <c r="AM131" s="54" t="n"/>
      <c r="AN131" s="54" t="n"/>
      <c r="AO131" s="54" t="n"/>
      <c r="AP131" s="54" t="n"/>
      <c r="AQ131" s="54" t="n"/>
      <c r="AR131" s="54" t="n"/>
      <c r="AS131" s="54" t="n"/>
      <c r="AT131" s="54" t="n"/>
      <c r="AU131" s="54" t="n"/>
      <c r="AV131" s="54" t="n"/>
      <c r="AW131" s="54" t="n"/>
      <c r="AX131" s="54" t="n"/>
      <c r="AY131" s="54" t="n"/>
      <c r="AZ131" s="54" t="n"/>
      <c r="BA131" s="54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4" t="n"/>
      <c r="K132" s="54" t="n"/>
      <c r="L132" s="54" t="n"/>
      <c r="M132" s="54" t="n"/>
      <c r="N132" s="54" t="n"/>
      <c r="O132" s="54" t="n"/>
      <c r="P132" s="54" t="n"/>
      <c r="Q132" s="54" t="n"/>
      <c r="R132" s="54" t="n"/>
      <c r="S132" s="54" t="n"/>
      <c r="T132" s="54" t="n"/>
      <c r="U132" s="54" t="n"/>
      <c r="V132" s="54" t="n"/>
      <c r="W132" s="54" t="n"/>
      <c r="X132" s="54" t="n"/>
      <c r="Y132" s="54" t="n"/>
      <c r="Z132" s="54" t="n"/>
      <c r="AA132" s="54" t="n"/>
      <c r="AB132" s="54" t="n"/>
      <c r="AC132" s="54" t="n"/>
      <c r="AD132" s="54" t="n"/>
      <c r="AE132" s="54" t="n"/>
      <c r="AF132" s="54" t="n"/>
      <c r="AG132" s="54" t="n"/>
      <c r="AH132" s="54" t="n"/>
      <c r="AI132" s="54" t="n"/>
      <c r="AJ132" s="54" t="n"/>
      <c r="AK132" s="54" t="n"/>
      <c r="AL132" s="54" t="n"/>
      <c r="AM132" s="54" t="n"/>
      <c r="AN132" s="54" t="n"/>
      <c r="AO132" s="54" t="n"/>
      <c r="AP132" s="54" t="n"/>
      <c r="AQ132" s="54" t="n"/>
      <c r="AR132" s="54" t="n"/>
      <c r="AS132" s="54" t="n"/>
      <c r="AT132" s="54" t="n"/>
      <c r="AU132" s="54" t="n"/>
      <c r="AV132" s="54" t="n"/>
      <c r="AW132" s="54" t="n"/>
      <c r="AX132" s="54" t="n"/>
      <c r="AY132" s="54" t="n"/>
      <c r="AZ132" s="54" t="n"/>
      <c r="BA132" s="54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4" t="n"/>
      <c r="L133" s="54" t="n"/>
      <c r="M133" s="54" t="n"/>
      <c r="N133" s="54" t="n"/>
      <c r="O133" s="54" t="n"/>
      <c r="P133" s="54" t="n"/>
      <c r="Q133" s="54" t="n"/>
      <c r="R133" s="54" t="n"/>
      <c r="S133" s="54" t="n"/>
      <c r="T133" s="54" t="n"/>
      <c r="U133" s="54" t="n"/>
      <c r="V133" s="54" t="n"/>
      <c r="W133" s="54" t="n"/>
      <c r="X133" s="54" t="n"/>
      <c r="Y133" s="54" t="n"/>
      <c r="Z133" s="54" t="n"/>
      <c r="AA133" s="54" t="n"/>
      <c r="AB133" s="54" t="n"/>
      <c r="AC133" s="54" t="n"/>
      <c r="AD133" s="54" t="n"/>
      <c r="AE133" s="54" t="n"/>
      <c r="AF133" s="54" t="n"/>
      <c r="AG133" s="54" t="n"/>
      <c r="AH133" s="54" t="n"/>
      <c r="AI133" s="54" t="n"/>
      <c r="AJ133" s="54" t="n"/>
      <c r="AK133" s="54" t="n"/>
      <c r="AL133" s="54" t="n"/>
      <c r="AM133" s="54" t="n"/>
      <c r="AN133" s="54" t="n"/>
      <c r="AO133" s="54" t="n"/>
      <c r="AP133" s="54" t="n"/>
      <c r="AQ133" s="54" t="n"/>
      <c r="AR133" s="54" t="n"/>
      <c r="AS133" s="54" t="n"/>
      <c r="AT133" s="54" t="n"/>
      <c r="AU133" s="54" t="n"/>
      <c r="AV133" s="54" t="n"/>
      <c r="AW133" s="54" t="n"/>
      <c r="AX133" s="54" t="n"/>
      <c r="AY133" s="54" t="n"/>
      <c r="AZ133" s="54" t="n"/>
      <c r="BA133" s="54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  <c r="K134" s="54" t="n"/>
      <c r="L134" s="54" t="n"/>
      <c r="M134" s="54" t="n"/>
      <c r="N134" s="54" t="n"/>
      <c r="O134" s="54" t="n"/>
      <c r="P134" s="54" t="n"/>
      <c r="Q134" s="54" t="n"/>
      <c r="R134" s="54" t="n"/>
      <c r="S134" s="54" t="n"/>
      <c r="T134" s="54" t="n"/>
      <c r="U134" s="54" t="n"/>
      <c r="V134" s="54" t="n"/>
      <c r="W134" s="54" t="n"/>
      <c r="X134" s="54" t="n"/>
      <c r="Y134" s="54" t="n"/>
      <c r="Z134" s="54" t="n"/>
      <c r="AA134" s="54" t="n"/>
      <c r="AB134" s="54" t="n"/>
      <c r="AC134" s="54" t="n"/>
      <c r="AD134" s="54" t="n"/>
      <c r="AE134" s="54" t="n"/>
      <c r="AF134" s="54" t="n"/>
      <c r="AG134" s="54" t="n"/>
      <c r="AH134" s="54" t="n"/>
      <c r="AI134" s="54" t="n"/>
      <c r="AJ134" s="54" t="n"/>
      <c r="AK134" s="54" t="n"/>
      <c r="AL134" s="54" t="n"/>
      <c r="AM134" s="54" t="n"/>
      <c r="AN134" s="54" t="n"/>
      <c r="AO134" s="54" t="n"/>
      <c r="AP134" s="54" t="n"/>
      <c r="AQ134" s="54" t="n"/>
      <c r="AR134" s="54" t="n"/>
      <c r="AS134" s="54" t="n"/>
      <c r="AT134" s="54" t="n"/>
      <c r="AU134" s="54" t="n"/>
      <c r="AV134" s="54" t="n"/>
      <c r="AW134" s="54" t="n"/>
      <c r="AX134" s="54" t="n"/>
      <c r="AY134" s="54" t="n"/>
      <c r="AZ134" s="54" t="n"/>
      <c r="BA134" s="54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4" t="n"/>
      <c r="K135" s="54" t="n"/>
      <c r="L135" s="54" t="n"/>
      <c r="M135" s="54" t="n"/>
      <c r="N135" s="54" t="n"/>
      <c r="O135" s="54" t="n"/>
      <c r="P135" s="54" t="n"/>
      <c r="Q135" s="54" t="n"/>
      <c r="R135" s="54" t="n"/>
      <c r="S135" s="54" t="n"/>
      <c r="T135" s="54" t="n"/>
      <c r="U135" s="54" t="n"/>
      <c r="V135" s="54" t="n"/>
      <c r="W135" s="54" t="n"/>
      <c r="X135" s="54" t="n"/>
      <c r="Y135" s="54" t="n"/>
      <c r="Z135" s="54" t="n"/>
      <c r="AA135" s="54" t="n"/>
      <c r="AB135" s="54" t="n"/>
      <c r="AC135" s="54" t="n"/>
      <c r="AD135" s="54" t="n"/>
      <c r="AE135" s="54" t="n"/>
      <c r="AF135" s="54" t="n"/>
      <c r="AG135" s="54" t="n"/>
      <c r="AH135" s="54" t="n"/>
      <c r="AI135" s="54" t="n"/>
      <c r="AJ135" s="54" t="n"/>
      <c r="AK135" s="54" t="n"/>
      <c r="AL135" s="54" t="n"/>
      <c r="AM135" s="54" t="n"/>
      <c r="AN135" s="54" t="n"/>
      <c r="AO135" s="54" t="n"/>
      <c r="AP135" s="54" t="n"/>
      <c r="AQ135" s="54" t="n"/>
      <c r="AR135" s="54" t="n"/>
      <c r="AS135" s="54" t="n"/>
      <c r="AT135" s="54" t="n"/>
      <c r="AU135" s="54" t="n"/>
      <c r="AV135" s="54" t="n"/>
      <c r="AW135" s="54" t="n"/>
      <c r="AX135" s="54" t="n"/>
      <c r="AY135" s="54" t="n"/>
      <c r="AZ135" s="54" t="n"/>
      <c r="BA135" s="54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4" t="n"/>
      <c r="K136" s="54" t="n"/>
      <c r="L136" s="54" t="n"/>
      <c r="M136" s="54" t="n"/>
      <c r="N136" s="54" t="n"/>
      <c r="O136" s="54" t="n"/>
      <c r="P136" s="54" t="n"/>
      <c r="Q136" s="54" t="n"/>
      <c r="R136" s="54" t="n"/>
      <c r="S136" s="54" t="n"/>
      <c r="T136" s="54" t="n"/>
      <c r="U136" s="54" t="n"/>
      <c r="V136" s="54" t="n"/>
      <c r="W136" s="54" t="n"/>
      <c r="X136" s="54" t="n"/>
      <c r="Y136" s="54" t="n"/>
      <c r="Z136" s="54" t="n"/>
      <c r="AA136" s="54" t="n"/>
      <c r="AB136" s="54" t="n"/>
      <c r="AC136" s="54" t="n"/>
      <c r="AD136" s="54" t="n"/>
      <c r="AE136" s="54" t="n"/>
      <c r="AF136" s="54" t="n"/>
      <c r="AG136" s="54" t="n"/>
      <c r="AH136" s="54" t="n"/>
      <c r="AI136" s="54" t="n"/>
      <c r="AJ136" s="54" t="n"/>
      <c r="AK136" s="54" t="n"/>
      <c r="AL136" s="54" t="n"/>
      <c r="AM136" s="54" t="n"/>
      <c r="AN136" s="54" t="n"/>
      <c r="AO136" s="54" t="n"/>
      <c r="AP136" s="54" t="n"/>
      <c r="AQ136" s="54" t="n"/>
      <c r="AR136" s="54" t="n"/>
      <c r="AS136" s="54" t="n"/>
      <c r="AT136" s="54" t="n"/>
      <c r="AU136" s="54" t="n"/>
      <c r="AV136" s="54" t="n"/>
      <c r="AW136" s="54" t="n"/>
      <c r="AX136" s="54" t="n"/>
      <c r="AY136" s="54" t="n"/>
      <c r="AZ136" s="54" t="n"/>
      <c r="BA136" s="54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4" t="n"/>
      <c r="K137" s="54" t="n"/>
      <c r="L137" s="54" t="n"/>
      <c r="M137" s="54" t="n"/>
      <c r="N137" s="54" t="n"/>
      <c r="O137" s="54" t="n"/>
      <c r="P137" s="54" t="n"/>
      <c r="Q137" s="54" t="n"/>
      <c r="R137" s="54" t="n"/>
      <c r="S137" s="54" t="n"/>
      <c r="T137" s="54" t="n"/>
      <c r="U137" s="54" t="n"/>
      <c r="V137" s="54" t="n"/>
      <c r="W137" s="54" t="n"/>
      <c r="X137" s="54" t="n"/>
      <c r="Y137" s="54" t="n"/>
      <c r="Z137" s="54" t="n"/>
      <c r="AA137" s="54" t="n"/>
      <c r="AB137" s="54" t="n"/>
      <c r="AC137" s="54" t="n"/>
      <c r="AD137" s="54" t="n"/>
      <c r="AE137" s="54" t="n"/>
      <c r="AF137" s="54" t="n"/>
      <c r="AG137" s="54" t="n"/>
      <c r="AH137" s="54" t="n"/>
      <c r="AI137" s="54" t="n"/>
      <c r="AJ137" s="54" t="n"/>
      <c r="AK137" s="54" t="n"/>
      <c r="AL137" s="54" t="n"/>
      <c r="AM137" s="54" t="n"/>
      <c r="AN137" s="54" t="n"/>
      <c r="AO137" s="54" t="n"/>
      <c r="AP137" s="54" t="n"/>
      <c r="AQ137" s="54" t="n"/>
      <c r="AR137" s="54" t="n"/>
      <c r="AS137" s="54" t="n"/>
      <c r="AT137" s="54" t="n"/>
      <c r="AU137" s="54" t="n"/>
      <c r="AV137" s="54" t="n"/>
      <c r="AW137" s="54" t="n"/>
      <c r="AX137" s="54" t="n"/>
      <c r="AY137" s="54" t="n"/>
      <c r="AZ137" s="54" t="n"/>
      <c r="BA137" s="54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4" t="n"/>
      <c r="K138" s="54" t="n"/>
      <c r="L138" s="54" t="n"/>
      <c r="M138" s="54" t="n"/>
      <c r="N138" s="54" t="n"/>
      <c r="O138" s="54" t="n"/>
      <c r="P138" s="54" t="n"/>
      <c r="Q138" s="54" t="n"/>
      <c r="R138" s="54" t="n"/>
      <c r="S138" s="54" t="n"/>
      <c r="T138" s="54" t="n"/>
      <c r="U138" s="54" t="n"/>
      <c r="V138" s="54" t="n"/>
      <c r="W138" s="54" t="n"/>
      <c r="X138" s="54" t="n"/>
      <c r="Y138" s="54" t="n"/>
      <c r="Z138" s="54" t="n"/>
      <c r="AA138" s="54" t="n"/>
      <c r="AB138" s="54" t="n"/>
      <c r="AC138" s="54" t="n"/>
      <c r="AD138" s="54" t="n"/>
      <c r="AE138" s="54" t="n"/>
      <c r="AF138" s="54" t="n"/>
      <c r="AG138" s="54" t="n"/>
      <c r="AH138" s="54" t="n"/>
      <c r="AI138" s="54" t="n"/>
      <c r="AJ138" s="54" t="n"/>
      <c r="AK138" s="54" t="n"/>
      <c r="AL138" s="54" t="n"/>
      <c r="AM138" s="54" t="n"/>
      <c r="AN138" s="54" t="n"/>
      <c r="AO138" s="54" t="n"/>
      <c r="AP138" s="54" t="n"/>
      <c r="AQ138" s="54" t="n"/>
      <c r="AR138" s="54" t="n"/>
      <c r="AS138" s="54" t="n"/>
      <c r="AT138" s="54" t="n"/>
      <c r="AU138" s="54" t="n"/>
      <c r="AV138" s="54" t="n"/>
      <c r="AW138" s="54" t="n"/>
      <c r="AX138" s="54" t="n"/>
      <c r="AY138" s="54" t="n"/>
      <c r="AZ138" s="54" t="n"/>
      <c r="BA138" s="54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4" t="n"/>
      <c r="K139" s="54" t="n"/>
      <c r="L139" s="54" t="n"/>
      <c r="M139" s="54" t="n"/>
      <c r="N139" s="54" t="n"/>
      <c r="O139" s="54" t="n"/>
      <c r="P139" s="54" t="n"/>
      <c r="Q139" s="54" t="n"/>
      <c r="R139" s="54" t="n"/>
      <c r="S139" s="54" t="n"/>
      <c r="T139" s="54" t="n"/>
      <c r="U139" s="54" t="n"/>
      <c r="V139" s="54" t="n"/>
      <c r="W139" s="54" t="n"/>
      <c r="X139" s="54" t="n"/>
      <c r="Y139" s="54" t="n"/>
      <c r="Z139" s="54" t="n"/>
      <c r="AA139" s="54" t="n"/>
      <c r="AB139" s="54" t="n"/>
      <c r="AC139" s="54" t="n"/>
      <c r="AD139" s="54" t="n"/>
      <c r="AE139" s="54" t="n"/>
      <c r="AF139" s="54" t="n"/>
      <c r="AG139" s="54" t="n"/>
      <c r="AH139" s="54" t="n"/>
      <c r="AI139" s="54" t="n"/>
      <c r="AJ139" s="54" t="n"/>
      <c r="AK139" s="54" t="n"/>
      <c r="AL139" s="54" t="n"/>
      <c r="AM139" s="54" t="n"/>
      <c r="AN139" s="54" t="n"/>
      <c r="AO139" s="54" t="n"/>
      <c r="AP139" s="54" t="n"/>
      <c r="AQ139" s="54" t="n"/>
      <c r="AR139" s="54" t="n"/>
      <c r="AS139" s="54" t="n"/>
      <c r="AT139" s="54" t="n"/>
      <c r="AU139" s="54" t="n"/>
      <c r="AV139" s="54" t="n"/>
      <c r="AW139" s="54" t="n"/>
      <c r="AX139" s="54" t="n"/>
      <c r="AY139" s="54" t="n"/>
      <c r="AZ139" s="54" t="n"/>
      <c r="BA139" s="54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  <c r="K140" s="54" t="n"/>
      <c r="L140" s="54" t="n"/>
      <c r="M140" s="54" t="n"/>
      <c r="N140" s="54" t="n"/>
      <c r="O140" s="54" t="n"/>
      <c r="P140" s="54" t="n"/>
      <c r="Q140" s="54" t="n"/>
      <c r="R140" s="54" t="n"/>
      <c r="S140" s="54" t="n"/>
      <c r="T140" s="54" t="n"/>
      <c r="U140" s="54" t="n"/>
      <c r="V140" s="54" t="n"/>
      <c r="W140" s="54" t="n"/>
      <c r="X140" s="54" t="n"/>
      <c r="Y140" s="54" t="n"/>
      <c r="Z140" s="54" t="n"/>
      <c r="AA140" s="54" t="n"/>
      <c r="AB140" s="54" t="n"/>
      <c r="AC140" s="54" t="n"/>
      <c r="AD140" s="54" t="n"/>
      <c r="AE140" s="54" t="n"/>
      <c r="AF140" s="54" t="n"/>
      <c r="AG140" s="54" t="n"/>
      <c r="AH140" s="54" t="n"/>
      <c r="AI140" s="54" t="n"/>
      <c r="AJ140" s="54" t="n"/>
      <c r="AK140" s="54" t="n"/>
      <c r="AL140" s="54" t="n"/>
      <c r="AM140" s="54" t="n"/>
      <c r="AN140" s="54" t="n"/>
      <c r="AO140" s="54" t="n"/>
      <c r="AP140" s="54" t="n"/>
      <c r="AQ140" s="54" t="n"/>
      <c r="AR140" s="54" t="n"/>
      <c r="AS140" s="54" t="n"/>
      <c r="AT140" s="54" t="n"/>
      <c r="AU140" s="54" t="n"/>
      <c r="AV140" s="54" t="n"/>
      <c r="AW140" s="54" t="n"/>
      <c r="AX140" s="54" t="n"/>
      <c r="AY140" s="54" t="n"/>
      <c r="AZ140" s="54" t="n"/>
      <c r="BA140" s="54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4" t="n"/>
      <c r="K141" s="54" t="n"/>
      <c r="L141" s="54" t="n"/>
      <c r="M141" s="54" t="n"/>
      <c r="N141" s="54" t="n"/>
      <c r="O141" s="54" t="n"/>
      <c r="P141" s="54" t="n"/>
      <c r="Q141" s="54" t="n"/>
      <c r="R141" s="54" t="n"/>
      <c r="S141" s="54" t="n"/>
      <c r="T141" s="54" t="n"/>
      <c r="U141" s="54" t="n"/>
      <c r="V141" s="54" t="n"/>
      <c r="W141" s="54" t="n"/>
      <c r="X141" s="54" t="n"/>
      <c r="Y141" s="54" t="n"/>
      <c r="Z141" s="54" t="n"/>
      <c r="AA141" s="54" t="n"/>
      <c r="AB141" s="54" t="n"/>
      <c r="AC141" s="54" t="n"/>
      <c r="AD141" s="54" t="n"/>
      <c r="AE141" s="54" t="n"/>
      <c r="AF141" s="54" t="n"/>
      <c r="AG141" s="54" t="n"/>
      <c r="AH141" s="54" t="n"/>
      <c r="AI141" s="54" t="n"/>
      <c r="AJ141" s="54" t="n"/>
      <c r="AK141" s="54" t="n"/>
      <c r="AL141" s="54" t="n"/>
      <c r="AM141" s="54" t="n"/>
      <c r="AN141" s="54" t="n"/>
      <c r="AO141" s="54" t="n"/>
      <c r="AP141" s="54" t="n"/>
      <c r="AQ141" s="54" t="n"/>
      <c r="AR141" s="54" t="n"/>
      <c r="AS141" s="54" t="n"/>
      <c r="AT141" s="54" t="n"/>
      <c r="AU141" s="54" t="n"/>
      <c r="AV141" s="54" t="n"/>
      <c r="AW141" s="54" t="n"/>
      <c r="AX141" s="54" t="n"/>
      <c r="AY141" s="54" t="n"/>
      <c r="AZ141" s="54" t="n"/>
      <c r="BA141" s="54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  <c r="O142" s="54" t="n"/>
      <c r="P142" s="54" t="n"/>
      <c r="Q142" s="54" t="n"/>
      <c r="R142" s="54" t="n"/>
      <c r="S142" s="54" t="n"/>
      <c r="T142" s="54" t="n"/>
      <c r="U142" s="54" t="n"/>
      <c r="V142" s="54" t="n"/>
      <c r="W142" s="54" t="n"/>
      <c r="X142" s="54" t="n"/>
      <c r="Y142" s="54" t="n"/>
      <c r="Z142" s="54" t="n"/>
      <c r="AA142" s="54" t="n"/>
      <c r="AB142" s="54" t="n"/>
      <c r="AC142" s="54" t="n"/>
      <c r="AD142" s="54" t="n"/>
      <c r="AE142" s="54" t="n"/>
      <c r="AF142" s="54" t="n"/>
      <c r="AG142" s="54" t="n"/>
      <c r="AH142" s="54" t="n"/>
      <c r="AI142" s="54" t="n"/>
      <c r="AJ142" s="54" t="n"/>
      <c r="AK142" s="54" t="n"/>
      <c r="AL142" s="54" t="n"/>
      <c r="AM142" s="54" t="n"/>
      <c r="AN142" s="54" t="n"/>
      <c r="AO142" s="54" t="n"/>
      <c r="AP142" s="54" t="n"/>
      <c r="AQ142" s="54" t="n"/>
      <c r="AR142" s="54" t="n"/>
      <c r="AS142" s="54" t="n"/>
      <c r="AT142" s="54" t="n"/>
      <c r="AU142" s="54" t="n"/>
      <c r="AV142" s="54" t="n"/>
      <c r="AW142" s="54" t="n"/>
      <c r="AX142" s="54" t="n"/>
      <c r="AY142" s="54" t="n"/>
      <c r="AZ142" s="54" t="n"/>
      <c r="BA142" s="54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4" t="n"/>
      <c r="K143" s="54" t="n"/>
      <c r="L143" s="54" t="n"/>
      <c r="M143" s="54" t="n"/>
      <c r="N143" s="54" t="n"/>
      <c r="O143" s="54" t="n"/>
      <c r="P143" s="54" t="n"/>
      <c r="Q143" s="54" t="n"/>
      <c r="R143" s="54" t="n"/>
      <c r="S143" s="54" t="n"/>
      <c r="T143" s="54" t="n"/>
      <c r="U143" s="54" t="n"/>
      <c r="V143" s="54" t="n"/>
      <c r="W143" s="54" t="n"/>
      <c r="X143" s="54" t="n"/>
      <c r="Y143" s="54" t="n"/>
      <c r="Z143" s="54" t="n"/>
      <c r="AA143" s="54" t="n"/>
      <c r="AB143" s="54" t="n"/>
      <c r="AC143" s="54" t="n"/>
      <c r="AD143" s="54" t="n"/>
      <c r="AE143" s="54" t="n"/>
      <c r="AF143" s="54" t="n"/>
      <c r="AG143" s="54" t="n"/>
      <c r="AH143" s="54" t="n"/>
      <c r="AI143" s="54" t="n"/>
      <c r="AJ143" s="54" t="n"/>
      <c r="AK143" s="54" t="n"/>
      <c r="AL143" s="54" t="n"/>
      <c r="AM143" s="54" t="n"/>
      <c r="AN143" s="54" t="n"/>
      <c r="AO143" s="54" t="n"/>
      <c r="AP143" s="54" t="n"/>
      <c r="AQ143" s="54" t="n"/>
      <c r="AR143" s="54" t="n"/>
      <c r="AS143" s="54" t="n"/>
      <c r="AT143" s="54" t="n"/>
      <c r="AU143" s="54" t="n"/>
      <c r="AV143" s="54" t="n"/>
      <c r="AW143" s="54" t="n"/>
      <c r="AX143" s="54" t="n"/>
      <c r="AY143" s="54" t="n"/>
      <c r="AZ143" s="54" t="n"/>
      <c r="BA143" s="54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4" t="n"/>
      <c r="K144" s="54" t="n"/>
      <c r="L144" s="54" t="n"/>
      <c r="M144" s="54" t="n"/>
      <c r="N144" s="54" t="n"/>
      <c r="O144" s="54" t="n"/>
      <c r="P144" s="54" t="n"/>
      <c r="Q144" s="54" t="n"/>
      <c r="R144" s="54" t="n"/>
      <c r="S144" s="54" t="n"/>
      <c r="T144" s="54" t="n"/>
      <c r="U144" s="54" t="n"/>
      <c r="V144" s="54" t="n"/>
      <c r="W144" s="54" t="n"/>
      <c r="X144" s="54" t="n"/>
      <c r="Y144" s="54" t="n"/>
      <c r="Z144" s="54" t="n"/>
      <c r="AA144" s="54" t="n"/>
      <c r="AB144" s="54" t="n"/>
      <c r="AC144" s="54" t="n"/>
      <c r="AD144" s="54" t="n"/>
      <c r="AE144" s="54" t="n"/>
      <c r="AF144" s="54" t="n"/>
      <c r="AG144" s="54" t="n"/>
      <c r="AH144" s="54" t="n"/>
      <c r="AI144" s="54" t="n"/>
      <c r="AJ144" s="54" t="n"/>
      <c r="AK144" s="54" t="n"/>
      <c r="AL144" s="54" t="n"/>
      <c r="AM144" s="54" t="n"/>
      <c r="AN144" s="54" t="n"/>
      <c r="AO144" s="54" t="n"/>
      <c r="AP144" s="54" t="n"/>
      <c r="AQ144" s="54" t="n"/>
      <c r="AR144" s="54" t="n"/>
      <c r="AS144" s="54" t="n"/>
      <c r="AT144" s="54" t="n"/>
      <c r="AU144" s="54" t="n"/>
      <c r="AV144" s="54" t="n"/>
      <c r="AW144" s="54" t="n"/>
      <c r="AX144" s="54" t="n"/>
      <c r="AY144" s="54" t="n"/>
      <c r="AZ144" s="54" t="n"/>
      <c r="BA144" s="54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4" t="n"/>
      <c r="K145" s="54" t="n"/>
      <c r="L145" s="54" t="n"/>
      <c r="M145" s="54" t="n"/>
      <c r="N145" s="54" t="n"/>
      <c r="O145" s="54" t="n"/>
      <c r="P145" s="54" t="n"/>
      <c r="Q145" s="54" t="n"/>
      <c r="R145" s="54" t="n"/>
      <c r="S145" s="54" t="n"/>
      <c r="T145" s="54" t="n"/>
      <c r="U145" s="54" t="n"/>
      <c r="V145" s="54" t="n"/>
      <c r="W145" s="54" t="n"/>
      <c r="X145" s="54" t="n"/>
      <c r="Y145" s="54" t="n"/>
      <c r="Z145" s="54" t="n"/>
      <c r="AA145" s="54" t="n"/>
      <c r="AB145" s="54" t="n"/>
      <c r="AC145" s="54" t="n"/>
      <c r="AD145" s="54" t="n"/>
      <c r="AE145" s="54" t="n"/>
      <c r="AF145" s="54" t="n"/>
      <c r="AG145" s="54" t="n"/>
      <c r="AH145" s="54" t="n"/>
      <c r="AI145" s="54" t="n"/>
      <c r="AJ145" s="54" t="n"/>
      <c r="AK145" s="54" t="n"/>
      <c r="AL145" s="54" t="n"/>
      <c r="AM145" s="54" t="n"/>
      <c r="AN145" s="54" t="n"/>
      <c r="AO145" s="54" t="n"/>
      <c r="AP145" s="54" t="n"/>
      <c r="AQ145" s="54" t="n"/>
      <c r="AR145" s="54" t="n"/>
      <c r="AS145" s="54" t="n"/>
      <c r="AT145" s="54" t="n"/>
      <c r="AU145" s="54" t="n"/>
      <c r="AV145" s="54" t="n"/>
      <c r="AW145" s="54" t="n"/>
      <c r="AX145" s="54" t="n"/>
      <c r="AY145" s="54" t="n"/>
      <c r="AZ145" s="54" t="n"/>
      <c r="BA145" s="54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4" t="n"/>
      <c r="K146" s="54" t="n"/>
      <c r="L146" s="54" t="n"/>
      <c r="M146" s="54" t="n"/>
      <c r="N146" s="54" t="n"/>
      <c r="O146" s="54" t="n"/>
      <c r="P146" s="54" t="n"/>
      <c r="Q146" s="54" t="n"/>
      <c r="R146" s="54" t="n"/>
      <c r="S146" s="54" t="n"/>
      <c r="T146" s="54" t="n"/>
      <c r="U146" s="54" t="n"/>
      <c r="V146" s="54" t="n"/>
      <c r="W146" s="54" t="n"/>
      <c r="X146" s="54" t="n"/>
      <c r="Y146" s="54" t="n"/>
      <c r="Z146" s="54" t="n"/>
      <c r="AA146" s="54" t="n"/>
      <c r="AB146" s="54" t="n"/>
      <c r="AC146" s="54" t="n"/>
      <c r="AD146" s="54" t="n"/>
      <c r="AE146" s="54" t="n"/>
      <c r="AF146" s="54" t="n"/>
      <c r="AG146" s="54" t="n"/>
      <c r="AH146" s="54" t="n"/>
      <c r="AI146" s="54" t="n"/>
      <c r="AJ146" s="54" t="n"/>
      <c r="AK146" s="54" t="n"/>
      <c r="AL146" s="54" t="n"/>
      <c r="AM146" s="54" t="n"/>
      <c r="AN146" s="54" t="n"/>
      <c r="AO146" s="54" t="n"/>
      <c r="AP146" s="54" t="n"/>
      <c r="AQ146" s="54" t="n"/>
      <c r="AR146" s="54" t="n"/>
      <c r="AS146" s="54" t="n"/>
      <c r="AT146" s="54" t="n"/>
      <c r="AU146" s="54" t="n"/>
      <c r="AV146" s="54" t="n"/>
      <c r="AW146" s="54" t="n"/>
      <c r="AX146" s="54" t="n"/>
      <c r="AY146" s="54" t="n"/>
      <c r="AZ146" s="54" t="n"/>
      <c r="BA146" s="54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4" t="n"/>
      <c r="K147" s="54" t="n"/>
      <c r="L147" s="54" t="n"/>
      <c r="M147" s="54" t="n"/>
      <c r="N147" s="54" t="n"/>
      <c r="O147" s="54" t="n"/>
      <c r="P147" s="54" t="n"/>
      <c r="Q147" s="54" t="n"/>
      <c r="R147" s="54" t="n"/>
      <c r="S147" s="54" t="n"/>
      <c r="T147" s="54" t="n"/>
      <c r="U147" s="54" t="n"/>
      <c r="V147" s="54" t="n"/>
      <c r="W147" s="54" t="n"/>
      <c r="X147" s="54" t="n"/>
      <c r="Y147" s="54" t="n"/>
      <c r="Z147" s="54" t="n"/>
      <c r="AA147" s="54" t="n"/>
      <c r="AB147" s="54" t="n"/>
      <c r="AC147" s="54" t="n"/>
      <c r="AD147" s="54" t="n"/>
      <c r="AE147" s="54" t="n"/>
      <c r="AF147" s="54" t="n"/>
      <c r="AG147" s="54" t="n"/>
      <c r="AH147" s="54" t="n"/>
      <c r="AI147" s="54" t="n"/>
      <c r="AJ147" s="54" t="n"/>
      <c r="AK147" s="54" t="n"/>
      <c r="AL147" s="54" t="n"/>
      <c r="AM147" s="54" t="n"/>
      <c r="AN147" s="54" t="n"/>
      <c r="AO147" s="54" t="n"/>
      <c r="AP147" s="54" t="n"/>
      <c r="AQ147" s="54" t="n"/>
      <c r="AR147" s="54" t="n"/>
      <c r="AS147" s="54" t="n"/>
      <c r="AT147" s="54" t="n"/>
      <c r="AU147" s="54" t="n"/>
      <c r="AV147" s="54" t="n"/>
      <c r="AW147" s="54" t="n"/>
      <c r="AX147" s="54" t="n"/>
      <c r="AY147" s="54" t="n"/>
      <c r="AZ147" s="54" t="n"/>
      <c r="BA147" s="54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4" t="n"/>
      <c r="K148" s="54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54" t="n"/>
      <c r="V148" s="54" t="n"/>
      <c r="W148" s="54" t="n"/>
      <c r="X148" s="54" t="n"/>
      <c r="Y148" s="54" t="n"/>
      <c r="Z148" s="54" t="n"/>
      <c r="AA148" s="54" t="n"/>
      <c r="AB148" s="54" t="n"/>
      <c r="AC148" s="54" t="n"/>
      <c r="AD148" s="54" t="n"/>
      <c r="AE148" s="54" t="n"/>
      <c r="AF148" s="54" t="n"/>
      <c r="AG148" s="54" t="n"/>
      <c r="AH148" s="54" t="n"/>
      <c r="AI148" s="54" t="n"/>
      <c r="AJ148" s="54" t="n"/>
      <c r="AK148" s="54" t="n"/>
      <c r="AL148" s="54" t="n"/>
      <c r="AM148" s="54" t="n"/>
      <c r="AN148" s="54" t="n"/>
      <c r="AO148" s="54" t="n"/>
      <c r="AP148" s="54" t="n"/>
      <c r="AQ148" s="54" t="n"/>
      <c r="AR148" s="54" t="n"/>
      <c r="AS148" s="54" t="n"/>
      <c r="AT148" s="54" t="n"/>
      <c r="AU148" s="54" t="n"/>
      <c r="AV148" s="54" t="n"/>
      <c r="AW148" s="54" t="n"/>
      <c r="AX148" s="54" t="n"/>
      <c r="AY148" s="54" t="n"/>
      <c r="AZ148" s="54" t="n"/>
      <c r="BA148" s="54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4" t="n"/>
      <c r="K149" s="54" t="n"/>
      <c r="L149" s="54" t="n"/>
      <c r="M149" s="54" t="n"/>
      <c r="N149" s="54" t="n"/>
      <c r="O149" s="54" t="n"/>
      <c r="P149" s="54" t="n"/>
      <c r="Q149" s="54" t="n"/>
      <c r="R149" s="54" t="n"/>
      <c r="S149" s="54" t="n"/>
      <c r="T149" s="54" t="n"/>
      <c r="U149" s="54" t="n"/>
      <c r="V149" s="54" t="n"/>
      <c r="W149" s="54" t="n"/>
      <c r="X149" s="54" t="n"/>
      <c r="Y149" s="54" t="n"/>
      <c r="Z149" s="54" t="n"/>
      <c r="AA149" s="54" t="n"/>
      <c r="AB149" s="54" t="n"/>
      <c r="AC149" s="54" t="n"/>
      <c r="AD149" s="54" t="n"/>
      <c r="AE149" s="54" t="n"/>
      <c r="AF149" s="54" t="n"/>
      <c r="AG149" s="54" t="n"/>
      <c r="AH149" s="54" t="n"/>
      <c r="AI149" s="54" t="n"/>
      <c r="AJ149" s="54" t="n"/>
      <c r="AK149" s="54" t="n"/>
      <c r="AL149" s="54" t="n"/>
      <c r="AM149" s="54" t="n"/>
      <c r="AN149" s="54" t="n"/>
      <c r="AO149" s="54" t="n"/>
      <c r="AP149" s="54" t="n"/>
      <c r="AQ149" s="54" t="n"/>
      <c r="AR149" s="54" t="n"/>
      <c r="AS149" s="54" t="n"/>
      <c r="AT149" s="54" t="n"/>
      <c r="AU149" s="54" t="n"/>
      <c r="AV149" s="54" t="n"/>
      <c r="AW149" s="54" t="n"/>
      <c r="AX149" s="54" t="n"/>
      <c r="AY149" s="54" t="n"/>
      <c r="AZ149" s="54" t="n"/>
      <c r="BA149" s="54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4" t="n"/>
      <c r="K150" s="54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54" t="n"/>
      <c r="V150" s="54" t="n"/>
      <c r="W150" s="54" t="n"/>
      <c r="X150" s="54" t="n"/>
      <c r="Y150" s="54" t="n"/>
      <c r="Z150" s="54" t="n"/>
      <c r="AA150" s="54" t="n"/>
      <c r="AB150" s="54" t="n"/>
      <c r="AC150" s="54" t="n"/>
      <c r="AD150" s="54" t="n"/>
      <c r="AE150" s="54" t="n"/>
      <c r="AF150" s="54" t="n"/>
      <c r="AG150" s="54" t="n"/>
      <c r="AH150" s="54" t="n"/>
      <c r="AI150" s="54" t="n"/>
      <c r="AJ150" s="54" t="n"/>
      <c r="AK150" s="54" t="n"/>
      <c r="AL150" s="54" t="n"/>
      <c r="AM150" s="54" t="n"/>
      <c r="AN150" s="54" t="n"/>
      <c r="AO150" s="54" t="n"/>
      <c r="AP150" s="54" t="n"/>
      <c r="AQ150" s="54" t="n"/>
      <c r="AR150" s="54" t="n"/>
      <c r="AS150" s="54" t="n"/>
      <c r="AT150" s="54" t="n"/>
      <c r="AU150" s="54" t="n"/>
      <c r="AV150" s="54" t="n"/>
      <c r="AW150" s="54" t="n"/>
      <c r="AX150" s="54" t="n"/>
      <c r="AY150" s="54" t="n"/>
      <c r="AZ150" s="54" t="n"/>
      <c r="BA150" s="54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4" t="n"/>
      <c r="L151" s="54" t="n"/>
      <c r="M151" s="54" t="n"/>
      <c r="N151" s="54" t="n"/>
      <c r="O151" s="54" t="n"/>
      <c r="P151" s="54" t="n"/>
      <c r="Q151" s="54" t="n"/>
      <c r="R151" s="54" t="n"/>
      <c r="S151" s="54" t="n"/>
      <c r="T151" s="54" t="n"/>
      <c r="U151" s="54" t="n"/>
      <c r="V151" s="54" t="n"/>
      <c r="W151" s="54" t="n"/>
      <c r="X151" s="54" t="n"/>
      <c r="Y151" s="54" t="n"/>
      <c r="Z151" s="54" t="n"/>
      <c r="AA151" s="54" t="n"/>
      <c r="AB151" s="54" t="n"/>
      <c r="AC151" s="54" t="n"/>
      <c r="AD151" s="54" t="n"/>
      <c r="AE151" s="54" t="n"/>
      <c r="AF151" s="54" t="n"/>
      <c r="AG151" s="54" t="n"/>
      <c r="AH151" s="54" t="n"/>
      <c r="AI151" s="54" t="n"/>
      <c r="AJ151" s="54" t="n"/>
      <c r="AK151" s="54" t="n"/>
      <c r="AL151" s="54" t="n"/>
      <c r="AM151" s="54" t="n"/>
      <c r="AN151" s="54" t="n"/>
      <c r="AO151" s="54" t="n"/>
      <c r="AP151" s="54" t="n"/>
      <c r="AQ151" s="54" t="n"/>
      <c r="AR151" s="54" t="n"/>
      <c r="AS151" s="54" t="n"/>
      <c r="AT151" s="54" t="n"/>
      <c r="AU151" s="54" t="n"/>
      <c r="AV151" s="54" t="n"/>
      <c r="AW151" s="54" t="n"/>
      <c r="AX151" s="54" t="n"/>
      <c r="AY151" s="54" t="n"/>
      <c r="AZ151" s="54" t="n"/>
      <c r="BA151" s="54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4" t="n"/>
      <c r="K152" s="54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54" t="n"/>
      <c r="W152" s="54" t="n"/>
      <c r="X152" s="54" t="n"/>
      <c r="Y152" s="54" t="n"/>
      <c r="Z152" s="54" t="n"/>
      <c r="AA152" s="54" t="n"/>
      <c r="AB152" s="54" t="n"/>
      <c r="AC152" s="54" t="n"/>
      <c r="AD152" s="54" t="n"/>
      <c r="AE152" s="54" t="n"/>
      <c r="AF152" s="54" t="n"/>
      <c r="AG152" s="54" t="n"/>
      <c r="AH152" s="54" t="n"/>
      <c r="AI152" s="54" t="n"/>
      <c r="AJ152" s="54" t="n"/>
      <c r="AK152" s="54" t="n"/>
      <c r="AL152" s="54" t="n"/>
      <c r="AM152" s="54" t="n"/>
      <c r="AN152" s="54" t="n"/>
      <c r="AO152" s="54" t="n"/>
      <c r="AP152" s="54" t="n"/>
      <c r="AQ152" s="54" t="n"/>
      <c r="AR152" s="54" t="n"/>
      <c r="AS152" s="54" t="n"/>
      <c r="AT152" s="54" t="n"/>
      <c r="AU152" s="54" t="n"/>
      <c r="AV152" s="54" t="n"/>
      <c r="AW152" s="54" t="n"/>
      <c r="AX152" s="54" t="n"/>
      <c r="AY152" s="54" t="n"/>
      <c r="AZ152" s="54" t="n"/>
      <c r="BA152" s="54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4" t="n"/>
      <c r="K153" s="54" t="n"/>
      <c r="L153" s="54" t="n"/>
      <c r="M153" s="54" t="n"/>
      <c r="N153" s="54" t="n"/>
      <c r="O153" s="54" t="n"/>
      <c r="P153" s="54" t="n"/>
      <c r="Q153" s="54" t="n"/>
      <c r="R153" s="54" t="n"/>
      <c r="S153" s="54" t="n"/>
      <c r="T153" s="54" t="n"/>
      <c r="U153" s="54" t="n"/>
      <c r="V153" s="54" t="n"/>
      <c r="W153" s="54" t="n"/>
      <c r="X153" s="54" t="n"/>
      <c r="Y153" s="54" t="n"/>
      <c r="Z153" s="54" t="n"/>
      <c r="AA153" s="54" t="n"/>
      <c r="AB153" s="54" t="n"/>
      <c r="AC153" s="54" t="n"/>
      <c r="AD153" s="54" t="n"/>
      <c r="AE153" s="54" t="n"/>
      <c r="AF153" s="54" t="n"/>
      <c r="AG153" s="54" t="n"/>
      <c r="AH153" s="54" t="n"/>
      <c r="AI153" s="54" t="n"/>
      <c r="AJ153" s="54" t="n"/>
      <c r="AK153" s="54" t="n"/>
      <c r="AL153" s="54" t="n"/>
      <c r="AM153" s="54" t="n"/>
      <c r="AN153" s="54" t="n"/>
      <c r="AO153" s="54" t="n"/>
      <c r="AP153" s="54" t="n"/>
      <c r="AQ153" s="54" t="n"/>
      <c r="AR153" s="54" t="n"/>
      <c r="AS153" s="54" t="n"/>
      <c r="AT153" s="54" t="n"/>
      <c r="AU153" s="54" t="n"/>
      <c r="AV153" s="54" t="n"/>
      <c r="AW153" s="54" t="n"/>
      <c r="AX153" s="54" t="n"/>
      <c r="AY153" s="54" t="n"/>
      <c r="AZ153" s="54" t="n"/>
      <c r="BA153" s="54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4" t="n"/>
      <c r="K154" s="54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54" t="n"/>
      <c r="W154" s="54" t="n"/>
      <c r="X154" s="54" t="n"/>
      <c r="Y154" s="54" t="n"/>
      <c r="Z154" s="54" t="n"/>
      <c r="AA154" s="54" t="n"/>
      <c r="AB154" s="54" t="n"/>
      <c r="AC154" s="54" t="n"/>
      <c r="AD154" s="54" t="n"/>
      <c r="AE154" s="54" t="n"/>
      <c r="AF154" s="54" t="n"/>
      <c r="AG154" s="54" t="n"/>
      <c r="AH154" s="54" t="n"/>
      <c r="AI154" s="54" t="n"/>
      <c r="AJ154" s="54" t="n"/>
      <c r="AK154" s="54" t="n"/>
      <c r="AL154" s="54" t="n"/>
      <c r="AM154" s="54" t="n"/>
      <c r="AN154" s="54" t="n"/>
      <c r="AO154" s="54" t="n"/>
      <c r="AP154" s="54" t="n"/>
      <c r="AQ154" s="54" t="n"/>
      <c r="AR154" s="54" t="n"/>
      <c r="AS154" s="54" t="n"/>
      <c r="AT154" s="54" t="n"/>
      <c r="AU154" s="54" t="n"/>
      <c r="AV154" s="54" t="n"/>
      <c r="AW154" s="54" t="n"/>
      <c r="AX154" s="54" t="n"/>
      <c r="AY154" s="54" t="n"/>
      <c r="AZ154" s="54" t="n"/>
      <c r="BA154" s="54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4" t="n"/>
      <c r="K155" s="54" t="n"/>
      <c r="L155" s="54" t="n"/>
      <c r="M155" s="54" t="n"/>
      <c r="N155" s="54" t="n"/>
      <c r="O155" s="54" t="n"/>
      <c r="P155" s="54" t="n"/>
      <c r="Q155" s="54" t="n"/>
      <c r="R155" s="54" t="n"/>
      <c r="S155" s="54" t="n"/>
      <c r="T155" s="54" t="n"/>
      <c r="U155" s="54" t="n"/>
      <c r="V155" s="54" t="n"/>
      <c r="W155" s="54" t="n"/>
      <c r="X155" s="54" t="n"/>
      <c r="Y155" s="54" t="n"/>
      <c r="Z155" s="54" t="n"/>
      <c r="AA155" s="54" t="n"/>
      <c r="AB155" s="54" t="n"/>
      <c r="AC155" s="54" t="n"/>
      <c r="AD155" s="54" t="n"/>
      <c r="AE155" s="54" t="n"/>
      <c r="AF155" s="54" t="n"/>
      <c r="AG155" s="54" t="n"/>
      <c r="AH155" s="54" t="n"/>
      <c r="AI155" s="54" t="n"/>
      <c r="AJ155" s="54" t="n"/>
      <c r="AK155" s="54" t="n"/>
      <c r="AL155" s="54" t="n"/>
      <c r="AM155" s="54" t="n"/>
      <c r="AN155" s="54" t="n"/>
      <c r="AO155" s="54" t="n"/>
      <c r="AP155" s="54" t="n"/>
      <c r="AQ155" s="54" t="n"/>
      <c r="AR155" s="54" t="n"/>
      <c r="AS155" s="54" t="n"/>
      <c r="AT155" s="54" t="n"/>
      <c r="AU155" s="54" t="n"/>
      <c r="AV155" s="54" t="n"/>
      <c r="AW155" s="54" t="n"/>
      <c r="AX155" s="54" t="n"/>
      <c r="AY155" s="54" t="n"/>
      <c r="AZ155" s="54" t="n"/>
      <c r="BA155" s="54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4" t="n"/>
      <c r="K156" s="54" t="n"/>
      <c r="L156" s="54" t="n"/>
      <c r="M156" s="54" t="n"/>
      <c r="N156" s="54" t="n"/>
      <c r="O156" s="54" t="n"/>
      <c r="P156" s="54" t="n"/>
      <c r="Q156" s="54" t="n"/>
      <c r="R156" s="54" t="n"/>
      <c r="S156" s="54" t="n"/>
      <c r="T156" s="54" t="n"/>
      <c r="U156" s="54" t="n"/>
      <c r="V156" s="54" t="n"/>
      <c r="W156" s="54" t="n"/>
      <c r="X156" s="54" t="n"/>
      <c r="Y156" s="54" t="n"/>
      <c r="Z156" s="54" t="n"/>
      <c r="AA156" s="54" t="n"/>
      <c r="AB156" s="54" t="n"/>
      <c r="AC156" s="54" t="n"/>
      <c r="AD156" s="54" t="n"/>
      <c r="AE156" s="54" t="n"/>
      <c r="AF156" s="54" t="n"/>
      <c r="AG156" s="54" t="n"/>
      <c r="AH156" s="54" t="n"/>
      <c r="AI156" s="54" t="n"/>
      <c r="AJ156" s="54" t="n"/>
      <c r="AK156" s="54" t="n"/>
      <c r="AL156" s="54" t="n"/>
      <c r="AM156" s="54" t="n"/>
      <c r="AN156" s="54" t="n"/>
      <c r="AO156" s="54" t="n"/>
      <c r="AP156" s="54" t="n"/>
      <c r="AQ156" s="54" t="n"/>
      <c r="AR156" s="54" t="n"/>
      <c r="AS156" s="54" t="n"/>
      <c r="AT156" s="54" t="n"/>
      <c r="AU156" s="54" t="n"/>
      <c r="AV156" s="54" t="n"/>
      <c r="AW156" s="54" t="n"/>
      <c r="AX156" s="54" t="n"/>
      <c r="AY156" s="54" t="n"/>
      <c r="AZ156" s="54" t="n"/>
      <c r="BA156" s="54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4" t="n"/>
      <c r="K157" s="54" t="n"/>
      <c r="L157" s="54" t="n"/>
      <c r="M157" s="54" t="n"/>
      <c r="N157" s="54" t="n"/>
      <c r="O157" s="54" t="n"/>
      <c r="P157" s="54" t="n"/>
      <c r="Q157" s="54" t="n"/>
      <c r="R157" s="54" t="n"/>
      <c r="S157" s="54" t="n"/>
      <c r="T157" s="54" t="n"/>
      <c r="U157" s="54" t="n"/>
      <c r="V157" s="54" t="n"/>
      <c r="W157" s="54" t="n"/>
      <c r="X157" s="54" t="n"/>
      <c r="Y157" s="54" t="n"/>
      <c r="Z157" s="54" t="n"/>
      <c r="AA157" s="54" t="n"/>
      <c r="AB157" s="54" t="n"/>
      <c r="AC157" s="54" t="n"/>
      <c r="AD157" s="54" t="n"/>
      <c r="AE157" s="54" t="n"/>
      <c r="AF157" s="54" t="n"/>
      <c r="AG157" s="54" t="n"/>
      <c r="AH157" s="54" t="n"/>
      <c r="AI157" s="54" t="n"/>
      <c r="AJ157" s="54" t="n"/>
      <c r="AK157" s="54" t="n"/>
      <c r="AL157" s="54" t="n"/>
      <c r="AM157" s="54" t="n"/>
      <c r="AN157" s="54" t="n"/>
      <c r="AO157" s="54" t="n"/>
      <c r="AP157" s="54" t="n"/>
      <c r="AQ157" s="54" t="n"/>
      <c r="AR157" s="54" t="n"/>
      <c r="AS157" s="54" t="n"/>
      <c r="AT157" s="54" t="n"/>
      <c r="AU157" s="54" t="n"/>
      <c r="AV157" s="54" t="n"/>
      <c r="AW157" s="54" t="n"/>
      <c r="AX157" s="54" t="n"/>
      <c r="AY157" s="54" t="n"/>
      <c r="AZ157" s="54" t="n"/>
      <c r="BA157" s="54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4" t="n"/>
      <c r="K158" s="54" t="n"/>
      <c r="L158" s="54" t="n"/>
      <c r="M158" s="54" t="n"/>
      <c r="N158" s="54" t="n"/>
      <c r="O158" s="54" t="n"/>
      <c r="P158" s="54" t="n"/>
      <c r="Q158" s="54" t="n"/>
      <c r="R158" s="54" t="n"/>
      <c r="S158" s="54" t="n"/>
      <c r="T158" s="54" t="n"/>
      <c r="U158" s="54" t="n"/>
      <c r="V158" s="54" t="n"/>
      <c r="W158" s="54" t="n"/>
      <c r="X158" s="54" t="n"/>
      <c r="Y158" s="54" t="n"/>
      <c r="Z158" s="54" t="n"/>
      <c r="AA158" s="54" t="n"/>
      <c r="AB158" s="54" t="n"/>
      <c r="AC158" s="54" t="n"/>
      <c r="AD158" s="54" t="n"/>
      <c r="AE158" s="54" t="n"/>
      <c r="AF158" s="54" t="n"/>
      <c r="AG158" s="54" t="n"/>
      <c r="AH158" s="54" t="n"/>
      <c r="AI158" s="54" t="n"/>
      <c r="AJ158" s="54" t="n"/>
      <c r="AK158" s="54" t="n"/>
      <c r="AL158" s="54" t="n"/>
      <c r="AM158" s="54" t="n"/>
      <c r="AN158" s="54" t="n"/>
      <c r="AO158" s="54" t="n"/>
      <c r="AP158" s="54" t="n"/>
      <c r="AQ158" s="54" t="n"/>
      <c r="AR158" s="54" t="n"/>
      <c r="AS158" s="54" t="n"/>
      <c r="AT158" s="54" t="n"/>
      <c r="AU158" s="54" t="n"/>
      <c r="AV158" s="54" t="n"/>
      <c r="AW158" s="54" t="n"/>
      <c r="AX158" s="54" t="n"/>
      <c r="AY158" s="54" t="n"/>
      <c r="AZ158" s="54" t="n"/>
      <c r="BA158" s="54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4" t="n"/>
      <c r="K159" s="54" t="n"/>
      <c r="L159" s="54" t="n"/>
      <c r="M159" s="54" t="n"/>
      <c r="N159" s="54" t="n"/>
      <c r="O159" s="54" t="n"/>
      <c r="P159" s="54" t="n"/>
      <c r="Q159" s="54" t="n"/>
      <c r="R159" s="54" t="n"/>
      <c r="S159" s="54" t="n"/>
      <c r="T159" s="54" t="n"/>
      <c r="U159" s="54" t="n"/>
      <c r="V159" s="54" t="n"/>
      <c r="W159" s="54" t="n"/>
      <c r="X159" s="54" t="n"/>
      <c r="Y159" s="54" t="n"/>
      <c r="Z159" s="54" t="n"/>
      <c r="AA159" s="54" t="n"/>
      <c r="AB159" s="54" t="n"/>
      <c r="AC159" s="54" t="n"/>
      <c r="AD159" s="54" t="n"/>
      <c r="AE159" s="54" t="n"/>
      <c r="AF159" s="54" t="n"/>
      <c r="AG159" s="54" t="n"/>
      <c r="AH159" s="54" t="n"/>
      <c r="AI159" s="54" t="n"/>
      <c r="AJ159" s="54" t="n"/>
      <c r="AK159" s="54" t="n"/>
      <c r="AL159" s="54" t="n"/>
      <c r="AM159" s="54" t="n"/>
      <c r="AN159" s="54" t="n"/>
      <c r="AO159" s="54" t="n"/>
      <c r="AP159" s="54" t="n"/>
      <c r="AQ159" s="54" t="n"/>
      <c r="AR159" s="54" t="n"/>
      <c r="AS159" s="54" t="n"/>
      <c r="AT159" s="54" t="n"/>
      <c r="AU159" s="54" t="n"/>
      <c r="AV159" s="54" t="n"/>
      <c r="AW159" s="54" t="n"/>
      <c r="AX159" s="54" t="n"/>
      <c r="AY159" s="54" t="n"/>
      <c r="AZ159" s="54" t="n"/>
      <c r="BA159" s="54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4" t="n"/>
      <c r="L160" s="54" t="n"/>
      <c r="M160" s="54" t="n"/>
      <c r="N160" s="54" t="n"/>
      <c r="O160" s="54" t="n"/>
      <c r="P160" s="54" t="n"/>
      <c r="Q160" s="54" t="n"/>
      <c r="R160" s="54" t="n"/>
      <c r="S160" s="54" t="n"/>
      <c r="T160" s="54" t="n"/>
      <c r="U160" s="54" t="n"/>
      <c r="V160" s="54" t="n"/>
      <c r="W160" s="54" t="n"/>
      <c r="X160" s="54" t="n"/>
      <c r="Y160" s="54" t="n"/>
      <c r="Z160" s="54" t="n"/>
      <c r="AA160" s="54" t="n"/>
      <c r="AB160" s="54" t="n"/>
      <c r="AC160" s="54" t="n"/>
      <c r="AD160" s="54" t="n"/>
      <c r="AE160" s="54" t="n"/>
      <c r="AF160" s="54" t="n"/>
      <c r="AG160" s="54" t="n"/>
      <c r="AH160" s="54" t="n"/>
      <c r="AI160" s="54" t="n"/>
      <c r="AJ160" s="54" t="n"/>
      <c r="AK160" s="54" t="n"/>
      <c r="AL160" s="54" t="n"/>
      <c r="AM160" s="54" t="n"/>
      <c r="AN160" s="54" t="n"/>
      <c r="AO160" s="54" t="n"/>
      <c r="AP160" s="54" t="n"/>
      <c r="AQ160" s="54" t="n"/>
      <c r="AR160" s="54" t="n"/>
      <c r="AS160" s="54" t="n"/>
      <c r="AT160" s="54" t="n"/>
      <c r="AU160" s="54" t="n"/>
      <c r="AV160" s="54" t="n"/>
      <c r="AW160" s="54" t="n"/>
      <c r="AX160" s="54" t="n"/>
      <c r="AY160" s="54" t="n"/>
      <c r="AZ160" s="54" t="n"/>
      <c r="BA160" s="54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4" t="n"/>
      <c r="K161" s="54" t="n"/>
      <c r="L161" s="54" t="n"/>
      <c r="M161" s="54" t="n"/>
      <c r="N161" s="54" t="n"/>
      <c r="O161" s="54" t="n"/>
      <c r="P161" s="54" t="n"/>
      <c r="Q161" s="54" t="n"/>
      <c r="R161" s="54" t="n"/>
      <c r="S161" s="54" t="n"/>
      <c r="T161" s="54" t="n"/>
      <c r="U161" s="54" t="n"/>
      <c r="V161" s="54" t="n"/>
      <c r="W161" s="54" t="n"/>
      <c r="X161" s="54" t="n"/>
      <c r="Y161" s="54" t="n"/>
      <c r="Z161" s="54" t="n"/>
      <c r="AA161" s="54" t="n"/>
      <c r="AB161" s="54" t="n"/>
      <c r="AC161" s="54" t="n"/>
      <c r="AD161" s="54" t="n"/>
      <c r="AE161" s="54" t="n"/>
      <c r="AF161" s="54" t="n"/>
      <c r="AG161" s="54" t="n"/>
      <c r="AH161" s="54" t="n"/>
      <c r="AI161" s="54" t="n"/>
      <c r="AJ161" s="54" t="n"/>
      <c r="AK161" s="54" t="n"/>
      <c r="AL161" s="54" t="n"/>
      <c r="AM161" s="54" t="n"/>
      <c r="AN161" s="54" t="n"/>
      <c r="AO161" s="54" t="n"/>
      <c r="AP161" s="54" t="n"/>
      <c r="AQ161" s="54" t="n"/>
      <c r="AR161" s="54" t="n"/>
      <c r="AS161" s="54" t="n"/>
      <c r="AT161" s="54" t="n"/>
      <c r="AU161" s="54" t="n"/>
      <c r="AV161" s="54" t="n"/>
      <c r="AW161" s="54" t="n"/>
      <c r="AX161" s="54" t="n"/>
      <c r="AY161" s="54" t="n"/>
      <c r="AZ161" s="54" t="n"/>
      <c r="BA161" s="54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4" t="n"/>
      <c r="K162" s="54" t="n"/>
      <c r="L162" s="54" t="n"/>
      <c r="M162" s="54" t="n"/>
      <c r="N162" s="54" t="n"/>
      <c r="O162" s="54" t="n"/>
      <c r="P162" s="54" t="n"/>
      <c r="Q162" s="54" t="n"/>
      <c r="R162" s="54" t="n"/>
      <c r="S162" s="54" t="n"/>
      <c r="T162" s="54" t="n"/>
      <c r="U162" s="54" t="n"/>
      <c r="V162" s="54" t="n"/>
      <c r="W162" s="54" t="n"/>
      <c r="X162" s="54" t="n"/>
      <c r="Y162" s="54" t="n"/>
      <c r="Z162" s="54" t="n"/>
      <c r="AA162" s="54" t="n"/>
      <c r="AB162" s="54" t="n"/>
      <c r="AC162" s="54" t="n"/>
      <c r="AD162" s="54" t="n"/>
      <c r="AE162" s="54" t="n"/>
      <c r="AF162" s="54" t="n"/>
      <c r="AG162" s="54" t="n"/>
      <c r="AH162" s="54" t="n"/>
      <c r="AI162" s="54" t="n"/>
      <c r="AJ162" s="54" t="n"/>
      <c r="AK162" s="54" t="n"/>
      <c r="AL162" s="54" t="n"/>
      <c r="AM162" s="54" t="n"/>
      <c r="AN162" s="54" t="n"/>
      <c r="AO162" s="54" t="n"/>
      <c r="AP162" s="54" t="n"/>
      <c r="AQ162" s="54" t="n"/>
      <c r="AR162" s="54" t="n"/>
      <c r="AS162" s="54" t="n"/>
      <c r="AT162" s="54" t="n"/>
      <c r="AU162" s="54" t="n"/>
      <c r="AV162" s="54" t="n"/>
      <c r="AW162" s="54" t="n"/>
      <c r="AX162" s="54" t="n"/>
      <c r="AY162" s="54" t="n"/>
      <c r="AZ162" s="54" t="n"/>
      <c r="BA162" s="54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4" t="n"/>
      <c r="K163" s="54" t="n"/>
      <c r="L163" s="54" t="n"/>
      <c r="M163" s="54" t="n"/>
      <c r="N163" s="54" t="n"/>
      <c r="O163" s="54" t="n"/>
      <c r="P163" s="54" t="n"/>
      <c r="Q163" s="54" t="n"/>
      <c r="R163" s="54" t="n"/>
      <c r="S163" s="54" t="n"/>
      <c r="T163" s="54" t="n"/>
      <c r="U163" s="54" t="n"/>
      <c r="V163" s="54" t="n"/>
      <c r="W163" s="54" t="n"/>
      <c r="X163" s="54" t="n"/>
      <c r="Y163" s="54" t="n"/>
      <c r="Z163" s="54" t="n"/>
      <c r="AA163" s="54" t="n"/>
      <c r="AB163" s="54" t="n"/>
      <c r="AC163" s="54" t="n"/>
      <c r="AD163" s="54" t="n"/>
      <c r="AE163" s="54" t="n"/>
      <c r="AF163" s="54" t="n"/>
      <c r="AG163" s="54" t="n"/>
      <c r="AH163" s="54" t="n"/>
      <c r="AI163" s="54" t="n"/>
      <c r="AJ163" s="54" t="n"/>
      <c r="AK163" s="54" t="n"/>
      <c r="AL163" s="54" t="n"/>
      <c r="AM163" s="54" t="n"/>
      <c r="AN163" s="54" t="n"/>
      <c r="AO163" s="54" t="n"/>
      <c r="AP163" s="54" t="n"/>
      <c r="AQ163" s="54" t="n"/>
      <c r="AR163" s="54" t="n"/>
      <c r="AS163" s="54" t="n"/>
      <c r="AT163" s="54" t="n"/>
      <c r="AU163" s="54" t="n"/>
      <c r="AV163" s="54" t="n"/>
      <c r="AW163" s="54" t="n"/>
      <c r="AX163" s="54" t="n"/>
      <c r="AY163" s="54" t="n"/>
      <c r="AZ163" s="54" t="n"/>
      <c r="BA163" s="54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4" t="n"/>
      <c r="K164" s="54" t="n"/>
      <c r="L164" s="54" t="n"/>
      <c r="M164" s="54" t="n"/>
      <c r="N164" s="54" t="n"/>
      <c r="O164" s="54" t="n"/>
      <c r="P164" s="54" t="n"/>
      <c r="Q164" s="54" t="n"/>
      <c r="R164" s="54" t="n"/>
      <c r="S164" s="54" t="n"/>
      <c r="T164" s="54" t="n"/>
      <c r="U164" s="54" t="n"/>
      <c r="V164" s="54" t="n"/>
      <c r="W164" s="54" t="n"/>
      <c r="X164" s="54" t="n"/>
      <c r="Y164" s="54" t="n"/>
      <c r="Z164" s="54" t="n"/>
      <c r="AA164" s="54" t="n"/>
      <c r="AB164" s="54" t="n"/>
      <c r="AC164" s="54" t="n"/>
      <c r="AD164" s="54" t="n"/>
      <c r="AE164" s="54" t="n"/>
      <c r="AF164" s="54" t="n"/>
      <c r="AG164" s="54" t="n"/>
      <c r="AH164" s="54" t="n"/>
      <c r="AI164" s="54" t="n"/>
      <c r="AJ164" s="54" t="n"/>
      <c r="AK164" s="54" t="n"/>
      <c r="AL164" s="54" t="n"/>
      <c r="AM164" s="54" t="n"/>
      <c r="AN164" s="54" t="n"/>
      <c r="AO164" s="54" t="n"/>
      <c r="AP164" s="54" t="n"/>
      <c r="AQ164" s="54" t="n"/>
      <c r="AR164" s="54" t="n"/>
      <c r="AS164" s="54" t="n"/>
      <c r="AT164" s="54" t="n"/>
      <c r="AU164" s="54" t="n"/>
      <c r="AV164" s="54" t="n"/>
      <c r="AW164" s="54" t="n"/>
      <c r="AX164" s="54" t="n"/>
      <c r="AY164" s="54" t="n"/>
      <c r="AZ164" s="54" t="n"/>
      <c r="BA164" s="54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4" t="n"/>
      <c r="K165" s="54" t="n"/>
      <c r="L165" s="54" t="n"/>
      <c r="M165" s="54" t="n"/>
      <c r="N165" s="54" t="n"/>
      <c r="O165" s="54" t="n"/>
      <c r="P165" s="54" t="n"/>
      <c r="Q165" s="54" t="n"/>
      <c r="R165" s="54" t="n"/>
      <c r="S165" s="54" t="n"/>
      <c r="T165" s="54" t="n"/>
      <c r="U165" s="54" t="n"/>
      <c r="V165" s="54" t="n"/>
      <c r="W165" s="54" t="n"/>
      <c r="X165" s="54" t="n"/>
      <c r="Y165" s="54" t="n"/>
      <c r="Z165" s="54" t="n"/>
      <c r="AA165" s="54" t="n"/>
      <c r="AB165" s="54" t="n"/>
      <c r="AC165" s="54" t="n"/>
      <c r="AD165" s="54" t="n"/>
      <c r="AE165" s="54" t="n"/>
      <c r="AF165" s="54" t="n"/>
      <c r="AG165" s="54" t="n"/>
      <c r="AH165" s="54" t="n"/>
      <c r="AI165" s="54" t="n"/>
      <c r="AJ165" s="54" t="n"/>
      <c r="AK165" s="54" t="n"/>
      <c r="AL165" s="54" t="n"/>
      <c r="AM165" s="54" t="n"/>
      <c r="AN165" s="54" t="n"/>
      <c r="AO165" s="54" t="n"/>
      <c r="AP165" s="54" t="n"/>
      <c r="AQ165" s="54" t="n"/>
      <c r="AR165" s="54" t="n"/>
      <c r="AS165" s="54" t="n"/>
      <c r="AT165" s="54" t="n"/>
      <c r="AU165" s="54" t="n"/>
      <c r="AV165" s="54" t="n"/>
      <c r="AW165" s="54" t="n"/>
      <c r="AX165" s="54" t="n"/>
      <c r="AY165" s="54" t="n"/>
      <c r="AZ165" s="54" t="n"/>
      <c r="BA165" s="54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4" t="n"/>
      <c r="K166" s="54" t="n"/>
      <c r="L166" s="54" t="n"/>
      <c r="M166" s="54" t="n"/>
      <c r="N166" s="54" t="n"/>
      <c r="O166" s="54" t="n"/>
      <c r="P166" s="54" t="n"/>
      <c r="Q166" s="54" t="n"/>
      <c r="R166" s="54" t="n"/>
      <c r="S166" s="54" t="n"/>
      <c r="T166" s="54" t="n"/>
      <c r="U166" s="54" t="n"/>
      <c r="V166" s="54" t="n"/>
      <c r="W166" s="54" t="n"/>
      <c r="X166" s="54" t="n"/>
      <c r="Y166" s="54" t="n"/>
      <c r="Z166" s="54" t="n"/>
      <c r="AA166" s="54" t="n"/>
      <c r="AB166" s="54" t="n"/>
      <c r="AC166" s="54" t="n"/>
      <c r="AD166" s="54" t="n"/>
      <c r="AE166" s="54" t="n"/>
      <c r="AF166" s="54" t="n"/>
      <c r="AG166" s="54" t="n"/>
      <c r="AH166" s="54" t="n"/>
      <c r="AI166" s="54" t="n"/>
      <c r="AJ166" s="54" t="n"/>
      <c r="AK166" s="54" t="n"/>
      <c r="AL166" s="54" t="n"/>
      <c r="AM166" s="54" t="n"/>
      <c r="AN166" s="54" t="n"/>
      <c r="AO166" s="54" t="n"/>
      <c r="AP166" s="54" t="n"/>
      <c r="AQ166" s="54" t="n"/>
      <c r="AR166" s="54" t="n"/>
      <c r="AS166" s="54" t="n"/>
      <c r="AT166" s="54" t="n"/>
      <c r="AU166" s="54" t="n"/>
      <c r="AV166" s="54" t="n"/>
      <c r="AW166" s="54" t="n"/>
      <c r="AX166" s="54" t="n"/>
      <c r="AY166" s="54" t="n"/>
      <c r="AZ166" s="54" t="n"/>
      <c r="BA166" s="54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4" t="n"/>
      <c r="K167" s="54" t="n"/>
      <c r="L167" s="54" t="n"/>
      <c r="M167" s="54" t="n"/>
      <c r="N167" s="54" t="n"/>
      <c r="O167" s="54" t="n"/>
      <c r="P167" s="54" t="n"/>
      <c r="Q167" s="54" t="n"/>
      <c r="R167" s="54" t="n"/>
      <c r="S167" s="54" t="n"/>
      <c r="T167" s="54" t="n"/>
      <c r="U167" s="54" t="n"/>
      <c r="V167" s="54" t="n"/>
      <c r="W167" s="54" t="n"/>
      <c r="X167" s="54" t="n"/>
      <c r="Y167" s="54" t="n"/>
      <c r="Z167" s="54" t="n"/>
      <c r="AA167" s="54" t="n"/>
      <c r="AB167" s="54" t="n"/>
      <c r="AC167" s="54" t="n"/>
      <c r="AD167" s="54" t="n"/>
      <c r="AE167" s="54" t="n"/>
      <c r="AF167" s="54" t="n"/>
      <c r="AG167" s="54" t="n"/>
      <c r="AH167" s="54" t="n"/>
      <c r="AI167" s="54" t="n"/>
      <c r="AJ167" s="54" t="n"/>
      <c r="AK167" s="54" t="n"/>
      <c r="AL167" s="54" t="n"/>
      <c r="AM167" s="54" t="n"/>
      <c r="AN167" s="54" t="n"/>
      <c r="AO167" s="54" t="n"/>
      <c r="AP167" s="54" t="n"/>
      <c r="AQ167" s="54" t="n"/>
      <c r="AR167" s="54" t="n"/>
      <c r="AS167" s="54" t="n"/>
      <c r="AT167" s="54" t="n"/>
      <c r="AU167" s="54" t="n"/>
      <c r="AV167" s="54" t="n"/>
      <c r="AW167" s="54" t="n"/>
      <c r="AX167" s="54" t="n"/>
      <c r="AY167" s="54" t="n"/>
      <c r="AZ167" s="54" t="n"/>
      <c r="BA167" s="54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54" t="n"/>
      <c r="Y168" s="54" t="n"/>
      <c r="Z168" s="54" t="n"/>
      <c r="AA168" s="54" t="n"/>
      <c r="AB168" s="54" t="n"/>
      <c r="AC168" s="54" t="n"/>
      <c r="AD168" s="54" t="n"/>
      <c r="AE168" s="54" t="n"/>
      <c r="AF168" s="54" t="n"/>
      <c r="AG168" s="54" t="n"/>
      <c r="AH168" s="54" t="n"/>
      <c r="AI168" s="54" t="n"/>
      <c r="AJ168" s="54" t="n"/>
      <c r="AK168" s="54" t="n"/>
      <c r="AL168" s="54" t="n"/>
      <c r="AM168" s="54" t="n"/>
      <c r="AN168" s="54" t="n"/>
      <c r="AO168" s="54" t="n"/>
      <c r="AP168" s="54" t="n"/>
      <c r="AQ168" s="54" t="n"/>
      <c r="AR168" s="54" t="n"/>
      <c r="AS168" s="54" t="n"/>
      <c r="AT168" s="54" t="n"/>
      <c r="AU168" s="54" t="n"/>
      <c r="AV168" s="54" t="n"/>
      <c r="AW168" s="54" t="n"/>
      <c r="AX168" s="54" t="n"/>
      <c r="AY168" s="54" t="n"/>
      <c r="AZ168" s="54" t="n"/>
      <c r="BA168" s="54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4" t="n"/>
      <c r="L169" s="54" t="n"/>
      <c r="M169" s="54" t="n"/>
      <c r="N169" s="54" t="n"/>
      <c r="O169" s="54" t="n"/>
      <c r="P169" s="54" t="n"/>
      <c r="Q169" s="54" t="n"/>
      <c r="R169" s="54" t="n"/>
      <c r="S169" s="54" t="n"/>
      <c r="T169" s="54" t="n"/>
      <c r="U169" s="54" t="n"/>
      <c r="V169" s="54" t="n"/>
      <c r="W169" s="54" t="n"/>
      <c r="X169" s="54" t="n"/>
      <c r="Y169" s="54" t="n"/>
      <c r="Z169" s="54" t="n"/>
      <c r="AA169" s="54" t="n"/>
      <c r="AB169" s="54" t="n"/>
      <c r="AC169" s="54" t="n"/>
      <c r="AD169" s="54" t="n"/>
      <c r="AE169" s="54" t="n"/>
      <c r="AF169" s="54" t="n"/>
      <c r="AG169" s="54" t="n"/>
      <c r="AH169" s="54" t="n"/>
      <c r="AI169" s="54" t="n"/>
      <c r="AJ169" s="54" t="n"/>
      <c r="AK169" s="54" t="n"/>
      <c r="AL169" s="54" t="n"/>
      <c r="AM169" s="54" t="n"/>
      <c r="AN169" s="54" t="n"/>
      <c r="AO169" s="54" t="n"/>
      <c r="AP169" s="54" t="n"/>
      <c r="AQ169" s="54" t="n"/>
      <c r="AR169" s="54" t="n"/>
      <c r="AS169" s="54" t="n"/>
      <c r="AT169" s="54" t="n"/>
      <c r="AU169" s="54" t="n"/>
      <c r="AV169" s="54" t="n"/>
      <c r="AW169" s="54" t="n"/>
      <c r="AX169" s="54" t="n"/>
      <c r="AY169" s="54" t="n"/>
      <c r="AZ169" s="54" t="n"/>
      <c r="BA169" s="54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54" t="n"/>
      <c r="Y170" s="54" t="n"/>
      <c r="Z170" s="54" t="n"/>
      <c r="AA170" s="54" t="n"/>
      <c r="AB170" s="54" t="n"/>
      <c r="AC170" s="54" t="n"/>
      <c r="AD170" s="54" t="n"/>
      <c r="AE170" s="54" t="n"/>
      <c r="AF170" s="54" t="n"/>
      <c r="AG170" s="54" t="n"/>
      <c r="AH170" s="54" t="n"/>
      <c r="AI170" s="54" t="n"/>
      <c r="AJ170" s="54" t="n"/>
      <c r="AK170" s="54" t="n"/>
      <c r="AL170" s="54" t="n"/>
      <c r="AM170" s="54" t="n"/>
      <c r="AN170" s="54" t="n"/>
      <c r="AO170" s="54" t="n"/>
      <c r="AP170" s="54" t="n"/>
      <c r="AQ170" s="54" t="n"/>
      <c r="AR170" s="54" t="n"/>
      <c r="AS170" s="54" t="n"/>
      <c r="AT170" s="54" t="n"/>
      <c r="AU170" s="54" t="n"/>
      <c r="AV170" s="54" t="n"/>
      <c r="AW170" s="54" t="n"/>
      <c r="AX170" s="54" t="n"/>
      <c r="AY170" s="54" t="n"/>
      <c r="AZ170" s="54" t="n"/>
      <c r="BA170" s="54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4" t="n"/>
      <c r="K171" s="54" t="n"/>
      <c r="L171" s="54" t="n"/>
      <c r="M171" s="54" t="n"/>
      <c r="N171" s="54" t="n"/>
      <c r="O171" s="54" t="n"/>
      <c r="P171" s="54" t="n"/>
      <c r="Q171" s="54" t="n"/>
      <c r="R171" s="54" t="n"/>
      <c r="S171" s="54" t="n"/>
      <c r="T171" s="54" t="n"/>
      <c r="U171" s="54" t="n"/>
      <c r="V171" s="54" t="n"/>
      <c r="W171" s="54" t="n"/>
      <c r="X171" s="54" t="n"/>
      <c r="Y171" s="54" t="n"/>
      <c r="Z171" s="54" t="n"/>
      <c r="AA171" s="54" t="n"/>
      <c r="AB171" s="54" t="n"/>
      <c r="AC171" s="54" t="n"/>
      <c r="AD171" s="54" t="n"/>
      <c r="AE171" s="54" t="n"/>
      <c r="AF171" s="54" t="n"/>
      <c r="AG171" s="54" t="n"/>
      <c r="AH171" s="54" t="n"/>
      <c r="AI171" s="54" t="n"/>
      <c r="AJ171" s="54" t="n"/>
      <c r="AK171" s="54" t="n"/>
      <c r="AL171" s="54" t="n"/>
      <c r="AM171" s="54" t="n"/>
      <c r="AN171" s="54" t="n"/>
      <c r="AO171" s="54" t="n"/>
      <c r="AP171" s="54" t="n"/>
      <c r="AQ171" s="54" t="n"/>
      <c r="AR171" s="54" t="n"/>
      <c r="AS171" s="54" t="n"/>
      <c r="AT171" s="54" t="n"/>
      <c r="AU171" s="54" t="n"/>
      <c r="AV171" s="54" t="n"/>
      <c r="AW171" s="54" t="n"/>
      <c r="AX171" s="54" t="n"/>
      <c r="AY171" s="54" t="n"/>
      <c r="AZ171" s="54" t="n"/>
      <c r="BA171" s="54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4" t="n"/>
      <c r="K172" s="54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54" t="n"/>
      <c r="W172" s="54" t="n"/>
      <c r="X172" s="54" t="n"/>
      <c r="Y172" s="54" t="n"/>
      <c r="Z172" s="54" t="n"/>
      <c r="AA172" s="54" t="n"/>
      <c r="AB172" s="54" t="n"/>
      <c r="AC172" s="54" t="n"/>
      <c r="AD172" s="54" t="n"/>
      <c r="AE172" s="54" t="n"/>
      <c r="AF172" s="54" t="n"/>
      <c r="AG172" s="54" t="n"/>
      <c r="AH172" s="54" t="n"/>
      <c r="AI172" s="54" t="n"/>
      <c r="AJ172" s="54" t="n"/>
      <c r="AK172" s="54" t="n"/>
      <c r="AL172" s="54" t="n"/>
      <c r="AM172" s="54" t="n"/>
      <c r="AN172" s="54" t="n"/>
      <c r="AO172" s="54" t="n"/>
      <c r="AP172" s="54" t="n"/>
      <c r="AQ172" s="54" t="n"/>
      <c r="AR172" s="54" t="n"/>
      <c r="AS172" s="54" t="n"/>
      <c r="AT172" s="54" t="n"/>
      <c r="AU172" s="54" t="n"/>
      <c r="AV172" s="54" t="n"/>
      <c r="AW172" s="54" t="n"/>
      <c r="AX172" s="54" t="n"/>
      <c r="AY172" s="54" t="n"/>
      <c r="AZ172" s="54" t="n"/>
      <c r="BA172" s="54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4" t="n"/>
      <c r="K173" s="54" t="n"/>
      <c r="L173" s="54" t="n"/>
      <c r="M173" s="54" t="n"/>
      <c r="N173" s="54" t="n"/>
      <c r="O173" s="54" t="n"/>
      <c r="P173" s="54" t="n"/>
      <c r="Q173" s="54" t="n"/>
      <c r="R173" s="54" t="n"/>
      <c r="S173" s="54" t="n"/>
      <c r="T173" s="54" t="n"/>
      <c r="U173" s="54" t="n"/>
      <c r="V173" s="54" t="n"/>
      <c r="W173" s="54" t="n"/>
      <c r="X173" s="54" t="n"/>
      <c r="Y173" s="54" t="n"/>
      <c r="Z173" s="54" t="n"/>
      <c r="AA173" s="54" t="n"/>
      <c r="AB173" s="54" t="n"/>
      <c r="AC173" s="54" t="n"/>
      <c r="AD173" s="54" t="n"/>
      <c r="AE173" s="54" t="n"/>
      <c r="AF173" s="54" t="n"/>
      <c r="AG173" s="54" t="n"/>
      <c r="AH173" s="54" t="n"/>
      <c r="AI173" s="54" t="n"/>
      <c r="AJ173" s="54" t="n"/>
      <c r="AK173" s="54" t="n"/>
      <c r="AL173" s="54" t="n"/>
      <c r="AM173" s="54" t="n"/>
      <c r="AN173" s="54" t="n"/>
      <c r="AO173" s="54" t="n"/>
      <c r="AP173" s="54" t="n"/>
      <c r="AQ173" s="54" t="n"/>
      <c r="AR173" s="54" t="n"/>
      <c r="AS173" s="54" t="n"/>
      <c r="AT173" s="54" t="n"/>
      <c r="AU173" s="54" t="n"/>
      <c r="AV173" s="54" t="n"/>
      <c r="AW173" s="54" t="n"/>
      <c r="AX173" s="54" t="n"/>
      <c r="AY173" s="54" t="n"/>
      <c r="AZ173" s="54" t="n"/>
      <c r="BA173" s="54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4" t="n"/>
      <c r="K174" s="54" t="n"/>
      <c r="L174" s="54" t="n"/>
      <c r="M174" s="54" t="n"/>
      <c r="N174" s="54" t="n"/>
      <c r="O174" s="54" t="n"/>
      <c r="P174" s="54" t="n"/>
      <c r="Q174" s="54" t="n"/>
      <c r="R174" s="54" t="n"/>
      <c r="S174" s="54" t="n"/>
      <c r="T174" s="54" t="n"/>
      <c r="U174" s="54" t="n"/>
      <c r="V174" s="54" t="n"/>
      <c r="W174" s="54" t="n"/>
      <c r="X174" s="54" t="n"/>
      <c r="Y174" s="54" t="n"/>
      <c r="Z174" s="54" t="n"/>
      <c r="AA174" s="54" t="n"/>
      <c r="AB174" s="54" t="n"/>
      <c r="AC174" s="54" t="n"/>
      <c r="AD174" s="54" t="n"/>
      <c r="AE174" s="54" t="n"/>
      <c r="AF174" s="54" t="n"/>
      <c r="AG174" s="54" t="n"/>
      <c r="AH174" s="54" t="n"/>
      <c r="AI174" s="54" t="n"/>
      <c r="AJ174" s="54" t="n"/>
      <c r="AK174" s="54" t="n"/>
      <c r="AL174" s="54" t="n"/>
      <c r="AM174" s="54" t="n"/>
      <c r="AN174" s="54" t="n"/>
      <c r="AO174" s="54" t="n"/>
      <c r="AP174" s="54" t="n"/>
      <c r="AQ174" s="54" t="n"/>
      <c r="AR174" s="54" t="n"/>
      <c r="AS174" s="54" t="n"/>
      <c r="AT174" s="54" t="n"/>
      <c r="AU174" s="54" t="n"/>
      <c r="AV174" s="54" t="n"/>
      <c r="AW174" s="54" t="n"/>
      <c r="AX174" s="54" t="n"/>
      <c r="AY174" s="54" t="n"/>
      <c r="AZ174" s="54" t="n"/>
      <c r="BA174" s="54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4" t="n"/>
      <c r="K175" s="54" t="n"/>
      <c r="L175" s="54" t="n"/>
      <c r="M175" s="54" t="n"/>
      <c r="N175" s="54" t="n"/>
      <c r="O175" s="54" t="n"/>
      <c r="P175" s="54" t="n"/>
      <c r="Q175" s="54" t="n"/>
      <c r="R175" s="54" t="n"/>
      <c r="S175" s="54" t="n"/>
      <c r="T175" s="54" t="n"/>
      <c r="U175" s="54" t="n"/>
      <c r="V175" s="54" t="n"/>
      <c r="W175" s="54" t="n"/>
      <c r="X175" s="54" t="n"/>
      <c r="Y175" s="54" t="n"/>
      <c r="Z175" s="54" t="n"/>
      <c r="AA175" s="54" t="n"/>
      <c r="AB175" s="54" t="n"/>
      <c r="AC175" s="54" t="n"/>
      <c r="AD175" s="54" t="n"/>
      <c r="AE175" s="54" t="n"/>
      <c r="AF175" s="54" t="n"/>
      <c r="AG175" s="54" t="n"/>
      <c r="AH175" s="54" t="n"/>
      <c r="AI175" s="54" t="n"/>
      <c r="AJ175" s="54" t="n"/>
      <c r="AK175" s="54" t="n"/>
      <c r="AL175" s="54" t="n"/>
      <c r="AM175" s="54" t="n"/>
      <c r="AN175" s="54" t="n"/>
      <c r="AO175" s="54" t="n"/>
      <c r="AP175" s="54" t="n"/>
      <c r="AQ175" s="54" t="n"/>
      <c r="AR175" s="54" t="n"/>
      <c r="AS175" s="54" t="n"/>
      <c r="AT175" s="54" t="n"/>
      <c r="AU175" s="54" t="n"/>
      <c r="AV175" s="54" t="n"/>
      <c r="AW175" s="54" t="n"/>
      <c r="AX175" s="54" t="n"/>
      <c r="AY175" s="54" t="n"/>
      <c r="AZ175" s="54" t="n"/>
      <c r="BA175" s="54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4" t="n"/>
      <c r="K176" s="54" t="n"/>
      <c r="L176" s="54" t="n"/>
      <c r="M176" s="54" t="n"/>
      <c r="N176" s="54" t="n"/>
      <c r="O176" s="54" t="n"/>
      <c r="P176" s="54" t="n"/>
      <c r="Q176" s="54" t="n"/>
      <c r="R176" s="54" t="n"/>
      <c r="S176" s="54" t="n"/>
      <c r="T176" s="54" t="n"/>
      <c r="U176" s="54" t="n"/>
      <c r="V176" s="54" t="n"/>
      <c r="W176" s="54" t="n"/>
      <c r="X176" s="54" t="n"/>
      <c r="Y176" s="54" t="n"/>
      <c r="Z176" s="54" t="n"/>
      <c r="AA176" s="54" t="n"/>
      <c r="AB176" s="54" t="n"/>
      <c r="AC176" s="54" t="n"/>
      <c r="AD176" s="54" t="n"/>
      <c r="AE176" s="54" t="n"/>
      <c r="AF176" s="54" t="n"/>
      <c r="AG176" s="54" t="n"/>
      <c r="AH176" s="54" t="n"/>
      <c r="AI176" s="54" t="n"/>
      <c r="AJ176" s="54" t="n"/>
      <c r="AK176" s="54" t="n"/>
      <c r="AL176" s="54" t="n"/>
      <c r="AM176" s="54" t="n"/>
      <c r="AN176" s="54" t="n"/>
      <c r="AO176" s="54" t="n"/>
      <c r="AP176" s="54" t="n"/>
      <c r="AQ176" s="54" t="n"/>
      <c r="AR176" s="54" t="n"/>
      <c r="AS176" s="54" t="n"/>
      <c r="AT176" s="54" t="n"/>
      <c r="AU176" s="54" t="n"/>
      <c r="AV176" s="54" t="n"/>
      <c r="AW176" s="54" t="n"/>
      <c r="AX176" s="54" t="n"/>
      <c r="AY176" s="54" t="n"/>
      <c r="AZ176" s="54" t="n"/>
      <c r="BA176" s="54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4" t="n"/>
      <c r="K177" s="54" t="n"/>
      <c r="L177" s="54" t="n"/>
      <c r="M177" s="54" t="n"/>
      <c r="N177" s="54" t="n"/>
      <c r="O177" s="54" t="n"/>
      <c r="P177" s="54" t="n"/>
      <c r="Q177" s="54" t="n"/>
      <c r="R177" s="54" t="n"/>
      <c r="S177" s="54" t="n"/>
      <c r="T177" s="54" t="n"/>
      <c r="U177" s="54" t="n"/>
      <c r="V177" s="54" t="n"/>
      <c r="W177" s="54" t="n"/>
      <c r="X177" s="54" t="n"/>
      <c r="Y177" s="54" t="n"/>
      <c r="Z177" s="54" t="n"/>
      <c r="AA177" s="54" t="n"/>
      <c r="AB177" s="54" t="n"/>
      <c r="AC177" s="54" t="n"/>
      <c r="AD177" s="54" t="n"/>
      <c r="AE177" s="54" t="n"/>
      <c r="AF177" s="54" t="n"/>
      <c r="AG177" s="54" t="n"/>
      <c r="AH177" s="54" t="n"/>
      <c r="AI177" s="54" t="n"/>
      <c r="AJ177" s="54" t="n"/>
      <c r="AK177" s="54" t="n"/>
      <c r="AL177" s="54" t="n"/>
      <c r="AM177" s="54" t="n"/>
      <c r="AN177" s="54" t="n"/>
      <c r="AO177" s="54" t="n"/>
      <c r="AP177" s="54" t="n"/>
      <c r="AQ177" s="54" t="n"/>
      <c r="AR177" s="54" t="n"/>
      <c r="AS177" s="54" t="n"/>
      <c r="AT177" s="54" t="n"/>
      <c r="AU177" s="54" t="n"/>
      <c r="AV177" s="54" t="n"/>
      <c r="AW177" s="54" t="n"/>
      <c r="AX177" s="54" t="n"/>
      <c r="AY177" s="54" t="n"/>
      <c r="AZ177" s="54" t="n"/>
      <c r="BA177" s="54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4" t="n"/>
      <c r="L178" s="54" t="n"/>
      <c r="M178" s="54" t="n"/>
      <c r="N178" s="54" t="n"/>
      <c r="O178" s="54" t="n"/>
      <c r="P178" s="54" t="n"/>
      <c r="Q178" s="54" t="n"/>
      <c r="R178" s="54" t="n"/>
      <c r="S178" s="54" t="n"/>
      <c r="T178" s="54" t="n"/>
      <c r="U178" s="54" t="n"/>
      <c r="V178" s="54" t="n"/>
      <c r="W178" s="54" t="n"/>
      <c r="X178" s="54" t="n"/>
      <c r="Y178" s="54" t="n"/>
      <c r="Z178" s="54" t="n"/>
      <c r="AA178" s="54" t="n"/>
      <c r="AB178" s="54" t="n"/>
      <c r="AC178" s="54" t="n"/>
      <c r="AD178" s="54" t="n"/>
      <c r="AE178" s="54" t="n"/>
      <c r="AF178" s="54" t="n"/>
      <c r="AG178" s="54" t="n"/>
      <c r="AH178" s="54" t="n"/>
      <c r="AI178" s="54" t="n"/>
      <c r="AJ178" s="54" t="n"/>
      <c r="AK178" s="54" t="n"/>
      <c r="AL178" s="54" t="n"/>
      <c r="AM178" s="54" t="n"/>
      <c r="AN178" s="54" t="n"/>
      <c r="AO178" s="54" t="n"/>
      <c r="AP178" s="54" t="n"/>
      <c r="AQ178" s="54" t="n"/>
      <c r="AR178" s="54" t="n"/>
      <c r="AS178" s="54" t="n"/>
      <c r="AT178" s="54" t="n"/>
      <c r="AU178" s="54" t="n"/>
      <c r="AV178" s="54" t="n"/>
      <c r="AW178" s="54" t="n"/>
      <c r="AX178" s="54" t="n"/>
      <c r="AY178" s="54" t="n"/>
      <c r="AZ178" s="54" t="n"/>
      <c r="BA178" s="54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4" t="n"/>
      <c r="K179" s="54" t="n"/>
      <c r="L179" s="54" t="n"/>
      <c r="M179" s="54" t="n"/>
      <c r="N179" s="54" t="n"/>
      <c r="O179" s="54" t="n"/>
      <c r="P179" s="54" t="n"/>
      <c r="Q179" s="54" t="n"/>
      <c r="R179" s="54" t="n"/>
      <c r="S179" s="54" t="n"/>
      <c r="T179" s="54" t="n"/>
      <c r="U179" s="54" t="n"/>
      <c r="V179" s="54" t="n"/>
      <c r="W179" s="54" t="n"/>
      <c r="X179" s="54" t="n"/>
      <c r="Y179" s="54" t="n"/>
      <c r="Z179" s="54" t="n"/>
      <c r="AA179" s="54" t="n"/>
      <c r="AB179" s="54" t="n"/>
      <c r="AC179" s="54" t="n"/>
      <c r="AD179" s="54" t="n"/>
      <c r="AE179" s="54" t="n"/>
      <c r="AF179" s="54" t="n"/>
      <c r="AG179" s="54" t="n"/>
      <c r="AH179" s="54" t="n"/>
      <c r="AI179" s="54" t="n"/>
      <c r="AJ179" s="54" t="n"/>
      <c r="AK179" s="54" t="n"/>
      <c r="AL179" s="54" t="n"/>
      <c r="AM179" s="54" t="n"/>
      <c r="AN179" s="54" t="n"/>
      <c r="AO179" s="54" t="n"/>
      <c r="AP179" s="54" t="n"/>
      <c r="AQ179" s="54" t="n"/>
      <c r="AR179" s="54" t="n"/>
      <c r="AS179" s="54" t="n"/>
      <c r="AT179" s="54" t="n"/>
      <c r="AU179" s="54" t="n"/>
      <c r="AV179" s="54" t="n"/>
      <c r="AW179" s="54" t="n"/>
      <c r="AX179" s="54" t="n"/>
      <c r="AY179" s="54" t="n"/>
      <c r="AZ179" s="54" t="n"/>
      <c r="BA179" s="54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4" t="n"/>
      <c r="K180" s="54" t="n"/>
      <c r="L180" s="54" t="n"/>
      <c r="M180" s="54" t="n"/>
      <c r="N180" s="54" t="n"/>
      <c r="O180" s="54" t="n"/>
      <c r="P180" s="54" t="n"/>
      <c r="Q180" s="54" t="n"/>
      <c r="R180" s="54" t="n"/>
      <c r="S180" s="54" t="n"/>
      <c r="T180" s="54" t="n"/>
      <c r="U180" s="54" t="n"/>
      <c r="V180" s="54" t="n"/>
      <c r="W180" s="54" t="n"/>
      <c r="X180" s="54" t="n"/>
      <c r="Y180" s="54" t="n"/>
      <c r="Z180" s="54" t="n"/>
      <c r="AA180" s="54" t="n"/>
      <c r="AB180" s="54" t="n"/>
      <c r="AC180" s="54" t="n"/>
      <c r="AD180" s="54" t="n"/>
      <c r="AE180" s="54" t="n"/>
      <c r="AF180" s="54" t="n"/>
      <c r="AG180" s="54" t="n"/>
      <c r="AH180" s="54" t="n"/>
      <c r="AI180" s="54" t="n"/>
      <c r="AJ180" s="54" t="n"/>
      <c r="AK180" s="54" t="n"/>
      <c r="AL180" s="54" t="n"/>
      <c r="AM180" s="54" t="n"/>
      <c r="AN180" s="54" t="n"/>
      <c r="AO180" s="54" t="n"/>
      <c r="AP180" s="54" t="n"/>
      <c r="AQ180" s="54" t="n"/>
      <c r="AR180" s="54" t="n"/>
      <c r="AS180" s="54" t="n"/>
      <c r="AT180" s="54" t="n"/>
      <c r="AU180" s="54" t="n"/>
      <c r="AV180" s="54" t="n"/>
      <c r="AW180" s="54" t="n"/>
      <c r="AX180" s="54" t="n"/>
      <c r="AY180" s="54" t="n"/>
      <c r="AZ180" s="54" t="n"/>
      <c r="BA180" s="54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4" t="n"/>
      <c r="K181" s="54" t="n"/>
      <c r="L181" s="54" t="n"/>
      <c r="M181" s="54" t="n"/>
      <c r="N181" s="54" t="n"/>
      <c r="O181" s="54" t="n"/>
      <c r="P181" s="54" t="n"/>
      <c r="Q181" s="54" t="n"/>
      <c r="R181" s="54" t="n"/>
      <c r="S181" s="54" t="n"/>
      <c r="T181" s="54" t="n"/>
      <c r="U181" s="54" t="n"/>
      <c r="V181" s="54" t="n"/>
      <c r="W181" s="54" t="n"/>
      <c r="X181" s="54" t="n"/>
      <c r="Y181" s="54" t="n"/>
      <c r="Z181" s="54" t="n"/>
      <c r="AA181" s="54" t="n"/>
      <c r="AB181" s="54" t="n"/>
      <c r="AC181" s="54" t="n"/>
      <c r="AD181" s="54" t="n"/>
      <c r="AE181" s="54" t="n"/>
      <c r="AF181" s="54" t="n"/>
      <c r="AG181" s="54" t="n"/>
      <c r="AH181" s="54" t="n"/>
      <c r="AI181" s="54" t="n"/>
      <c r="AJ181" s="54" t="n"/>
      <c r="AK181" s="54" t="n"/>
      <c r="AL181" s="54" t="n"/>
      <c r="AM181" s="54" t="n"/>
      <c r="AN181" s="54" t="n"/>
      <c r="AO181" s="54" t="n"/>
      <c r="AP181" s="54" t="n"/>
      <c r="AQ181" s="54" t="n"/>
      <c r="AR181" s="54" t="n"/>
      <c r="AS181" s="54" t="n"/>
      <c r="AT181" s="54" t="n"/>
      <c r="AU181" s="54" t="n"/>
      <c r="AV181" s="54" t="n"/>
      <c r="AW181" s="54" t="n"/>
      <c r="AX181" s="54" t="n"/>
      <c r="AY181" s="54" t="n"/>
      <c r="AZ181" s="54" t="n"/>
      <c r="BA181" s="54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4" t="n"/>
      <c r="K182" s="54" t="n"/>
      <c r="L182" s="54" t="n"/>
      <c r="M182" s="54" t="n"/>
      <c r="N182" s="54" t="n"/>
      <c r="O182" s="54" t="n"/>
      <c r="P182" s="54" t="n"/>
      <c r="Q182" s="54" t="n"/>
      <c r="R182" s="54" t="n"/>
      <c r="S182" s="54" t="n"/>
      <c r="T182" s="54" t="n"/>
      <c r="U182" s="54" t="n"/>
      <c r="V182" s="54" t="n"/>
      <c r="W182" s="54" t="n"/>
      <c r="X182" s="54" t="n"/>
      <c r="Y182" s="54" t="n"/>
      <c r="Z182" s="54" t="n"/>
      <c r="AA182" s="54" t="n"/>
      <c r="AB182" s="54" t="n"/>
      <c r="AC182" s="54" t="n"/>
      <c r="AD182" s="54" t="n"/>
      <c r="AE182" s="54" t="n"/>
      <c r="AF182" s="54" t="n"/>
      <c r="AG182" s="54" t="n"/>
      <c r="AH182" s="54" t="n"/>
      <c r="AI182" s="54" t="n"/>
      <c r="AJ182" s="54" t="n"/>
      <c r="AK182" s="54" t="n"/>
      <c r="AL182" s="54" t="n"/>
      <c r="AM182" s="54" t="n"/>
      <c r="AN182" s="54" t="n"/>
      <c r="AO182" s="54" t="n"/>
      <c r="AP182" s="54" t="n"/>
      <c r="AQ182" s="54" t="n"/>
      <c r="AR182" s="54" t="n"/>
      <c r="AS182" s="54" t="n"/>
      <c r="AT182" s="54" t="n"/>
      <c r="AU182" s="54" t="n"/>
      <c r="AV182" s="54" t="n"/>
      <c r="AW182" s="54" t="n"/>
      <c r="AX182" s="54" t="n"/>
      <c r="AY182" s="54" t="n"/>
      <c r="AZ182" s="54" t="n"/>
      <c r="BA182" s="54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4" t="n"/>
      <c r="K183" s="54" t="n"/>
      <c r="L183" s="54" t="n"/>
      <c r="M183" s="54" t="n"/>
      <c r="N183" s="54" t="n"/>
      <c r="O183" s="54" t="n"/>
      <c r="P183" s="54" t="n"/>
      <c r="Q183" s="54" t="n"/>
      <c r="R183" s="54" t="n"/>
      <c r="S183" s="54" t="n"/>
      <c r="T183" s="54" t="n"/>
      <c r="U183" s="54" t="n"/>
      <c r="V183" s="54" t="n"/>
      <c r="W183" s="54" t="n"/>
      <c r="X183" s="54" t="n"/>
      <c r="Y183" s="54" t="n"/>
      <c r="Z183" s="54" t="n"/>
      <c r="AA183" s="54" t="n"/>
      <c r="AB183" s="54" t="n"/>
      <c r="AC183" s="54" t="n"/>
      <c r="AD183" s="54" t="n"/>
      <c r="AE183" s="54" t="n"/>
      <c r="AF183" s="54" t="n"/>
      <c r="AG183" s="54" t="n"/>
      <c r="AH183" s="54" t="n"/>
      <c r="AI183" s="54" t="n"/>
      <c r="AJ183" s="54" t="n"/>
      <c r="AK183" s="54" t="n"/>
      <c r="AL183" s="54" t="n"/>
      <c r="AM183" s="54" t="n"/>
      <c r="AN183" s="54" t="n"/>
      <c r="AO183" s="54" t="n"/>
      <c r="AP183" s="54" t="n"/>
      <c r="AQ183" s="54" t="n"/>
      <c r="AR183" s="54" t="n"/>
      <c r="AS183" s="54" t="n"/>
      <c r="AT183" s="54" t="n"/>
      <c r="AU183" s="54" t="n"/>
      <c r="AV183" s="54" t="n"/>
      <c r="AW183" s="54" t="n"/>
      <c r="AX183" s="54" t="n"/>
      <c r="AY183" s="54" t="n"/>
      <c r="AZ183" s="54" t="n"/>
      <c r="BA183" s="54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4" t="n"/>
      <c r="K184" s="54" t="n"/>
      <c r="L184" s="54" t="n"/>
      <c r="M184" s="54" t="n"/>
      <c r="N184" s="54" t="n"/>
      <c r="O184" s="54" t="n"/>
      <c r="P184" s="54" t="n"/>
      <c r="Q184" s="54" t="n"/>
      <c r="R184" s="54" t="n"/>
      <c r="S184" s="54" t="n"/>
      <c r="T184" s="54" t="n"/>
      <c r="U184" s="54" t="n"/>
      <c r="V184" s="54" t="n"/>
      <c r="W184" s="54" t="n"/>
      <c r="X184" s="54" t="n"/>
      <c r="Y184" s="54" t="n"/>
      <c r="Z184" s="54" t="n"/>
      <c r="AA184" s="54" t="n"/>
      <c r="AB184" s="54" t="n"/>
      <c r="AC184" s="54" t="n"/>
      <c r="AD184" s="54" t="n"/>
      <c r="AE184" s="54" t="n"/>
      <c r="AF184" s="54" t="n"/>
      <c r="AG184" s="54" t="n"/>
      <c r="AH184" s="54" t="n"/>
      <c r="AI184" s="54" t="n"/>
      <c r="AJ184" s="54" t="n"/>
      <c r="AK184" s="54" t="n"/>
      <c r="AL184" s="54" t="n"/>
      <c r="AM184" s="54" t="n"/>
      <c r="AN184" s="54" t="n"/>
      <c r="AO184" s="54" t="n"/>
      <c r="AP184" s="54" t="n"/>
      <c r="AQ184" s="54" t="n"/>
      <c r="AR184" s="54" t="n"/>
      <c r="AS184" s="54" t="n"/>
      <c r="AT184" s="54" t="n"/>
      <c r="AU184" s="54" t="n"/>
      <c r="AV184" s="54" t="n"/>
      <c r="AW184" s="54" t="n"/>
      <c r="AX184" s="54" t="n"/>
      <c r="AY184" s="54" t="n"/>
      <c r="AZ184" s="54" t="n"/>
      <c r="BA184" s="54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4" t="n"/>
      <c r="K185" s="54" t="n"/>
      <c r="L185" s="54" t="n"/>
      <c r="M185" s="54" t="n"/>
      <c r="N185" s="54" t="n"/>
      <c r="O185" s="54" t="n"/>
      <c r="P185" s="54" t="n"/>
      <c r="Q185" s="54" t="n"/>
      <c r="R185" s="54" t="n"/>
      <c r="S185" s="54" t="n"/>
      <c r="T185" s="54" t="n"/>
      <c r="U185" s="54" t="n"/>
      <c r="V185" s="54" t="n"/>
      <c r="W185" s="54" t="n"/>
      <c r="X185" s="54" t="n"/>
      <c r="Y185" s="54" t="n"/>
      <c r="Z185" s="54" t="n"/>
      <c r="AA185" s="54" t="n"/>
      <c r="AB185" s="54" t="n"/>
      <c r="AC185" s="54" t="n"/>
      <c r="AD185" s="54" t="n"/>
      <c r="AE185" s="54" t="n"/>
      <c r="AF185" s="54" t="n"/>
      <c r="AG185" s="54" t="n"/>
      <c r="AH185" s="54" t="n"/>
      <c r="AI185" s="54" t="n"/>
      <c r="AJ185" s="54" t="n"/>
      <c r="AK185" s="54" t="n"/>
      <c r="AL185" s="54" t="n"/>
      <c r="AM185" s="54" t="n"/>
      <c r="AN185" s="54" t="n"/>
      <c r="AO185" s="54" t="n"/>
      <c r="AP185" s="54" t="n"/>
      <c r="AQ185" s="54" t="n"/>
      <c r="AR185" s="54" t="n"/>
      <c r="AS185" s="54" t="n"/>
      <c r="AT185" s="54" t="n"/>
      <c r="AU185" s="54" t="n"/>
      <c r="AV185" s="54" t="n"/>
      <c r="AW185" s="54" t="n"/>
      <c r="AX185" s="54" t="n"/>
      <c r="AY185" s="54" t="n"/>
      <c r="AZ185" s="54" t="n"/>
      <c r="BA185" s="54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4" t="n"/>
      <c r="K186" s="54" t="n"/>
      <c r="L186" s="54" t="n"/>
      <c r="M186" s="54" t="n"/>
      <c r="N186" s="54" t="n"/>
      <c r="O186" s="54" t="n"/>
      <c r="P186" s="54" t="n"/>
      <c r="Q186" s="54" t="n"/>
      <c r="R186" s="54" t="n"/>
      <c r="S186" s="54" t="n"/>
      <c r="T186" s="54" t="n"/>
      <c r="U186" s="54" t="n"/>
      <c r="V186" s="54" t="n"/>
      <c r="W186" s="54" t="n"/>
      <c r="X186" s="54" t="n"/>
      <c r="Y186" s="54" t="n"/>
      <c r="Z186" s="54" t="n"/>
      <c r="AA186" s="54" t="n"/>
      <c r="AB186" s="54" t="n"/>
      <c r="AC186" s="54" t="n"/>
      <c r="AD186" s="54" t="n"/>
      <c r="AE186" s="54" t="n"/>
      <c r="AF186" s="54" t="n"/>
      <c r="AG186" s="54" t="n"/>
      <c r="AH186" s="54" t="n"/>
      <c r="AI186" s="54" t="n"/>
      <c r="AJ186" s="54" t="n"/>
      <c r="AK186" s="54" t="n"/>
      <c r="AL186" s="54" t="n"/>
      <c r="AM186" s="54" t="n"/>
      <c r="AN186" s="54" t="n"/>
      <c r="AO186" s="54" t="n"/>
      <c r="AP186" s="54" t="n"/>
      <c r="AQ186" s="54" t="n"/>
      <c r="AR186" s="54" t="n"/>
      <c r="AS186" s="54" t="n"/>
      <c r="AT186" s="54" t="n"/>
      <c r="AU186" s="54" t="n"/>
      <c r="AV186" s="54" t="n"/>
      <c r="AW186" s="54" t="n"/>
      <c r="AX186" s="54" t="n"/>
      <c r="AY186" s="54" t="n"/>
      <c r="AZ186" s="54" t="n"/>
      <c r="BA186" s="54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4" t="n"/>
      <c r="L187" s="54" t="n"/>
      <c r="M187" s="54" t="n"/>
      <c r="N187" s="54" t="n"/>
      <c r="O187" s="54" t="n"/>
      <c r="P187" s="54" t="n"/>
      <c r="Q187" s="54" t="n"/>
      <c r="R187" s="54" t="n"/>
      <c r="S187" s="54" t="n"/>
      <c r="T187" s="54" t="n"/>
      <c r="U187" s="54" t="n"/>
      <c r="V187" s="54" t="n"/>
      <c r="W187" s="54" t="n"/>
      <c r="X187" s="54" t="n"/>
      <c r="Y187" s="54" t="n"/>
      <c r="Z187" s="54" t="n"/>
      <c r="AA187" s="54" t="n"/>
      <c r="AB187" s="54" t="n"/>
      <c r="AC187" s="54" t="n"/>
      <c r="AD187" s="54" t="n"/>
      <c r="AE187" s="54" t="n"/>
      <c r="AF187" s="54" t="n"/>
      <c r="AG187" s="54" t="n"/>
      <c r="AH187" s="54" t="n"/>
      <c r="AI187" s="54" t="n"/>
      <c r="AJ187" s="54" t="n"/>
      <c r="AK187" s="54" t="n"/>
      <c r="AL187" s="54" t="n"/>
      <c r="AM187" s="54" t="n"/>
      <c r="AN187" s="54" t="n"/>
      <c r="AO187" s="54" t="n"/>
      <c r="AP187" s="54" t="n"/>
      <c r="AQ187" s="54" t="n"/>
      <c r="AR187" s="54" t="n"/>
      <c r="AS187" s="54" t="n"/>
      <c r="AT187" s="54" t="n"/>
      <c r="AU187" s="54" t="n"/>
      <c r="AV187" s="54" t="n"/>
      <c r="AW187" s="54" t="n"/>
      <c r="AX187" s="54" t="n"/>
      <c r="AY187" s="54" t="n"/>
      <c r="AZ187" s="54" t="n"/>
      <c r="BA187" s="54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4" t="n"/>
      <c r="K188" s="54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54" t="n"/>
      <c r="W188" s="54" t="n"/>
      <c r="X188" s="54" t="n"/>
      <c r="Y188" s="54" t="n"/>
      <c r="Z188" s="54" t="n"/>
      <c r="AA188" s="54" t="n"/>
      <c r="AB188" s="54" t="n"/>
      <c r="AC188" s="54" t="n"/>
      <c r="AD188" s="54" t="n"/>
      <c r="AE188" s="54" t="n"/>
      <c r="AF188" s="54" t="n"/>
      <c r="AG188" s="54" t="n"/>
      <c r="AH188" s="54" t="n"/>
      <c r="AI188" s="54" t="n"/>
      <c r="AJ188" s="54" t="n"/>
      <c r="AK188" s="54" t="n"/>
      <c r="AL188" s="54" t="n"/>
      <c r="AM188" s="54" t="n"/>
      <c r="AN188" s="54" t="n"/>
      <c r="AO188" s="54" t="n"/>
      <c r="AP188" s="54" t="n"/>
      <c r="AQ188" s="54" t="n"/>
      <c r="AR188" s="54" t="n"/>
      <c r="AS188" s="54" t="n"/>
      <c r="AT188" s="54" t="n"/>
      <c r="AU188" s="54" t="n"/>
      <c r="AV188" s="54" t="n"/>
      <c r="AW188" s="54" t="n"/>
      <c r="AX188" s="54" t="n"/>
      <c r="AY188" s="54" t="n"/>
      <c r="AZ188" s="54" t="n"/>
      <c r="BA188" s="54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4" t="n"/>
      <c r="K189" s="54" t="n"/>
      <c r="L189" s="54" t="n"/>
      <c r="M189" s="54" t="n"/>
      <c r="N189" s="54" t="n"/>
      <c r="O189" s="54" t="n"/>
      <c r="P189" s="54" t="n"/>
      <c r="Q189" s="54" t="n"/>
      <c r="R189" s="54" t="n"/>
      <c r="S189" s="54" t="n"/>
      <c r="T189" s="54" t="n"/>
      <c r="U189" s="54" t="n"/>
      <c r="V189" s="54" t="n"/>
      <c r="W189" s="54" t="n"/>
      <c r="X189" s="54" t="n"/>
      <c r="Y189" s="54" t="n"/>
      <c r="Z189" s="54" t="n"/>
      <c r="AA189" s="54" t="n"/>
      <c r="AB189" s="54" t="n"/>
      <c r="AC189" s="54" t="n"/>
      <c r="AD189" s="54" t="n"/>
      <c r="AE189" s="54" t="n"/>
      <c r="AF189" s="54" t="n"/>
      <c r="AG189" s="54" t="n"/>
      <c r="AH189" s="54" t="n"/>
      <c r="AI189" s="54" t="n"/>
      <c r="AJ189" s="54" t="n"/>
      <c r="AK189" s="54" t="n"/>
      <c r="AL189" s="54" t="n"/>
      <c r="AM189" s="54" t="n"/>
      <c r="AN189" s="54" t="n"/>
      <c r="AO189" s="54" t="n"/>
      <c r="AP189" s="54" t="n"/>
      <c r="AQ189" s="54" t="n"/>
      <c r="AR189" s="54" t="n"/>
      <c r="AS189" s="54" t="n"/>
      <c r="AT189" s="54" t="n"/>
      <c r="AU189" s="54" t="n"/>
      <c r="AV189" s="54" t="n"/>
      <c r="AW189" s="54" t="n"/>
      <c r="AX189" s="54" t="n"/>
      <c r="AY189" s="54" t="n"/>
      <c r="AZ189" s="54" t="n"/>
      <c r="BA189" s="54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4" t="n"/>
      <c r="K190" s="54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54" t="n"/>
      <c r="V190" s="54" t="n"/>
      <c r="W190" s="54" t="n"/>
      <c r="X190" s="54" t="n"/>
      <c r="Y190" s="54" t="n"/>
      <c r="Z190" s="54" t="n"/>
      <c r="AA190" s="54" t="n"/>
      <c r="AB190" s="54" t="n"/>
      <c r="AC190" s="54" t="n"/>
      <c r="AD190" s="54" t="n"/>
      <c r="AE190" s="54" t="n"/>
      <c r="AF190" s="54" t="n"/>
      <c r="AG190" s="54" t="n"/>
      <c r="AH190" s="54" t="n"/>
      <c r="AI190" s="54" t="n"/>
      <c r="AJ190" s="54" t="n"/>
      <c r="AK190" s="54" t="n"/>
      <c r="AL190" s="54" t="n"/>
      <c r="AM190" s="54" t="n"/>
      <c r="AN190" s="54" t="n"/>
      <c r="AO190" s="54" t="n"/>
      <c r="AP190" s="54" t="n"/>
      <c r="AQ190" s="54" t="n"/>
      <c r="AR190" s="54" t="n"/>
      <c r="AS190" s="54" t="n"/>
      <c r="AT190" s="54" t="n"/>
      <c r="AU190" s="54" t="n"/>
      <c r="AV190" s="54" t="n"/>
      <c r="AW190" s="54" t="n"/>
      <c r="AX190" s="54" t="n"/>
      <c r="AY190" s="54" t="n"/>
      <c r="AZ190" s="54" t="n"/>
      <c r="BA190" s="54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4" t="n"/>
      <c r="K191" s="54" t="n"/>
      <c r="L191" s="54" t="n"/>
      <c r="M191" s="54" t="n"/>
      <c r="N191" s="54" t="n"/>
      <c r="O191" s="54" t="n"/>
      <c r="P191" s="54" t="n"/>
      <c r="Q191" s="54" t="n"/>
      <c r="R191" s="54" t="n"/>
      <c r="S191" s="54" t="n"/>
      <c r="T191" s="54" t="n"/>
      <c r="U191" s="54" t="n"/>
      <c r="V191" s="54" t="n"/>
      <c r="W191" s="54" t="n"/>
      <c r="X191" s="54" t="n"/>
      <c r="Y191" s="54" t="n"/>
      <c r="Z191" s="54" t="n"/>
      <c r="AA191" s="54" t="n"/>
      <c r="AB191" s="54" t="n"/>
      <c r="AC191" s="54" t="n"/>
      <c r="AD191" s="54" t="n"/>
      <c r="AE191" s="54" t="n"/>
      <c r="AF191" s="54" t="n"/>
      <c r="AG191" s="54" t="n"/>
      <c r="AH191" s="54" t="n"/>
      <c r="AI191" s="54" t="n"/>
      <c r="AJ191" s="54" t="n"/>
      <c r="AK191" s="54" t="n"/>
      <c r="AL191" s="54" t="n"/>
      <c r="AM191" s="54" t="n"/>
      <c r="AN191" s="54" t="n"/>
      <c r="AO191" s="54" t="n"/>
      <c r="AP191" s="54" t="n"/>
      <c r="AQ191" s="54" t="n"/>
      <c r="AR191" s="54" t="n"/>
      <c r="AS191" s="54" t="n"/>
      <c r="AT191" s="54" t="n"/>
      <c r="AU191" s="54" t="n"/>
      <c r="AV191" s="54" t="n"/>
      <c r="AW191" s="54" t="n"/>
      <c r="AX191" s="54" t="n"/>
      <c r="AY191" s="54" t="n"/>
      <c r="AZ191" s="54" t="n"/>
      <c r="BA191" s="54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4" t="n"/>
      <c r="K192" s="54" t="n"/>
      <c r="L192" s="54" t="n"/>
      <c r="M192" s="54" t="n"/>
      <c r="N192" s="54" t="n"/>
      <c r="O192" s="54" t="n"/>
      <c r="P192" s="54" t="n"/>
      <c r="Q192" s="54" t="n"/>
      <c r="R192" s="54" t="n"/>
      <c r="S192" s="54" t="n"/>
      <c r="T192" s="54" t="n"/>
      <c r="U192" s="54" t="n"/>
      <c r="V192" s="54" t="n"/>
      <c r="W192" s="54" t="n"/>
      <c r="X192" s="54" t="n"/>
      <c r="Y192" s="54" t="n"/>
      <c r="Z192" s="54" t="n"/>
      <c r="AA192" s="54" t="n"/>
      <c r="AB192" s="54" t="n"/>
      <c r="AC192" s="54" t="n"/>
      <c r="AD192" s="54" t="n"/>
      <c r="AE192" s="54" t="n"/>
      <c r="AF192" s="54" t="n"/>
      <c r="AG192" s="54" t="n"/>
      <c r="AH192" s="54" t="n"/>
      <c r="AI192" s="54" t="n"/>
      <c r="AJ192" s="54" t="n"/>
      <c r="AK192" s="54" t="n"/>
      <c r="AL192" s="54" t="n"/>
      <c r="AM192" s="54" t="n"/>
      <c r="AN192" s="54" t="n"/>
      <c r="AO192" s="54" t="n"/>
      <c r="AP192" s="54" t="n"/>
      <c r="AQ192" s="54" t="n"/>
      <c r="AR192" s="54" t="n"/>
      <c r="AS192" s="54" t="n"/>
      <c r="AT192" s="54" t="n"/>
      <c r="AU192" s="54" t="n"/>
      <c r="AV192" s="54" t="n"/>
      <c r="AW192" s="54" t="n"/>
      <c r="AX192" s="54" t="n"/>
      <c r="AY192" s="54" t="n"/>
      <c r="AZ192" s="54" t="n"/>
      <c r="BA192" s="54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4" t="n"/>
      <c r="K193" s="54" t="n"/>
      <c r="L193" s="54" t="n"/>
      <c r="M193" s="54" t="n"/>
      <c r="N193" s="54" t="n"/>
      <c r="O193" s="54" t="n"/>
      <c r="P193" s="54" t="n"/>
      <c r="Q193" s="54" t="n"/>
      <c r="R193" s="54" t="n"/>
      <c r="S193" s="54" t="n"/>
      <c r="T193" s="54" t="n"/>
      <c r="U193" s="54" t="n"/>
      <c r="V193" s="54" t="n"/>
      <c r="W193" s="54" t="n"/>
      <c r="X193" s="54" t="n"/>
      <c r="Y193" s="54" t="n"/>
      <c r="Z193" s="54" t="n"/>
      <c r="AA193" s="54" t="n"/>
      <c r="AB193" s="54" t="n"/>
      <c r="AC193" s="54" t="n"/>
      <c r="AD193" s="54" t="n"/>
      <c r="AE193" s="54" t="n"/>
      <c r="AF193" s="54" t="n"/>
      <c r="AG193" s="54" t="n"/>
      <c r="AH193" s="54" t="n"/>
      <c r="AI193" s="54" t="n"/>
      <c r="AJ193" s="54" t="n"/>
      <c r="AK193" s="54" t="n"/>
      <c r="AL193" s="54" t="n"/>
      <c r="AM193" s="54" t="n"/>
      <c r="AN193" s="54" t="n"/>
      <c r="AO193" s="54" t="n"/>
      <c r="AP193" s="54" t="n"/>
      <c r="AQ193" s="54" t="n"/>
      <c r="AR193" s="54" t="n"/>
      <c r="AS193" s="54" t="n"/>
      <c r="AT193" s="54" t="n"/>
      <c r="AU193" s="54" t="n"/>
      <c r="AV193" s="54" t="n"/>
      <c r="AW193" s="54" t="n"/>
      <c r="AX193" s="54" t="n"/>
      <c r="AY193" s="54" t="n"/>
      <c r="AZ193" s="54" t="n"/>
      <c r="BA193" s="54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4" t="n"/>
      <c r="K194" s="54" t="n"/>
      <c r="L194" s="54" t="n"/>
      <c r="M194" s="54" t="n"/>
      <c r="N194" s="54" t="n"/>
      <c r="O194" s="54" t="n"/>
      <c r="P194" s="54" t="n"/>
      <c r="Q194" s="54" t="n"/>
      <c r="R194" s="54" t="n"/>
      <c r="S194" s="54" t="n"/>
      <c r="T194" s="54" t="n"/>
      <c r="U194" s="54" t="n"/>
      <c r="V194" s="54" t="n"/>
      <c r="W194" s="54" t="n"/>
      <c r="X194" s="54" t="n"/>
      <c r="Y194" s="54" t="n"/>
      <c r="Z194" s="54" t="n"/>
      <c r="AA194" s="54" t="n"/>
      <c r="AB194" s="54" t="n"/>
      <c r="AC194" s="54" t="n"/>
      <c r="AD194" s="54" t="n"/>
      <c r="AE194" s="54" t="n"/>
      <c r="AF194" s="54" t="n"/>
      <c r="AG194" s="54" t="n"/>
      <c r="AH194" s="54" t="n"/>
      <c r="AI194" s="54" t="n"/>
      <c r="AJ194" s="54" t="n"/>
      <c r="AK194" s="54" t="n"/>
      <c r="AL194" s="54" t="n"/>
      <c r="AM194" s="54" t="n"/>
      <c r="AN194" s="54" t="n"/>
      <c r="AO194" s="54" t="n"/>
      <c r="AP194" s="54" t="n"/>
      <c r="AQ194" s="54" t="n"/>
      <c r="AR194" s="54" t="n"/>
      <c r="AS194" s="54" t="n"/>
      <c r="AT194" s="54" t="n"/>
      <c r="AU194" s="54" t="n"/>
      <c r="AV194" s="54" t="n"/>
      <c r="AW194" s="54" t="n"/>
      <c r="AX194" s="54" t="n"/>
      <c r="AY194" s="54" t="n"/>
      <c r="AZ194" s="54" t="n"/>
      <c r="BA194" s="54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4" t="n"/>
      <c r="L195" s="54" t="n"/>
      <c r="M195" s="54" t="n"/>
      <c r="N195" s="54" t="n"/>
      <c r="O195" s="54" t="n"/>
      <c r="P195" s="54" t="n"/>
      <c r="Q195" s="54" t="n"/>
      <c r="R195" s="54" t="n"/>
      <c r="S195" s="54" t="n"/>
      <c r="T195" s="54" t="n"/>
      <c r="U195" s="54" t="n"/>
      <c r="V195" s="54" t="n"/>
      <c r="W195" s="54" t="n"/>
      <c r="X195" s="54" t="n"/>
      <c r="Y195" s="54" t="n"/>
      <c r="Z195" s="54" t="n"/>
      <c r="AA195" s="54" t="n"/>
      <c r="AB195" s="54" t="n"/>
      <c r="AC195" s="54" t="n"/>
      <c r="AD195" s="54" t="n"/>
      <c r="AE195" s="54" t="n"/>
      <c r="AF195" s="54" t="n"/>
      <c r="AG195" s="54" t="n"/>
      <c r="AH195" s="54" t="n"/>
      <c r="AI195" s="54" t="n"/>
      <c r="AJ195" s="54" t="n"/>
      <c r="AK195" s="54" t="n"/>
      <c r="AL195" s="54" t="n"/>
      <c r="AM195" s="54" t="n"/>
      <c r="AN195" s="54" t="n"/>
      <c r="AO195" s="54" t="n"/>
      <c r="AP195" s="54" t="n"/>
      <c r="AQ195" s="54" t="n"/>
      <c r="AR195" s="54" t="n"/>
      <c r="AS195" s="54" t="n"/>
      <c r="AT195" s="54" t="n"/>
      <c r="AU195" s="54" t="n"/>
      <c r="AV195" s="54" t="n"/>
      <c r="AW195" s="54" t="n"/>
      <c r="AX195" s="54" t="n"/>
      <c r="AY195" s="54" t="n"/>
      <c r="AZ195" s="54" t="n"/>
      <c r="BA195" s="54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4" t="n"/>
      <c r="K196" s="54" t="n"/>
      <c r="L196" s="54" t="n"/>
      <c r="M196" s="54" t="n"/>
      <c r="N196" s="54" t="n"/>
      <c r="O196" s="54" t="n"/>
      <c r="P196" s="54" t="n"/>
      <c r="Q196" s="54" t="n"/>
      <c r="R196" s="54" t="n"/>
      <c r="S196" s="54" t="n"/>
      <c r="T196" s="54" t="n"/>
      <c r="U196" s="54" t="n"/>
      <c r="V196" s="54" t="n"/>
      <c r="W196" s="54" t="n"/>
      <c r="X196" s="54" t="n"/>
      <c r="Y196" s="54" t="n"/>
      <c r="Z196" s="54" t="n"/>
      <c r="AA196" s="54" t="n"/>
      <c r="AB196" s="54" t="n"/>
      <c r="AC196" s="54" t="n"/>
      <c r="AD196" s="54" t="n"/>
      <c r="AE196" s="54" t="n"/>
      <c r="AF196" s="54" t="n"/>
      <c r="AG196" s="54" t="n"/>
      <c r="AH196" s="54" t="n"/>
      <c r="AI196" s="54" t="n"/>
      <c r="AJ196" s="54" t="n"/>
      <c r="AK196" s="54" t="n"/>
      <c r="AL196" s="54" t="n"/>
      <c r="AM196" s="54" t="n"/>
      <c r="AN196" s="54" t="n"/>
      <c r="AO196" s="54" t="n"/>
      <c r="AP196" s="54" t="n"/>
      <c r="AQ196" s="54" t="n"/>
      <c r="AR196" s="54" t="n"/>
      <c r="AS196" s="54" t="n"/>
      <c r="AT196" s="54" t="n"/>
      <c r="AU196" s="54" t="n"/>
      <c r="AV196" s="54" t="n"/>
      <c r="AW196" s="54" t="n"/>
      <c r="AX196" s="54" t="n"/>
      <c r="AY196" s="54" t="n"/>
      <c r="AZ196" s="54" t="n"/>
      <c r="BA196" s="54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4" t="n"/>
      <c r="K197" s="54" t="n"/>
      <c r="L197" s="54" t="n"/>
      <c r="M197" s="54" t="n"/>
      <c r="N197" s="54" t="n"/>
      <c r="O197" s="54" t="n"/>
      <c r="P197" s="54" t="n"/>
      <c r="Q197" s="54" t="n"/>
      <c r="R197" s="54" t="n"/>
      <c r="S197" s="54" t="n"/>
      <c r="T197" s="54" t="n"/>
      <c r="U197" s="54" t="n"/>
      <c r="V197" s="54" t="n"/>
      <c r="W197" s="54" t="n"/>
      <c r="X197" s="54" t="n"/>
      <c r="Y197" s="54" t="n"/>
      <c r="Z197" s="54" t="n"/>
      <c r="AA197" s="54" t="n"/>
      <c r="AB197" s="54" t="n"/>
      <c r="AC197" s="54" t="n"/>
      <c r="AD197" s="54" t="n"/>
      <c r="AE197" s="54" t="n"/>
      <c r="AF197" s="54" t="n"/>
      <c r="AG197" s="54" t="n"/>
      <c r="AH197" s="54" t="n"/>
      <c r="AI197" s="54" t="n"/>
      <c r="AJ197" s="54" t="n"/>
      <c r="AK197" s="54" t="n"/>
      <c r="AL197" s="54" t="n"/>
      <c r="AM197" s="54" t="n"/>
      <c r="AN197" s="54" t="n"/>
      <c r="AO197" s="54" t="n"/>
      <c r="AP197" s="54" t="n"/>
      <c r="AQ197" s="54" t="n"/>
      <c r="AR197" s="54" t="n"/>
      <c r="AS197" s="54" t="n"/>
      <c r="AT197" s="54" t="n"/>
      <c r="AU197" s="54" t="n"/>
      <c r="AV197" s="54" t="n"/>
      <c r="AW197" s="54" t="n"/>
      <c r="AX197" s="54" t="n"/>
      <c r="AY197" s="54" t="n"/>
      <c r="AZ197" s="54" t="n"/>
      <c r="BA197" s="54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4" t="n"/>
      <c r="K198" s="54" t="n"/>
      <c r="L198" s="54" t="n"/>
      <c r="M198" s="54" t="n"/>
      <c r="N198" s="54" t="n"/>
      <c r="O198" s="54" t="n"/>
      <c r="P198" s="54" t="n"/>
      <c r="Q198" s="54" t="n"/>
      <c r="R198" s="54" t="n"/>
      <c r="S198" s="54" t="n"/>
      <c r="T198" s="54" t="n"/>
      <c r="U198" s="54" t="n"/>
      <c r="V198" s="54" t="n"/>
      <c r="W198" s="54" t="n"/>
      <c r="X198" s="54" t="n"/>
      <c r="Y198" s="54" t="n"/>
      <c r="Z198" s="54" t="n"/>
      <c r="AA198" s="54" t="n"/>
      <c r="AB198" s="54" t="n"/>
      <c r="AC198" s="54" t="n"/>
      <c r="AD198" s="54" t="n"/>
      <c r="AE198" s="54" t="n"/>
      <c r="AF198" s="54" t="n"/>
      <c r="AG198" s="54" t="n"/>
      <c r="AH198" s="54" t="n"/>
      <c r="AI198" s="54" t="n"/>
      <c r="AJ198" s="54" t="n"/>
      <c r="AK198" s="54" t="n"/>
      <c r="AL198" s="54" t="n"/>
      <c r="AM198" s="54" t="n"/>
      <c r="AN198" s="54" t="n"/>
      <c r="AO198" s="54" t="n"/>
      <c r="AP198" s="54" t="n"/>
      <c r="AQ198" s="54" t="n"/>
      <c r="AR198" s="54" t="n"/>
      <c r="AS198" s="54" t="n"/>
      <c r="AT198" s="54" t="n"/>
      <c r="AU198" s="54" t="n"/>
      <c r="AV198" s="54" t="n"/>
      <c r="AW198" s="54" t="n"/>
      <c r="AX198" s="54" t="n"/>
      <c r="AY198" s="54" t="n"/>
      <c r="AZ198" s="54" t="n"/>
      <c r="BA198" s="54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4" t="n"/>
      <c r="K199" s="54" t="n"/>
      <c r="L199" s="54" t="n"/>
      <c r="M199" s="54" t="n"/>
      <c r="N199" s="54" t="n"/>
      <c r="O199" s="54" t="n"/>
      <c r="P199" s="54" t="n"/>
      <c r="Q199" s="54" t="n"/>
      <c r="R199" s="54" t="n"/>
      <c r="S199" s="54" t="n"/>
      <c r="T199" s="54" t="n"/>
      <c r="U199" s="54" t="n"/>
      <c r="V199" s="54" t="n"/>
      <c r="W199" s="54" t="n"/>
      <c r="X199" s="54" t="n"/>
      <c r="Y199" s="54" t="n"/>
      <c r="Z199" s="54" t="n"/>
      <c r="AA199" s="54" t="n"/>
      <c r="AB199" s="54" t="n"/>
      <c r="AC199" s="54" t="n"/>
      <c r="AD199" s="54" t="n"/>
      <c r="AE199" s="54" t="n"/>
      <c r="AF199" s="54" t="n"/>
      <c r="AG199" s="54" t="n"/>
      <c r="AH199" s="54" t="n"/>
      <c r="AI199" s="54" t="n"/>
      <c r="AJ199" s="54" t="n"/>
      <c r="AK199" s="54" t="n"/>
      <c r="AL199" s="54" t="n"/>
      <c r="AM199" s="54" t="n"/>
      <c r="AN199" s="54" t="n"/>
      <c r="AO199" s="54" t="n"/>
      <c r="AP199" s="54" t="n"/>
      <c r="AQ199" s="54" t="n"/>
      <c r="AR199" s="54" t="n"/>
      <c r="AS199" s="54" t="n"/>
      <c r="AT199" s="54" t="n"/>
      <c r="AU199" s="54" t="n"/>
      <c r="AV199" s="54" t="n"/>
      <c r="AW199" s="54" t="n"/>
      <c r="AX199" s="54" t="n"/>
      <c r="AY199" s="54" t="n"/>
      <c r="AZ199" s="54" t="n"/>
      <c r="BA199" s="54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4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54" t="n"/>
      <c r="W200" s="54" t="n"/>
      <c r="X200" s="54" t="n"/>
      <c r="Y200" s="54" t="n"/>
      <c r="Z200" s="54" t="n"/>
      <c r="AA200" s="54" t="n"/>
      <c r="AB200" s="54" t="n"/>
      <c r="AC200" s="54" t="n"/>
      <c r="AD200" s="54" t="n"/>
      <c r="AE200" s="54" t="n"/>
      <c r="AF200" s="54" t="n"/>
      <c r="AG200" s="54" t="n"/>
      <c r="AH200" s="54" t="n"/>
      <c r="AI200" s="54" t="n"/>
      <c r="AJ200" s="54" t="n"/>
      <c r="AK200" s="54" t="n"/>
      <c r="AL200" s="54" t="n"/>
      <c r="AM200" s="54" t="n"/>
      <c r="AN200" s="54" t="n"/>
      <c r="AO200" s="54" t="n"/>
      <c r="AP200" s="54" t="n"/>
      <c r="AQ200" s="54" t="n"/>
      <c r="AR200" s="54" t="n"/>
      <c r="AS200" s="54" t="n"/>
      <c r="AT200" s="54" t="n"/>
      <c r="AU200" s="54" t="n"/>
      <c r="AV200" s="54" t="n"/>
      <c r="AW200" s="54" t="n"/>
      <c r="AX200" s="54" t="n"/>
      <c r="AY200" s="54" t="n"/>
      <c r="AZ200" s="54" t="n"/>
      <c r="BA200" s="54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4" t="n"/>
      <c r="J201" s="54" t="n"/>
      <c r="K201" s="54" t="n"/>
      <c r="L201" s="54" t="n"/>
      <c r="M201" s="54" t="n"/>
      <c r="N201" s="54" t="n"/>
      <c r="O201" s="54" t="n"/>
      <c r="P201" s="54" t="n"/>
      <c r="Q201" s="54" t="n"/>
      <c r="R201" s="54" t="n"/>
      <c r="S201" s="54" t="n"/>
      <c r="T201" s="54" t="n"/>
      <c r="U201" s="54" t="n"/>
      <c r="V201" s="54" t="n"/>
      <c r="W201" s="54" t="n"/>
      <c r="X201" s="54" t="n"/>
      <c r="Y201" s="54" t="n"/>
      <c r="Z201" s="54" t="n"/>
      <c r="AA201" s="54" t="n"/>
      <c r="AB201" s="54" t="n"/>
      <c r="AC201" s="54" t="n"/>
      <c r="AD201" s="54" t="n"/>
      <c r="AE201" s="54" t="n"/>
      <c r="AF201" s="54" t="n"/>
      <c r="AG201" s="54" t="n"/>
      <c r="AH201" s="54" t="n"/>
      <c r="AI201" s="54" t="n"/>
      <c r="AJ201" s="54" t="n"/>
      <c r="AK201" s="54" t="n"/>
      <c r="AL201" s="54" t="n"/>
      <c r="AM201" s="54" t="n"/>
      <c r="AN201" s="54" t="n"/>
      <c r="AO201" s="54" t="n"/>
      <c r="AP201" s="54" t="n"/>
      <c r="AQ201" s="54" t="n"/>
      <c r="AR201" s="54" t="n"/>
      <c r="AS201" s="54" t="n"/>
      <c r="AT201" s="54" t="n"/>
      <c r="AU201" s="54" t="n"/>
      <c r="AV201" s="54" t="n"/>
      <c r="AW201" s="54" t="n"/>
      <c r="AX201" s="54" t="n"/>
      <c r="AY201" s="54" t="n"/>
      <c r="AZ201" s="54" t="n"/>
      <c r="BA201" s="54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4" t="n"/>
      <c r="J202" s="54" t="n"/>
      <c r="K202" s="54" t="n"/>
      <c r="L202" s="54" t="n"/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54" t="n"/>
      <c r="W202" s="54" t="n"/>
      <c r="X202" s="54" t="n"/>
      <c r="Y202" s="54" t="n"/>
      <c r="Z202" s="54" t="n"/>
      <c r="AA202" s="54" t="n"/>
      <c r="AB202" s="54" t="n"/>
      <c r="AC202" s="54" t="n"/>
      <c r="AD202" s="54" t="n"/>
      <c r="AE202" s="54" t="n"/>
      <c r="AF202" s="54" t="n"/>
      <c r="AG202" s="54" t="n"/>
      <c r="AH202" s="54" t="n"/>
      <c r="AI202" s="54" t="n"/>
      <c r="AJ202" s="54" t="n"/>
      <c r="AK202" s="54" t="n"/>
      <c r="AL202" s="54" t="n"/>
      <c r="AM202" s="54" t="n"/>
      <c r="AN202" s="54" t="n"/>
      <c r="AO202" s="54" t="n"/>
      <c r="AP202" s="54" t="n"/>
      <c r="AQ202" s="54" t="n"/>
      <c r="AR202" s="54" t="n"/>
      <c r="AS202" s="54" t="n"/>
      <c r="AT202" s="54" t="n"/>
      <c r="AU202" s="54" t="n"/>
      <c r="AV202" s="54" t="n"/>
      <c r="AW202" s="54" t="n"/>
      <c r="AX202" s="54" t="n"/>
      <c r="AY202" s="54" t="n"/>
      <c r="AZ202" s="54" t="n"/>
      <c r="BA202" s="54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4" t="n"/>
      <c r="J203" s="54" t="n"/>
      <c r="K203" s="54" t="n"/>
      <c r="L203" s="54" t="n"/>
      <c r="M203" s="54" t="n"/>
      <c r="N203" s="54" t="n"/>
      <c r="O203" s="54" t="n"/>
      <c r="P203" s="54" t="n"/>
      <c r="Q203" s="54" t="n"/>
      <c r="R203" s="54" t="n"/>
      <c r="S203" s="54" t="n"/>
      <c r="T203" s="54" t="n"/>
      <c r="U203" s="54" t="n"/>
      <c r="V203" s="54" t="n"/>
      <c r="W203" s="54" t="n"/>
      <c r="X203" s="54" t="n"/>
      <c r="Y203" s="54" t="n"/>
      <c r="Z203" s="54" t="n"/>
      <c r="AA203" s="54" t="n"/>
      <c r="AB203" s="54" t="n"/>
      <c r="AC203" s="54" t="n"/>
      <c r="AD203" s="54" t="n"/>
      <c r="AE203" s="54" t="n"/>
      <c r="AF203" s="54" t="n"/>
      <c r="AG203" s="54" t="n"/>
      <c r="AH203" s="54" t="n"/>
      <c r="AI203" s="54" t="n"/>
      <c r="AJ203" s="54" t="n"/>
      <c r="AK203" s="54" t="n"/>
      <c r="AL203" s="54" t="n"/>
      <c r="AM203" s="54" t="n"/>
      <c r="AN203" s="54" t="n"/>
      <c r="AO203" s="54" t="n"/>
      <c r="AP203" s="54" t="n"/>
      <c r="AQ203" s="54" t="n"/>
      <c r="AR203" s="54" t="n"/>
      <c r="AS203" s="54" t="n"/>
      <c r="AT203" s="54" t="n"/>
      <c r="AU203" s="54" t="n"/>
      <c r="AV203" s="54" t="n"/>
      <c r="AW203" s="54" t="n"/>
      <c r="AX203" s="54" t="n"/>
      <c r="AY203" s="54" t="n"/>
      <c r="AZ203" s="54" t="n"/>
      <c r="BA203" s="54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4" t="n"/>
      <c r="J204" s="54" t="n"/>
      <c r="K204" s="54" t="n"/>
      <c r="L204" s="54" t="n"/>
      <c r="M204" s="54" t="n"/>
      <c r="N204" s="54" t="n"/>
      <c r="O204" s="54" t="n"/>
      <c r="P204" s="54" t="n"/>
      <c r="Q204" s="54" t="n"/>
      <c r="R204" s="54" t="n"/>
      <c r="S204" s="54" t="n"/>
      <c r="T204" s="54" t="n"/>
      <c r="U204" s="54" t="n"/>
      <c r="V204" s="54" t="n"/>
      <c r="W204" s="54" t="n"/>
      <c r="X204" s="54" t="n"/>
      <c r="Y204" s="54" t="n"/>
      <c r="Z204" s="54" t="n"/>
      <c r="AA204" s="54" t="n"/>
      <c r="AB204" s="54" t="n"/>
      <c r="AC204" s="54" t="n"/>
      <c r="AD204" s="54" t="n"/>
      <c r="AE204" s="54" t="n"/>
      <c r="AF204" s="54" t="n"/>
      <c r="AG204" s="54" t="n"/>
      <c r="AH204" s="54" t="n"/>
      <c r="AI204" s="54" t="n"/>
      <c r="AJ204" s="54" t="n"/>
      <c r="AK204" s="54" t="n"/>
      <c r="AL204" s="54" t="n"/>
      <c r="AM204" s="54" t="n"/>
      <c r="AN204" s="54" t="n"/>
      <c r="AO204" s="54" t="n"/>
      <c r="AP204" s="54" t="n"/>
      <c r="AQ204" s="54" t="n"/>
      <c r="AR204" s="54" t="n"/>
      <c r="AS204" s="54" t="n"/>
      <c r="AT204" s="54" t="n"/>
      <c r="AU204" s="54" t="n"/>
      <c r="AV204" s="54" t="n"/>
      <c r="AW204" s="54" t="n"/>
      <c r="AX204" s="54" t="n"/>
      <c r="AY204" s="54" t="n"/>
      <c r="AZ204" s="54" t="n"/>
      <c r="BA204" s="54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  <c r="K205" s="54" t="n"/>
      <c r="L205" s="54" t="n"/>
      <c r="M205" s="54" t="n"/>
      <c r="N205" s="54" t="n"/>
      <c r="O205" s="54" t="n"/>
      <c r="P205" s="54" t="n"/>
      <c r="Q205" s="54" t="n"/>
      <c r="R205" s="54" t="n"/>
      <c r="S205" s="54" t="n"/>
      <c r="T205" s="54" t="n"/>
      <c r="U205" s="54" t="n"/>
      <c r="V205" s="54" t="n"/>
      <c r="W205" s="54" t="n"/>
      <c r="X205" s="54" t="n"/>
      <c r="Y205" s="54" t="n"/>
      <c r="Z205" s="54" t="n"/>
      <c r="AA205" s="54" t="n"/>
      <c r="AB205" s="54" t="n"/>
      <c r="AC205" s="54" t="n"/>
      <c r="AD205" s="54" t="n"/>
      <c r="AE205" s="54" t="n"/>
      <c r="AF205" s="54" t="n"/>
      <c r="AG205" s="54" t="n"/>
      <c r="AH205" s="54" t="n"/>
      <c r="AI205" s="54" t="n"/>
      <c r="AJ205" s="54" t="n"/>
      <c r="AK205" s="54" t="n"/>
      <c r="AL205" s="54" t="n"/>
      <c r="AM205" s="54" t="n"/>
      <c r="AN205" s="54" t="n"/>
      <c r="AO205" s="54" t="n"/>
      <c r="AP205" s="54" t="n"/>
      <c r="AQ205" s="54" t="n"/>
      <c r="AR205" s="54" t="n"/>
      <c r="AS205" s="54" t="n"/>
      <c r="AT205" s="54" t="n"/>
      <c r="AU205" s="54" t="n"/>
      <c r="AV205" s="54" t="n"/>
      <c r="AW205" s="54" t="n"/>
      <c r="AX205" s="54" t="n"/>
      <c r="AY205" s="54" t="n"/>
      <c r="AZ205" s="54" t="n"/>
      <c r="BA205" s="54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4" t="n"/>
      <c r="J206" s="54" t="n"/>
      <c r="K206" s="54" t="n"/>
      <c r="L206" s="54" t="n"/>
      <c r="M206" s="54" t="n"/>
      <c r="N206" s="54" t="n"/>
      <c r="O206" s="54" t="n"/>
      <c r="P206" s="54" t="n"/>
      <c r="Q206" s="54" t="n"/>
      <c r="R206" s="54" t="n"/>
      <c r="S206" s="54" t="n"/>
      <c r="T206" s="54" t="n"/>
      <c r="U206" s="54" t="n"/>
      <c r="V206" s="54" t="n"/>
      <c r="W206" s="54" t="n"/>
      <c r="X206" s="54" t="n"/>
      <c r="Y206" s="54" t="n"/>
      <c r="Z206" s="54" t="n"/>
      <c r="AA206" s="54" t="n"/>
      <c r="AB206" s="54" t="n"/>
      <c r="AC206" s="54" t="n"/>
      <c r="AD206" s="54" t="n"/>
      <c r="AE206" s="54" t="n"/>
      <c r="AF206" s="54" t="n"/>
      <c r="AG206" s="54" t="n"/>
      <c r="AH206" s="54" t="n"/>
      <c r="AI206" s="54" t="n"/>
      <c r="AJ206" s="54" t="n"/>
      <c r="AK206" s="54" t="n"/>
      <c r="AL206" s="54" t="n"/>
      <c r="AM206" s="54" t="n"/>
      <c r="AN206" s="54" t="n"/>
      <c r="AO206" s="54" t="n"/>
      <c r="AP206" s="54" t="n"/>
      <c r="AQ206" s="54" t="n"/>
      <c r="AR206" s="54" t="n"/>
      <c r="AS206" s="54" t="n"/>
      <c r="AT206" s="54" t="n"/>
      <c r="AU206" s="54" t="n"/>
      <c r="AV206" s="54" t="n"/>
      <c r="AW206" s="54" t="n"/>
      <c r="AX206" s="54" t="n"/>
      <c r="AY206" s="54" t="n"/>
      <c r="AZ206" s="54" t="n"/>
      <c r="BA206" s="54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4" t="n"/>
      <c r="J207" s="54" t="n"/>
      <c r="K207" s="54" t="n"/>
      <c r="L207" s="54" t="n"/>
      <c r="M207" s="54" t="n"/>
      <c r="N207" s="54" t="n"/>
      <c r="O207" s="54" t="n"/>
      <c r="P207" s="54" t="n"/>
      <c r="Q207" s="54" t="n"/>
      <c r="R207" s="54" t="n"/>
      <c r="S207" s="54" t="n"/>
      <c r="T207" s="54" t="n"/>
      <c r="U207" s="54" t="n"/>
      <c r="V207" s="54" t="n"/>
      <c r="W207" s="54" t="n"/>
      <c r="X207" s="54" t="n"/>
      <c r="Y207" s="54" t="n"/>
      <c r="Z207" s="54" t="n"/>
      <c r="AA207" s="54" t="n"/>
      <c r="AB207" s="54" t="n"/>
      <c r="AC207" s="54" t="n"/>
      <c r="AD207" s="54" t="n"/>
      <c r="AE207" s="54" t="n"/>
      <c r="AF207" s="54" t="n"/>
      <c r="AG207" s="54" t="n"/>
      <c r="AH207" s="54" t="n"/>
      <c r="AI207" s="54" t="n"/>
      <c r="AJ207" s="54" t="n"/>
      <c r="AK207" s="54" t="n"/>
      <c r="AL207" s="54" t="n"/>
      <c r="AM207" s="54" t="n"/>
      <c r="AN207" s="54" t="n"/>
      <c r="AO207" s="54" t="n"/>
      <c r="AP207" s="54" t="n"/>
      <c r="AQ207" s="54" t="n"/>
      <c r="AR207" s="54" t="n"/>
      <c r="AS207" s="54" t="n"/>
      <c r="AT207" s="54" t="n"/>
      <c r="AU207" s="54" t="n"/>
      <c r="AV207" s="54" t="n"/>
      <c r="AW207" s="54" t="n"/>
      <c r="AX207" s="54" t="n"/>
      <c r="AY207" s="54" t="n"/>
      <c r="AZ207" s="54" t="n"/>
      <c r="BA207" s="54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4" t="n"/>
      <c r="J208" s="54" t="n"/>
      <c r="K208" s="54" t="n"/>
      <c r="L208" s="54" t="n"/>
      <c r="M208" s="54" t="n"/>
      <c r="N208" s="54" t="n"/>
      <c r="O208" s="54" t="n"/>
      <c r="P208" s="54" t="n"/>
      <c r="Q208" s="54" t="n"/>
      <c r="R208" s="54" t="n"/>
      <c r="S208" s="54" t="n"/>
      <c r="T208" s="54" t="n"/>
      <c r="U208" s="54" t="n"/>
      <c r="V208" s="54" t="n"/>
      <c r="W208" s="54" t="n"/>
      <c r="X208" s="54" t="n"/>
      <c r="Y208" s="54" t="n"/>
      <c r="Z208" s="54" t="n"/>
      <c r="AA208" s="54" t="n"/>
      <c r="AB208" s="54" t="n"/>
      <c r="AC208" s="54" t="n"/>
      <c r="AD208" s="54" t="n"/>
      <c r="AE208" s="54" t="n"/>
      <c r="AF208" s="54" t="n"/>
      <c r="AG208" s="54" t="n"/>
      <c r="AH208" s="54" t="n"/>
      <c r="AI208" s="54" t="n"/>
      <c r="AJ208" s="54" t="n"/>
      <c r="AK208" s="54" t="n"/>
      <c r="AL208" s="54" t="n"/>
      <c r="AM208" s="54" t="n"/>
      <c r="AN208" s="54" t="n"/>
      <c r="AO208" s="54" t="n"/>
      <c r="AP208" s="54" t="n"/>
      <c r="AQ208" s="54" t="n"/>
      <c r="AR208" s="54" t="n"/>
      <c r="AS208" s="54" t="n"/>
      <c r="AT208" s="54" t="n"/>
      <c r="AU208" s="54" t="n"/>
      <c r="AV208" s="54" t="n"/>
      <c r="AW208" s="54" t="n"/>
      <c r="AX208" s="54" t="n"/>
      <c r="AY208" s="54" t="n"/>
      <c r="AZ208" s="54" t="n"/>
      <c r="BA208" s="54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4" t="n"/>
      <c r="L209" s="54" t="n"/>
      <c r="M209" s="54" t="n"/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54" t="n"/>
      <c r="W209" s="54" t="n"/>
      <c r="X209" s="54" t="n"/>
      <c r="Y209" s="54" t="n"/>
      <c r="Z209" s="54" t="n"/>
      <c r="AA209" s="54" t="n"/>
      <c r="AB209" s="54" t="n"/>
      <c r="AC209" s="54" t="n"/>
      <c r="AD209" s="54" t="n"/>
      <c r="AE209" s="54" t="n"/>
      <c r="AF209" s="54" t="n"/>
      <c r="AG209" s="54" t="n"/>
      <c r="AH209" s="54" t="n"/>
      <c r="AI209" s="54" t="n"/>
      <c r="AJ209" s="54" t="n"/>
      <c r="AK209" s="54" t="n"/>
      <c r="AL209" s="54" t="n"/>
      <c r="AM209" s="54" t="n"/>
      <c r="AN209" s="54" t="n"/>
      <c r="AO209" s="54" t="n"/>
      <c r="AP209" s="54" t="n"/>
      <c r="AQ209" s="54" t="n"/>
      <c r="AR209" s="54" t="n"/>
      <c r="AS209" s="54" t="n"/>
      <c r="AT209" s="54" t="n"/>
      <c r="AU209" s="54" t="n"/>
      <c r="AV209" s="54" t="n"/>
      <c r="AW209" s="54" t="n"/>
      <c r="AX209" s="54" t="n"/>
      <c r="AY209" s="54" t="n"/>
      <c r="AZ209" s="54" t="n"/>
      <c r="BA209" s="54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54" t="n"/>
      <c r="Y210" s="54" t="n"/>
      <c r="Z210" s="54" t="n"/>
      <c r="AA210" s="54" t="n"/>
      <c r="AB210" s="54" t="n"/>
      <c r="AC210" s="54" t="n"/>
      <c r="AD210" s="54" t="n"/>
      <c r="AE210" s="54" t="n"/>
      <c r="AF210" s="54" t="n"/>
      <c r="AG210" s="54" t="n"/>
      <c r="AH210" s="54" t="n"/>
      <c r="AI210" s="54" t="n"/>
      <c r="AJ210" s="54" t="n"/>
      <c r="AK210" s="54" t="n"/>
      <c r="AL210" s="54" t="n"/>
      <c r="AM210" s="54" t="n"/>
      <c r="AN210" s="54" t="n"/>
      <c r="AO210" s="54" t="n"/>
      <c r="AP210" s="54" t="n"/>
      <c r="AQ210" s="54" t="n"/>
      <c r="AR210" s="54" t="n"/>
      <c r="AS210" s="54" t="n"/>
      <c r="AT210" s="54" t="n"/>
      <c r="AU210" s="54" t="n"/>
      <c r="AV210" s="54" t="n"/>
      <c r="AW210" s="54" t="n"/>
      <c r="AX210" s="54" t="n"/>
      <c r="AY210" s="54" t="n"/>
      <c r="AZ210" s="54" t="n"/>
      <c r="BA210" s="54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54" t="n"/>
      <c r="W211" s="54" t="n"/>
      <c r="X211" s="54" t="n"/>
      <c r="Y211" s="54" t="n"/>
      <c r="Z211" s="54" t="n"/>
      <c r="AA211" s="54" t="n"/>
      <c r="AB211" s="54" t="n"/>
      <c r="AC211" s="54" t="n"/>
      <c r="AD211" s="54" t="n"/>
      <c r="AE211" s="54" t="n"/>
      <c r="AF211" s="54" t="n"/>
      <c r="AG211" s="54" t="n"/>
      <c r="AH211" s="54" t="n"/>
      <c r="AI211" s="54" t="n"/>
      <c r="AJ211" s="54" t="n"/>
      <c r="AK211" s="54" t="n"/>
      <c r="AL211" s="54" t="n"/>
      <c r="AM211" s="54" t="n"/>
      <c r="AN211" s="54" t="n"/>
      <c r="AO211" s="54" t="n"/>
      <c r="AP211" s="54" t="n"/>
      <c r="AQ211" s="54" t="n"/>
      <c r="AR211" s="54" t="n"/>
      <c r="AS211" s="54" t="n"/>
      <c r="AT211" s="54" t="n"/>
      <c r="AU211" s="54" t="n"/>
      <c r="AV211" s="54" t="n"/>
      <c r="AW211" s="54" t="n"/>
      <c r="AX211" s="54" t="n"/>
      <c r="AY211" s="54" t="n"/>
      <c r="AZ211" s="54" t="n"/>
      <c r="BA211" s="54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54" t="n"/>
      <c r="Y212" s="54" t="n"/>
      <c r="Z212" s="54" t="n"/>
      <c r="AA212" s="54" t="n"/>
      <c r="AB212" s="54" t="n"/>
      <c r="AC212" s="54" t="n"/>
      <c r="AD212" s="54" t="n"/>
      <c r="AE212" s="54" t="n"/>
      <c r="AF212" s="54" t="n"/>
      <c r="AG212" s="54" t="n"/>
      <c r="AH212" s="54" t="n"/>
      <c r="AI212" s="54" t="n"/>
      <c r="AJ212" s="54" t="n"/>
      <c r="AK212" s="54" t="n"/>
      <c r="AL212" s="54" t="n"/>
      <c r="AM212" s="54" t="n"/>
      <c r="AN212" s="54" t="n"/>
      <c r="AO212" s="54" t="n"/>
      <c r="AP212" s="54" t="n"/>
      <c r="AQ212" s="54" t="n"/>
      <c r="AR212" s="54" t="n"/>
      <c r="AS212" s="54" t="n"/>
      <c r="AT212" s="54" t="n"/>
      <c r="AU212" s="54" t="n"/>
      <c r="AV212" s="54" t="n"/>
      <c r="AW212" s="54" t="n"/>
      <c r="AX212" s="54" t="n"/>
      <c r="AY212" s="54" t="n"/>
      <c r="AZ212" s="54" t="n"/>
      <c r="BA212" s="54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  <c r="AA213" s="54" t="n"/>
      <c r="AB213" s="54" t="n"/>
      <c r="AC213" s="54" t="n"/>
      <c r="AD213" s="54" t="n"/>
      <c r="AE213" s="54" t="n"/>
      <c r="AF213" s="54" t="n"/>
      <c r="AG213" s="54" t="n"/>
      <c r="AH213" s="54" t="n"/>
      <c r="AI213" s="54" t="n"/>
      <c r="AJ213" s="54" t="n"/>
      <c r="AK213" s="54" t="n"/>
      <c r="AL213" s="54" t="n"/>
      <c r="AM213" s="54" t="n"/>
      <c r="AN213" s="54" t="n"/>
      <c r="AO213" s="54" t="n"/>
      <c r="AP213" s="54" t="n"/>
      <c r="AQ213" s="54" t="n"/>
      <c r="AR213" s="54" t="n"/>
      <c r="AS213" s="54" t="n"/>
      <c r="AT213" s="54" t="n"/>
      <c r="AU213" s="54" t="n"/>
      <c r="AV213" s="54" t="n"/>
      <c r="AW213" s="54" t="n"/>
      <c r="AX213" s="54" t="n"/>
      <c r="AY213" s="54" t="n"/>
      <c r="AZ213" s="54" t="n"/>
      <c r="BA213" s="54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  <c r="AA214" s="54" t="n"/>
      <c r="AB214" s="54" t="n"/>
      <c r="AC214" s="54" t="n"/>
      <c r="AD214" s="54" t="n"/>
      <c r="AE214" s="54" t="n"/>
      <c r="AF214" s="54" t="n"/>
      <c r="AG214" s="54" t="n"/>
      <c r="AH214" s="54" t="n"/>
      <c r="AI214" s="54" t="n"/>
      <c r="AJ214" s="54" t="n"/>
      <c r="AK214" s="54" t="n"/>
      <c r="AL214" s="54" t="n"/>
      <c r="AM214" s="54" t="n"/>
      <c r="AN214" s="54" t="n"/>
      <c r="AO214" s="54" t="n"/>
      <c r="AP214" s="54" t="n"/>
      <c r="AQ214" s="54" t="n"/>
      <c r="AR214" s="54" t="n"/>
      <c r="AS214" s="54" t="n"/>
      <c r="AT214" s="54" t="n"/>
      <c r="AU214" s="54" t="n"/>
      <c r="AV214" s="54" t="n"/>
      <c r="AW214" s="54" t="n"/>
      <c r="AX214" s="54" t="n"/>
      <c r="AY214" s="54" t="n"/>
      <c r="AZ214" s="54" t="n"/>
      <c r="BA214" s="54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  <c r="AA215" s="54" t="n"/>
      <c r="AB215" s="54" t="n"/>
      <c r="AC215" s="54" t="n"/>
      <c r="AD215" s="54" t="n"/>
      <c r="AE215" s="54" t="n"/>
      <c r="AF215" s="54" t="n"/>
      <c r="AG215" s="54" t="n"/>
      <c r="AH215" s="54" t="n"/>
      <c r="AI215" s="54" t="n"/>
      <c r="AJ215" s="54" t="n"/>
      <c r="AK215" s="54" t="n"/>
      <c r="AL215" s="54" t="n"/>
      <c r="AM215" s="54" t="n"/>
      <c r="AN215" s="54" t="n"/>
      <c r="AO215" s="54" t="n"/>
      <c r="AP215" s="54" t="n"/>
      <c r="AQ215" s="54" t="n"/>
      <c r="AR215" s="54" t="n"/>
      <c r="AS215" s="54" t="n"/>
      <c r="AT215" s="54" t="n"/>
      <c r="AU215" s="54" t="n"/>
      <c r="AV215" s="54" t="n"/>
      <c r="AW215" s="54" t="n"/>
      <c r="AX215" s="54" t="n"/>
      <c r="AY215" s="54" t="n"/>
      <c r="AZ215" s="54" t="n"/>
      <c r="BA215" s="54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  <c r="AA216" s="54" t="n"/>
      <c r="AB216" s="54" t="n"/>
      <c r="AC216" s="54" t="n"/>
      <c r="AD216" s="54" t="n"/>
      <c r="AE216" s="54" t="n"/>
      <c r="AF216" s="54" t="n"/>
      <c r="AG216" s="54" t="n"/>
      <c r="AH216" s="54" t="n"/>
      <c r="AI216" s="54" t="n"/>
      <c r="AJ216" s="54" t="n"/>
      <c r="AK216" s="54" t="n"/>
      <c r="AL216" s="54" t="n"/>
      <c r="AM216" s="54" t="n"/>
      <c r="AN216" s="54" t="n"/>
      <c r="AO216" s="54" t="n"/>
      <c r="AP216" s="54" t="n"/>
      <c r="AQ216" s="54" t="n"/>
      <c r="AR216" s="54" t="n"/>
      <c r="AS216" s="54" t="n"/>
      <c r="AT216" s="54" t="n"/>
      <c r="AU216" s="54" t="n"/>
      <c r="AV216" s="54" t="n"/>
      <c r="AW216" s="54" t="n"/>
      <c r="AX216" s="54" t="n"/>
      <c r="AY216" s="54" t="n"/>
      <c r="AZ216" s="54" t="n"/>
      <c r="BA216" s="54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  <c r="AA217" s="54" t="n"/>
      <c r="AB217" s="54" t="n"/>
      <c r="AC217" s="54" t="n"/>
      <c r="AD217" s="54" t="n"/>
      <c r="AE217" s="54" t="n"/>
      <c r="AF217" s="54" t="n"/>
      <c r="AG217" s="54" t="n"/>
      <c r="AH217" s="54" t="n"/>
      <c r="AI217" s="54" t="n"/>
      <c r="AJ217" s="54" t="n"/>
      <c r="AK217" s="54" t="n"/>
      <c r="AL217" s="54" t="n"/>
      <c r="AM217" s="54" t="n"/>
      <c r="AN217" s="54" t="n"/>
      <c r="AO217" s="54" t="n"/>
      <c r="AP217" s="54" t="n"/>
      <c r="AQ217" s="54" t="n"/>
      <c r="AR217" s="54" t="n"/>
      <c r="AS217" s="54" t="n"/>
      <c r="AT217" s="54" t="n"/>
      <c r="AU217" s="54" t="n"/>
      <c r="AV217" s="54" t="n"/>
      <c r="AW217" s="54" t="n"/>
      <c r="AX217" s="54" t="n"/>
      <c r="AY217" s="54" t="n"/>
      <c r="AZ217" s="54" t="n"/>
      <c r="BA217" s="54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  <c r="AA218" s="54" t="n"/>
      <c r="AB218" s="54" t="n"/>
      <c r="AC218" s="54" t="n"/>
      <c r="AD218" s="54" t="n"/>
      <c r="AE218" s="54" t="n"/>
      <c r="AF218" s="54" t="n"/>
      <c r="AG218" s="54" t="n"/>
      <c r="AH218" s="54" t="n"/>
      <c r="AI218" s="54" t="n"/>
      <c r="AJ218" s="54" t="n"/>
      <c r="AK218" s="54" t="n"/>
      <c r="AL218" s="54" t="n"/>
      <c r="AM218" s="54" t="n"/>
      <c r="AN218" s="54" t="n"/>
      <c r="AO218" s="54" t="n"/>
      <c r="AP218" s="54" t="n"/>
      <c r="AQ218" s="54" t="n"/>
      <c r="AR218" s="54" t="n"/>
      <c r="AS218" s="54" t="n"/>
      <c r="AT218" s="54" t="n"/>
      <c r="AU218" s="54" t="n"/>
      <c r="AV218" s="54" t="n"/>
      <c r="AW218" s="54" t="n"/>
      <c r="AX218" s="54" t="n"/>
      <c r="AY218" s="54" t="n"/>
      <c r="AZ218" s="54" t="n"/>
      <c r="BA218" s="54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  <c r="AA219" s="54" t="n"/>
      <c r="AB219" s="54" t="n"/>
      <c r="AC219" s="54" t="n"/>
      <c r="AD219" s="54" t="n"/>
      <c r="AE219" s="54" t="n"/>
      <c r="AF219" s="54" t="n"/>
      <c r="AG219" s="54" t="n"/>
      <c r="AH219" s="54" t="n"/>
      <c r="AI219" s="54" t="n"/>
      <c r="AJ219" s="54" t="n"/>
      <c r="AK219" s="54" t="n"/>
      <c r="AL219" s="54" t="n"/>
      <c r="AM219" s="54" t="n"/>
      <c r="AN219" s="54" t="n"/>
      <c r="AO219" s="54" t="n"/>
      <c r="AP219" s="54" t="n"/>
      <c r="AQ219" s="54" t="n"/>
      <c r="AR219" s="54" t="n"/>
      <c r="AS219" s="54" t="n"/>
      <c r="AT219" s="54" t="n"/>
      <c r="AU219" s="54" t="n"/>
      <c r="AV219" s="54" t="n"/>
      <c r="AW219" s="54" t="n"/>
      <c r="AX219" s="54" t="n"/>
      <c r="AY219" s="54" t="n"/>
      <c r="AZ219" s="54" t="n"/>
      <c r="BA219" s="54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  <c r="AA220" s="54" t="n"/>
      <c r="AB220" s="54" t="n"/>
      <c r="AC220" s="54" t="n"/>
      <c r="AD220" s="54" t="n"/>
      <c r="AE220" s="54" t="n"/>
      <c r="AF220" s="54" t="n"/>
      <c r="AG220" s="54" t="n"/>
      <c r="AH220" s="54" t="n"/>
      <c r="AI220" s="54" t="n"/>
      <c r="AJ220" s="54" t="n"/>
      <c r="AK220" s="54" t="n"/>
      <c r="AL220" s="54" t="n"/>
      <c r="AM220" s="54" t="n"/>
      <c r="AN220" s="54" t="n"/>
      <c r="AO220" s="54" t="n"/>
      <c r="AP220" s="54" t="n"/>
      <c r="AQ220" s="54" t="n"/>
      <c r="AR220" s="54" t="n"/>
      <c r="AS220" s="54" t="n"/>
      <c r="AT220" s="54" t="n"/>
      <c r="AU220" s="54" t="n"/>
      <c r="AV220" s="54" t="n"/>
      <c r="AW220" s="54" t="n"/>
      <c r="AX220" s="54" t="n"/>
      <c r="AY220" s="54" t="n"/>
      <c r="AZ220" s="54" t="n"/>
      <c r="BA220" s="54" t="n"/>
    </row>
    <row r="221" ht="15.75" customHeight="1" s="153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  <c r="AA221" s="54" t="n"/>
      <c r="AB221" s="54" t="n"/>
      <c r="AC221" s="54" t="n"/>
      <c r="AD221" s="54" t="n"/>
      <c r="AE221" s="54" t="n"/>
      <c r="AF221" s="54" t="n"/>
      <c r="AG221" s="54" t="n"/>
      <c r="AH221" s="54" t="n"/>
      <c r="AI221" s="54" t="n"/>
      <c r="AJ221" s="54" t="n"/>
      <c r="AK221" s="54" t="n"/>
      <c r="AL221" s="54" t="n"/>
      <c r="AM221" s="54" t="n"/>
      <c r="AN221" s="54" t="n"/>
      <c r="AO221" s="54" t="n"/>
      <c r="AP221" s="54" t="n"/>
      <c r="AQ221" s="54" t="n"/>
      <c r="AR221" s="54" t="n"/>
      <c r="AS221" s="54" t="n"/>
      <c r="AT221" s="54" t="n"/>
      <c r="AU221" s="54" t="n"/>
      <c r="AV221" s="54" t="n"/>
      <c r="AW221" s="54" t="n"/>
      <c r="AX221" s="54" t="n"/>
      <c r="AY221" s="54" t="n"/>
      <c r="AZ221" s="54" t="n"/>
      <c r="BA221" s="54" t="n"/>
    </row>
    <row r="222" ht="15.75" customHeight="1" s="153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  <c r="AA222" s="54" t="n"/>
      <c r="AB222" s="54" t="n"/>
      <c r="AC222" s="54" t="n"/>
      <c r="AD222" s="54" t="n"/>
      <c r="AE222" s="54" t="n"/>
      <c r="AF222" s="54" t="n"/>
      <c r="AG222" s="54" t="n"/>
      <c r="AH222" s="54" t="n"/>
      <c r="AI222" s="54" t="n"/>
      <c r="AJ222" s="54" t="n"/>
      <c r="AK222" s="54" t="n"/>
      <c r="AL222" s="54" t="n"/>
      <c r="AM222" s="54" t="n"/>
      <c r="AN222" s="54" t="n"/>
      <c r="AO222" s="54" t="n"/>
      <c r="AP222" s="54" t="n"/>
      <c r="AQ222" s="54" t="n"/>
      <c r="AR222" s="54" t="n"/>
      <c r="AS222" s="54" t="n"/>
      <c r="AT222" s="54" t="n"/>
      <c r="AU222" s="54" t="n"/>
      <c r="AV222" s="54" t="n"/>
      <c r="AW222" s="54" t="n"/>
      <c r="AX222" s="54" t="n"/>
      <c r="AY222" s="54" t="n"/>
      <c r="AZ222" s="54" t="n"/>
      <c r="BA222" s="54" t="n"/>
    </row>
    <row r="223" ht="15.75" customHeight="1" s="153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  <c r="AA223" s="54" t="n"/>
      <c r="AB223" s="54" t="n"/>
      <c r="AC223" s="54" t="n"/>
      <c r="AD223" s="54" t="n"/>
      <c r="AE223" s="54" t="n"/>
      <c r="AF223" s="54" t="n"/>
      <c r="AG223" s="54" t="n"/>
      <c r="AH223" s="54" t="n"/>
      <c r="AI223" s="54" t="n"/>
      <c r="AJ223" s="54" t="n"/>
      <c r="AK223" s="54" t="n"/>
      <c r="AL223" s="54" t="n"/>
      <c r="AM223" s="54" t="n"/>
      <c r="AN223" s="54" t="n"/>
      <c r="AO223" s="54" t="n"/>
      <c r="AP223" s="54" t="n"/>
      <c r="AQ223" s="54" t="n"/>
      <c r="AR223" s="54" t="n"/>
      <c r="AS223" s="54" t="n"/>
      <c r="AT223" s="54" t="n"/>
      <c r="AU223" s="54" t="n"/>
      <c r="AV223" s="54" t="n"/>
      <c r="AW223" s="54" t="n"/>
      <c r="AX223" s="54" t="n"/>
      <c r="AY223" s="54" t="n"/>
      <c r="AZ223" s="54" t="n"/>
      <c r="BA223" s="54" t="n"/>
    </row>
    <row r="224" ht="15.75" customHeight="1" s="153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  <c r="AA224" s="54" t="n"/>
      <c r="AB224" s="54" t="n"/>
      <c r="AC224" s="54" t="n"/>
      <c r="AD224" s="54" t="n"/>
      <c r="AE224" s="54" t="n"/>
      <c r="AF224" s="54" t="n"/>
      <c r="AG224" s="54" t="n"/>
      <c r="AH224" s="54" t="n"/>
      <c r="AI224" s="54" t="n"/>
      <c r="AJ224" s="54" t="n"/>
      <c r="AK224" s="54" t="n"/>
      <c r="AL224" s="54" t="n"/>
      <c r="AM224" s="54" t="n"/>
      <c r="AN224" s="54" t="n"/>
      <c r="AO224" s="54" t="n"/>
      <c r="AP224" s="54" t="n"/>
      <c r="AQ224" s="54" t="n"/>
      <c r="AR224" s="54" t="n"/>
      <c r="AS224" s="54" t="n"/>
      <c r="AT224" s="54" t="n"/>
      <c r="AU224" s="54" t="n"/>
      <c r="AV224" s="54" t="n"/>
      <c r="AW224" s="54" t="n"/>
      <c r="AX224" s="54" t="n"/>
      <c r="AY224" s="54" t="n"/>
      <c r="AZ224" s="54" t="n"/>
      <c r="BA224" s="54" t="n"/>
    </row>
    <row r="225" ht="15.75" customHeight="1" s="153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  <c r="AA225" s="54" t="n"/>
      <c r="AB225" s="54" t="n"/>
      <c r="AC225" s="54" t="n"/>
      <c r="AD225" s="54" t="n"/>
      <c r="AE225" s="54" t="n"/>
      <c r="AF225" s="54" t="n"/>
      <c r="AG225" s="54" t="n"/>
      <c r="AH225" s="54" t="n"/>
      <c r="AI225" s="54" t="n"/>
      <c r="AJ225" s="54" t="n"/>
      <c r="AK225" s="54" t="n"/>
      <c r="AL225" s="54" t="n"/>
      <c r="AM225" s="54" t="n"/>
      <c r="AN225" s="54" t="n"/>
      <c r="AO225" s="54" t="n"/>
      <c r="AP225" s="54" t="n"/>
      <c r="AQ225" s="54" t="n"/>
      <c r="AR225" s="54" t="n"/>
      <c r="AS225" s="54" t="n"/>
      <c r="AT225" s="54" t="n"/>
      <c r="AU225" s="54" t="n"/>
      <c r="AV225" s="54" t="n"/>
      <c r="AW225" s="54" t="n"/>
      <c r="AX225" s="54" t="n"/>
      <c r="AY225" s="54" t="n"/>
      <c r="AZ225" s="54" t="n"/>
      <c r="BA225" s="54" t="n"/>
    </row>
    <row r="226" ht="15.75" customHeight="1" s="153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  <c r="AA226" s="54" t="n"/>
      <c r="AB226" s="54" t="n"/>
      <c r="AC226" s="54" t="n"/>
      <c r="AD226" s="54" t="n"/>
      <c r="AE226" s="54" t="n"/>
      <c r="AF226" s="54" t="n"/>
      <c r="AG226" s="54" t="n"/>
      <c r="AH226" s="54" t="n"/>
      <c r="AI226" s="54" t="n"/>
      <c r="AJ226" s="54" t="n"/>
      <c r="AK226" s="54" t="n"/>
      <c r="AL226" s="54" t="n"/>
      <c r="AM226" s="54" t="n"/>
      <c r="AN226" s="54" t="n"/>
      <c r="AO226" s="54" t="n"/>
      <c r="AP226" s="54" t="n"/>
      <c r="AQ226" s="54" t="n"/>
      <c r="AR226" s="54" t="n"/>
      <c r="AS226" s="54" t="n"/>
      <c r="AT226" s="54" t="n"/>
      <c r="AU226" s="54" t="n"/>
      <c r="AV226" s="54" t="n"/>
      <c r="AW226" s="54" t="n"/>
      <c r="AX226" s="54" t="n"/>
      <c r="AY226" s="54" t="n"/>
      <c r="AZ226" s="54" t="n"/>
      <c r="BA226" s="54" t="n"/>
    </row>
    <row r="227" ht="15.75" customHeight="1" s="153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  <c r="AA227" s="54" t="n"/>
      <c r="AB227" s="54" t="n"/>
      <c r="AC227" s="54" t="n"/>
      <c r="AD227" s="54" t="n"/>
      <c r="AE227" s="54" t="n"/>
      <c r="AF227" s="54" t="n"/>
      <c r="AG227" s="54" t="n"/>
      <c r="AH227" s="54" t="n"/>
      <c r="AI227" s="54" t="n"/>
      <c r="AJ227" s="54" t="n"/>
      <c r="AK227" s="54" t="n"/>
      <c r="AL227" s="54" t="n"/>
      <c r="AM227" s="54" t="n"/>
      <c r="AN227" s="54" t="n"/>
      <c r="AO227" s="54" t="n"/>
      <c r="AP227" s="54" t="n"/>
      <c r="AQ227" s="54" t="n"/>
      <c r="AR227" s="54" t="n"/>
      <c r="AS227" s="54" t="n"/>
      <c r="AT227" s="54" t="n"/>
      <c r="AU227" s="54" t="n"/>
      <c r="AV227" s="54" t="n"/>
      <c r="AW227" s="54" t="n"/>
      <c r="AX227" s="54" t="n"/>
      <c r="AY227" s="54" t="n"/>
      <c r="AZ227" s="54" t="n"/>
      <c r="BA227" s="54" t="n"/>
    </row>
    <row r="228" ht="15.75" customHeight="1" s="153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  <c r="AA228" s="54" t="n"/>
      <c r="AB228" s="54" t="n"/>
      <c r="AC228" s="54" t="n"/>
      <c r="AD228" s="54" t="n"/>
      <c r="AE228" s="54" t="n"/>
      <c r="AF228" s="54" t="n"/>
      <c r="AG228" s="54" t="n"/>
      <c r="AH228" s="54" t="n"/>
      <c r="AI228" s="54" t="n"/>
      <c r="AJ228" s="54" t="n"/>
      <c r="AK228" s="54" t="n"/>
      <c r="AL228" s="54" t="n"/>
      <c r="AM228" s="54" t="n"/>
      <c r="AN228" s="54" t="n"/>
      <c r="AO228" s="54" t="n"/>
      <c r="AP228" s="54" t="n"/>
      <c r="AQ228" s="54" t="n"/>
      <c r="AR228" s="54" t="n"/>
      <c r="AS228" s="54" t="n"/>
      <c r="AT228" s="54" t="n"/>
      <c r="AU228" s="54" t="n"/>
      <c r="AV228" s="54" t="n"/>
      <c r="AW228" s="54" t="n"/>
      <c r="AX228" s="54" t="n"/>
      <c r="AY228" s="54" t="n"/>
      <c r="AZ228" s="54" t="n"/>
      <c r="BA228" s="54" t="n"/>
    </row>
    <row r="229" ht="15.75" customHeight="1" s="153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  <c r="AA229" s="54" t="n"/>
      <c r="AB229" s="54" t="n"/>
      <c r="AC229" s="54" t="n"/>
      <c r="AD229" s="54" t="n"/>
      <c r="AE229" s="54" t="n"/>
      <c r="AF229" s="54" t="n"/>
      <c r="AG229" s="54" t="n"/>
      <c r="AH229" s="54" t="n"/>
      <c r="AI229" s="54" t="n"/>
      <c r="AJ229" s="54" t="n"/>
      <c r="AK229" s="54" t="n"/>
      <c r="AL229" s="54" t="n"/>
      <c r="AM229" s="54" t="n"/>
      <c r="AN229" s="54" t="n"/>
      <c r="AO229" s="54" t="n"/>
      <c r="AP229" s="54" t="n"/>
      <c r="AQ229" s="54" t="n"/>
      <c r="AR229" s="54" t="n"/>
      <c r="AS229" s="54" t="n"/>
      <c r="AT229" s="54" t="n"/>
      <c r="AU229" s="54" t="n"/>
      <c r="AV229" s="54" t="n"/>
      <c r="AW229" s="54" t="n"/>
      <c r="AX229" s="54" t="n"/>
      <c r="AY229" s="54" t="n"/>
      <c r="AZ229" s="54" t="n"/>
      <c r="BA229" s="54" t="n"/>
    </row>
    <row r="230" ht="15.75" customHeight="1" s="153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  <c r="AA230" s="54" t="n"/>
      <c r="AB230" s="54" t="n"/>
      <c r="AC230" s="54" t="n"/>
      <c r="AD230" s="54" t="n"/>
      <c r="AE230" s="54" t="n"/>
      <c r="AF230" s="54" t="n"/>
      <c r="AG230" s="54" t="n"/>
      <c r="AH230" s="54" t="n"/>
      <c r="AI230" s="54" t="n"/>
      <c r="AJ230" s="54" t="n"/>
      <c r="AK230" s="54" t="n"/>
      <c r="AL230" s="54" t="n"/>
      <c r="AM230" s="54" t="n"/>
      <c r="AN230" s="54" t="n"/>
      <c r="AO230" s="54" t="n"/>
      <c r="AP230" s="54" t="n"/>
      <c r="AQ230" s="54" t="n"/>
      <c r="AR230" s="54" t="n"/>
      <c r="AS230" s="54" t="n"/>
      <c r="AT230" s="54" t="n"/>
      <c r="AU230" s="54" t="n"/>
      <c r="AV230" s="54" t="n"/>
      <c r="AW230" s="54" t="n"/>
      <c r="AX230" s="54" t="n"/>
      <c r="AY230" s="54" t="n"/>
      <c r="AZ230" s="54" t="n"/>
      <c r="BA230" s="54" t="n"/>
    </row>
    <row r="231" ht="15.75" customHeight="1" s="153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  <c r="AA231" s="54" t="n"/>
      <c r="AB231" s="54" t="n"/>
      <c r="AC231" s="54" t="n"/>
      <c r="AD231" s="54" t="n"/>
      <c r="AE231" s="54" t="n"/>
      <c r="AF231" s="54" t="n"/>
      <c r="AG231" s="54" t="n"/>
      <c r="AH231" s="54" t="n"/>
      <c r="AI231" s="54" t="n"/>
      <c r="AJ231" s="54" t="n"/>
      <c r="AK231" s="54" t="n"/>
      <c r="AL231" s="54" t="n"/>
      <c r="AM231" s="54" t="n"/>
      <c r="AN231" s="54" t="n"/>
      <c r="AO231" s="54" t="n"/>
      <c r="AP231" s="54" t="n"/>
      <c r="AQ231" s="54" t="n"/>
      <c r="AR231" s="54" t="n"/>
      <c r="AS231" s="54" t="n"/>
      <c r="AT231" s="54" t="n"/>
      <c r="AU231" s="54" t="n"/>
      <c r="AV231" s="54" t="n"/>
      <c r="AW231" s="54" t="n"/>
      <c r="AX231" s="54" t="n"/>
      <c r="AY231" s="54" t="n"/>
      <c r="AZ231" s="54" t="n"/>
      <c r="BA231" s="54" t="n"/>
    </row>
    <row r="232" ht="15.75" customHeight="1" s="153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  <c r="AA232" s="54" t="n"/>
      <c r="AB232" s="54" t="n"/>
      <c r="AC232" s="54" t="n"/>
      <c r="AD232" s="54" t="n"/>
      <c r="AE232" s="54" t="n"/>
      <c r="AF232" s="54" t="n"/>
      <c r="AG232" s="54" t="n"/>
      <c r="AH232" s="54" t="n"/>
      <c r="AI232" s="54" t="n"/>
      <c r="AJ232" s="54" t="n"/>
      <c r="AK232" s="54" t="n"/>
      <c r="AL232" s="54" t="n"/>
      <c r="AM232" s="54" t="n"/>
      <c r="AN232" s="54" t="n"/>
      <c r="AO232" s="54" t="n"/>
      <c r="AP232" s="54" t="n"/>
      <c r="AQ232" s="54" t="n"/>
      <c r="AR232" s="54" t="n"/>
      <c r="AS232" s="54" t="n"/>
      <c r="AT232" s="54" t="n"/>
      <c r="AU232" s="54" t="n"/>
      <c r="AV232" s="54" t="n"/>
      <c r="AW232" s="54" t="n"/>
      <c r="AX232" s="54" t="n"/>
      <c r="AY232" s="54" t="n"/>
      <c r="AZ232" s="54" t="n"/>
      <c r="BA232" s="54" t="n"/>
    </row>
    <row r="233" ht="15.75" customHeight="1" s="153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  <c r="AA233" s="54" t="n"/>
      <c r="AB233" s="54" t="n"/>
      <c r="AC233" s="54" t="n"/>
      <c r="AD233" s="54" t="n"/>
      <c r="AE233" s="54" t="n"/>
      <c r="AF233" s="54" t="n"/>
      <c r="AG233" s="54" t="n"/>
      <c r="AH233" s="54" t="n"/>
      <c r="AI233" s="54" t="n"/>
      <c r="AJ233" s="54" t="n"/>
      <c r="AK233" s="54" t="n"/>
      <c r="AL233" s="54" t="n"/>
      <c r="AM233" s="54" t="n"/>
      <c r="AN233" s="54" t="n"/>
      <c r="AO233" s="54" t="n"/>
      <c r="AP233" s="54" t="n"/>
      <c r="AQ233" s="54" t="n"/>
      <c r="AR233" s="54" t="n"/>
      <c r="AS233" s="54" t="n"/>
      <c r="AT233" s="54" t="n"/>
      <c r="AU233" s="54" t="n"/>
      <c r="AV233" s="54" t="n"/>
      <c r="AW233" s="54" t="n"/>
      <c r="AX233" s="54" t="n"/>
      <c r="AY233" s="54" t="n"/>
      <c r="AZ233" s="54" t="n"/>
      <c r="BA233" s="54" t="n"/>
    </row>
    <row r="234" ht="15.75" customHeight="1" s="153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  <c r="AA234" s="54" t="n"/>
      <c r="AB234" s="54" t="n"/>
      <c r="AC234" s="54" t="n"/>
      <c r="AD234" s="54" t="n"/>
      <c r="AE234" s="54" t="n"/>
      <c r="AF234" s="54" t="n"/>
      <c r="AG234" s="54" t="n"/>
      <c r="AH234" s="54" t="n"/>
      <c r="AI234" s="54" t="n"/>
      <c r="AJ234" s="54" t="n"/>
      <c r="AK234" s="54" t="n"/>
      <c r="AL234" s="54" t="n"/>
      <c r="AM234" s="54" t="n"/>
      <c r="AN234" s="54" t="n"/>
      <c r="AO234" s="54" t="n"/>
      <c r="AP234" s="54" t="n"/>
      <c r="AQ234" s="54" t="n"/>
      <c r="AR234" s="54" t="n"/>
      <c r="AS234" s="54" t="n"/>
      <c r="AT234" s="54" t="n"/>
      <c r="AU234" s="54" t="n"/>
      <c r="AV234" s="54" t="n"/>
      <c r="AW234" s="54" t="n"/>
      <c r="AX234" s="54" t="n"/>
      <c r="AY234" s="54" t="n"/>
      <c r="AZ234" s="54" t="n"/>
      <c r="BA234" s="54" t="n"/>
    </row>
    <row r="235" ht="15.75" customHeight="1" s="153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  <c r="AA235" s="54" t="n"/>
      <c r="AB235" s="54" t="n"/>
      <c r="AC235" s="54" t="n"/>
      <c r="AD235" s="54" t="n"/>
      <c r="AE235" s="54" t="n"/>
      <c r="AF235" s="54" t="n"/>
      <c r="AG235" s="54" t="n"/>
      <c r="AH235" s="54" t="n"/>
      <c r="AI235" s="54" t="n"/>
      <c r="AJ235" s="54" t="n"/>
      <c r="AK235" s="54" t="n"/>
      <c r="AL235" s="54" t="n"/>
      <c r="AM235" s="54" t="n"/>
      <c r="AN235" s="54" t="n"/>
      <c r="AO235" s="54" t="n"/>
      <c r="AP235" s="54" t="n"/>
      <c r="AQ235" s="54" t="n"/>
      <c r="AR235" s="54" t="n"/>
      <c r="AS235" s="54" t="n"/>
      <c r="AT235" s="54" t="n"/>
      <c r="AU235" s="54" t="n"/>
      <c r="AV235" s="54" t="n"/>
      <c r="AW235" s="54" t="n"/>
      <c r="AX235" s="54" t="n"/>
      <c r="AY235" s="54" t="n"/>
      <c r="AZ235" s="54" t="n"/>
      <c r="BA235" s="54" t="n"/>
    </row>
    <row r="236" ht="15.75" customHeight="1" s="153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  <c r="AA236" s="54" t="n"/>
      <c r="AB236" s="54" t="n"/>
      <c r="AC236" s="54" t="n"/>
      <c r="AD236" s="54" t="n"/>
      <c r="AE236" s="54" t="n"/>
      <c r="AF236" s="54" t="n"/>
      <c r="AG236" s="54" t="n"/>
      <c r="AH236" s="54" t="n"/>
      <c r="AI236" s="54" t="n"/>
      <c r="AJ236" s="54" t="n"/>
      <c r="AK236" s="54" t="n"/>
      <c r="AL236" s="54" t="n"/>
      <c r="AM236" s="54" t="n"/>
      <c r="AN236" s="54" t="n"/>
      <c r="AO236" s="54" t="n"/>
      <c r="AP236" s="54" t="n"/>
      <c r="AQ236" s="54" t="n"/>
      <c r="AR236" s="54" t="n"/>
      <c r="AS236" s="54" t="n"/>
      <c r="AT236" s="54" t="n"/>
      <c r="AU236" s="54" t="n"/>
      <c r="AV236" s="54" t="n"/>
      <c r="AW236" s="54" t="n"/>
      <c r="AX236" s="54" t="n"/>
      <c r="AY236" s="54" t="n"/>
      <c r="AZ236" s="54" t="n"/>
      <c r="BA236" s="54" t="n"/>
    </row>
    <row r="237" ht="15.75" customHeight="1" s="153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  <c r="AA237" s="54" t="n"/>
      <c r="AB237" s="54" t="n"/>
      <c r="AC237" s="54" t="n"/>
      <c r="AD237" s="54" t="n"/>
      <c r="AE237" s="54" t="n"/>
      <c r="AF237" s="54" t="n"/>
      <c r="AG237" s="54" t="n"/>
      <c r="AH237" s="54" t="n"/>
      <c r="AI237" s="54" t="n"/>
      <c r="AJ237" s="54" t="n"/>
      <c r="AK237" s="54" t="n"/>
      <c r="AL237" s="54" t="n"/>
      <c r="AM237" s="54" t="n"/>
      <c r="AN237" s="54" t="n"/>
      <c r="AO237" s="54" t="n"/>
      <c r="AP237" s="54" t="n"/>
      <c r="AQ237" s="54" t="n"/>
      <c r="AR237" s="54" t="n"/>
      <c r="AS237" s="54" t="n"/>
      <c r="AT237" s="54" t="n"/>
      <c r="AU237" s="54" t="n"/>
      <c r="AV237" s="54" t="n"/>
      <c r="AW237" s="54" t="n"/>
      <c r="AX237" s="54" t="n"/>
      <c r="AY237" s="54" t="n"/>
      <c r="AZ237" s="54" t="n"/>
      <c r="BA237" s="54" t="n"/>
    </row>
    <row r="238" ht="15.75" customHeight="1" s="153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  <c r="AA238" s="54" t="n"/>
      <c r="AB238" s="54" t="n"/>
      <c r="AC238" s="54" t="n"/>
      <c r="AD238" s="54" t="n"/>
      <c r="AE238" s="54" t="n"/>
      <c r="AF238" s="54" t="n"/>
      <c r="AG238" s="54" t="n"/>
      <c r="AH238" s="54" t="n"/>
      <c r="AI238" s="54" t="n"/>
      <c r="AJ238" s="54" t="n"/>
      <c r="AK238" s="54" t="n"/>
      <c r="AL238" s="54" t="n"/>
      <c r="AM238" s="54" t="n"/>
      <c r="AN238" s="54" t="n"/>
      <c r="AO238" s="54" t="n"/>
      <c r="AP238" s="54" t="n"/>
      <c r="AQ238" s="54" t="n"/>
      <c r="AR238" s="54" t="n"/>
      <c r="AS238" s="54" t="n"/>
      <c r="AT238" s="54" t="n"/>
      <c r="AU238" s="54" t="n"/>
      <c r="AV238" s="54" t="n"/>
      <c r="AW238" s="54" t="n"/>
      <c r="AX238" s="54" t="n"/>
      <c r="AY238" s="54" t="n"/>
      <c r="AZ238" s="54" t="n"/>
      <c r="BA238" s="54" t="n"/>
    </row>
    <row r="239" ht="15.75" customHeight="1" s="153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  <c r="AA239" s="54" t="n"/>
      <c r="AB239" s="54" t="n"/>
      <c r="AC239" s="54" t="n"/>
      <c r="AD239" s="54" t="n"/>
      <c r="AE239" s="54" t="n"/>
      <c r="AF239" s="54" t="n"/>
      <c r="AG239" s="54" t="n"/>
      <c r="AH239" s="54" t="n"/>
      <c r="AI239" s="54" t="n"/>
      <c r="AJ239" s="54" t="n"/>
      <c r="AK239" s="54" t="n"/>
      <c r="AL239" s="54" t="n"/>
      <c r="AM239" s="54" t="n"/>
      <c r="AN239" s="54" t="n"/>
      <c r="AO239" s="54" t="n"/>
      <c r="AP239" s="54" t="n"/>
      <c r="AQ239" s="54" t="n"/>
      <c r="AR239" s="54" t="n"/>
      <c r="AS239" s="54" t="n"/>
      <c r="AT239" s="54" t="n"/>
      <c r="AU239" s="54" t="n"/>
      <c r="AV239" s="54" t="n"/>
      <c r="AW239" s="54" t="n"/>
      <c r="AX239" s="54" t="n"/>
      <c r="AY239" s="54" t="n"/>
      <c r="AZ239" s="54" t="n"/>
      <c r="BA239" s="54" t="n"/>
    </row>
    <row r="240" ht="15.75" customHeight="1" s="153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  <c r="AA240" s="54" t="n"/>
      <c r="AB240" s="54" t="n"/>
      <c r="AC240" s="54" t="n"/>
      <c r="AD240" s="54" t="n"/>
      <c r="AE240" s="54" t="n"/>
      <c r="AF240" s="54" t="n"/>
      <c r="AG240" s="54" t="n"/>
      <c r="AH240" s="54" t="n"/>
      <c r="AI240" s="54" t="n"/>
      <c r="AJ240" s="54" t="n"/>
      <c r="AK240" s="54" t="n"/>
      <c r="AL240" s="54" t="n"/>
      <c r="AM240" s="54" t="n"/>
      <c r="AN240" s="54" t="n"/>
      <c r="AO240" s="54" t="n"/>
      <c r="AP240" s="54" t="n"/>
      <c r="AQ240" s="54" t="n"/>
      <c r="AR240" s="54" t="n"/>
      <c r="AS240" s="54" t="n"/>
      <c r="AT240" s="54" t="n"/>
      <c r="AU240" s="54" t="n"/>
      <c r="AV240" s="54" t="n"/>
      <c r="AW240" s="54" t="n"/>
      <c r="AX240" s="54" t="n"/>
      <c r="AY240" s="54" t="n"/>
      <c r="AZ240" s="54" t="n"/>
      <c r="BA240" s="54" t="n"/>
    </row>
    <row r="241" ht="15.75" customHeight="1" s="153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  <c r="AA241" s="54" t="n"/>
      <c r="AB241" s="54" t="n"/>
      <c r="AC241" s="54" t="n"/>
      <c r="AD241" s="54" t="n"/>
      <c r="AE241" s="54" t="n"/>
      <c r="AF241" s="54" t="n"/>
      <c r="AG241" s="54" t="n"/>
      <c r="AH241" s="54" t="n"/>
      <c r="AI241" s="54" t="n"/>
      <c r="AJ241" s="54" t="n"/>
      <c r="AK241" s="54" t="n"/>
      <c r="AL241" s="54" t="n"/>
      <c r="AM241" s="54" t="n"/>
      <c r="AN241" s="54" t="n"/>
      <c r="AO241" s="54" t="n"/>
      <c r="AP241" s="54" t="n"/>
      <c r="AQ241" s="54" t="n"/>
      <c r="AR241" s="54" t="n"/>
      <c r="AS241" s="54" t="n"/>
      <c r="AT241" s="54" t="n"/>
      <c r="AU241" s="54" t="n"/>
      <c r="AV241" s="54" t="n"/>
      <c r="AW241" s="54" t="n"/>
      <c r="AX241" s="54" t="n"/>
      <c r="AY241" s="54" t="n"/>
      <c r="AZ241" s="54" t="n"/>
      <c r="BA241" s="54" t="n"/>
    </row>
    <row r="242" ht="15.75" customHeight="1" s="153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  <c r="AA242" s="54" t="n"/>
      <c r="AB242" s="54" t="n"/>
      <c r="AC242" s="54" t="n"/>
      <c r="AD242" s="54" t="n"/>
      <c r="AE242" s="54" t="n"/>
      <c r="AF242" s="54" t="n"/>
      <c r="AG242" s="54" t="n"/>
      <c r="AH242" s="54" t="n"/>
      <c r="AI242" s="54" t="n"/>
      <c r="AJ242" s="54" t="n"/>
      <c r="AK242" s="54" t="n"/>
      <c r="AL242" s="54" t="n"/>
      <c r="AM242" s="54" t="n"/>
      <c r="AN242" s="54" t="n"/>
      <c r="AO242" s="54" t="n"/>
      <c r="AP242" s="54" t="n"/>
      <c r="AQ242" s="54" t="n"/>
      <c r="AR242" s="54" t="n"/>
      <c r="AS242" s="54" t="n"/>
      <c r="AT242" s="54" t="n"/>
      <c r="AU242" s="54" t="n"/>
      <c r="AV242" s="54" t="n"/>
      <c r="AW242" s="54" t="n"/>
      <c r="AX242" s="54" t="n"/>
      <c r="AY242" s="54" t="n"/>
      <c r="AZ242" s="54" t="n"/>
      <c r="BA242" s="54" t="n"/>
    </row>
    <row r="243" ht="15.75" customHeight="1" s="153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  <c r="AA243" s="54" t="n"/>
      <c r="AB243" s="54" t="n"/>
      <c r="AC243" s="54" t="n"/>
      <c r="AD243" s="54" t="n"/>
      <c r="AE243" s="54" t="n"/>
      <c r="AF243" s="54" t="n"/>
      <c r="AG243" s="54" t="n"/>
      <c r="AH243" s="54" t="n"/>
      <c r="AI243" s="54" t="n"/>
      <c r="AJ243" s="54" t="n"/>
      <c r="AK243" s="54" t="n"/>
      <c r="AL243" s="54" t="n"/>
      <c r="AM243" s="54" t="n"/>
      <c r="AN243" s="54" t="n"/>
      <c r="AO243" s="54" t="n"/>
      <c r="AP243" s="54" t="n"/>
      <c r="AQ243" s="54" t="n"/>
      <c r="AR243" s="54" t="n"/>
      <c r="AS243" s="54" t="n"/>
      <c r="AT243" s="54" t="n"/>
      <c r="AU243" s="54" t="n"/>
      <c r="AV243" s="54" t="n"/>
      <c r="AW243" s="54" t="n"/>
      <c r="AX243" s="54" t="n"/>
      <c r="AY243" s="54" t="n"/>
      <c r="AZ243" s="54" t="n"/>
      <c r="BA243" s="54" t="n"/>
    </row>
    <row r="244" ht="15.75" customHeight="1" s="153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  <c r="AA244" s="54" t="n"/>
      <c r="AB244" s="54" t="n"/>
      <c r="AC244" s="54" t="n"/>
      <c r="AD244" s="54" t="n"/>
      <c r="AE244" s="54" t="n"/>
      <c r="AF244" s="54" t="n"/>
      <c r="AG244" s="54" t="n"/>
      <c r="AH244" s="54" t="n"/>
      <c r="AI244" s="54" t="n"/>
      <c r="AJ244" s="54" t="n"/>
      <c r="AK244" s="54" t="n"/>
      <c r="AL244" s="54" t="n"/>
      <c r="AM244" s="54" t="n"/>
      <c r="AN244" s="54" t="n"/>
      <c r="AO244" s="54" t="n"/>
      <c r="AP244" s="54" t="n"/>
      <c r="AQ244" s="54" t="n"/>
      <c r="AR244" s="54" t="n"/>
      <c r="AS244" s="54" t="n"/>
      <c r="AT244" s="54" t="n"/>
      <c r="AU244" s="54" t="n"/>
      <c r="AV244" s="54" t="n"/>
      <c r="AW244" s="54" t="n"/>
      <c r="AX244" s="54" t="n"/>
      <c r="AY244" s="54" t="n"/>
      <c r="AZ244" s="54" t="n"/>
      <c r="BA244" s="54" t="n"/>
    </row>
    <row r="245" ht="15.75" customHeight="1" s="153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  <c r="AA245" s="54" t="n"/>
      <c r="AB245" s="54" t="n"/>
      <c r="AC245" s="54" t="n"/>
      <c r="AD245" s="54" t="n"/>
      <c r="AE245" s="54" t="n"/>
      <c r="AF245" s="54" t="n"/>
      <c r="AG245" s="54" t="n"/>
      <c r="AH245" s="54" t="n"/>
      <c r="AI245" s="54" t="n"/>
      <c r="AJ245" s="54" t="n"/>
      <c r="AK245" s="54" t="n"/>
      <c r="AL245" s="54" t="n"/>
      <c r="AM245" s="54" t="n"/>
      <c r="AN245" s="54" t="n"/>
      <c r="AO245" s="54" t="n"/>
      <c r="AP245" s="54" t="n"/>
      <c r="AQ245" s="54" t="n"/>
      <c r="AR245" s="54" t="n"/>
      <c r="AS245" s="54" t="n"/>
      <c r="AT245" s="54" t="n"/>
      <c r="AU245" s="54" t="n"/>
      <c r="AV245" s="54" t="n"/>
      <c r="AW245" s="54" t="n"/>
      <c r="AX245" s="54" t="n"/>
      <c r="AY245" s="54" t="n"/>
      <c r="AZ245" s="54" t="n"/>
      <c r="BA245" s="54" t="n"/>
    </row>
    <row r="246" ht="15.75" customHeight="1" s="153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  <c r="AA246" s="54" t="n"/>
      <c r="AB246" s="54" t="n"/>
      <c r="AC246" s="54" t="n"/>
      <c r="AD246" s="54" t="n"/>
      <c r="AE246" s="54" t="n"/>
      <c r="AF246" s="54" t="n"/>
      <c r="AG246" s="54" t="n"/>
      <c r="AH246" s="54" t="n"/>
      <c r="AI246" s="54" t="n"/>
      <c r="AJ246" s="54" t="n"/>
      <c r="AK246" s="54" t="n"/>
      <c r="AL246" s="54" t="n"/>
      <c r="AM246" s="54" t="n"/>
      <c r="AN246" s="54" t="n"/>
      <c r="AO246" s="54" t="n"/>
      <c r="AP246" s="54" t="n"/>
      <c r="AQ246" s="54" t="n"/>
      <c r="AR246" s="54" t="n"/>
      <c r="AS246" s="54" t="n"/>
      <c r="AT246" s="54" t="n"/>
      <c r="AU246" s="54" t="n"/>
      <c r="AV246" s="54" t="n"/>
      <c r="AW246" s="54" t="n"/>
      <c r="AX246" s="54" t="n"/>
      <c r="AY246" s="54" t="n"/>
      <c r="AZ246" s="54" t="n"/>
      <c r="BA246" s="54" t="n"/>
    </row>
    <row r="247" ht="15.75" customHeight="1" s="153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  <c r="AA247" s="54" t="n"/>
      <c r="AB247" s="54" t="n"/>
      <c r="AC247" s="54" t="n"/>
      <c r="AD247" s="54" t="n"/>
      <c r="AE247" s="54" t="n"/>
      <c r="AF247" s="54" t="n"/>
      <c r="AG247" s="54" t="n"/>
      <c r="AH247" s="54" t="n"/>
      <c r="AI247" s="54" t="n"/>
      <c r="AJ247" s="54" t="n"/>
      <c r="AK247" s="54" t="n"/>
      <c r="AL247" s="54" t="n"/>
      <c r="AM247" s="54" t="n"/>
      <c r="AN247" s="54" t="n"/>
      <c r="AO247" s="54" t="n"/>
      <c r="AP247" s="54" t="n"/>
      <c r="AQ247" s="54" t="n"/>
      <c r="AR247" s="54" t="n"/>
      <c r="AS247" s="54" t="n"/>
      <c r="AT247" s="54" t="n"/>
      <c r="AU247" s="54" t="n"/>
      <c r="AV247" s="54" t="n"/>
      <c r="AW247" s="54" t="n"/>
      <c r="AX247" s="54" t="n"/>
      <c r="AY247" s="54" t="n"/>
      <c r="AZ247" s="54" t="n"/>
      <c r="BA247" s="54" t="n"/>
    </row>
    <row r="248" ht="15.75" customHeight="1" s="153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  <c r="AA248" s="54" t="n"/>
      <c r="AB248" s="54" t="n"/>
      <c r="AC248" s="54" t="n"/>
      <c r="AD248" s="54" t="n"/>
      <c r="AE248" s="54" t="n"/>
      <c r="AF248" s="54" t="n"/>
      <c r="AG248" s="54" t="n"/>
      <c r="AH248" s="54" t="n"/>
      <c r="AI248" s="54" t="n"/>
      <c r="AJ248" s="54" t="n"/>
      <c r="AK248" s="54" t="n"/>
      <c r="AL248" s="54" t="n"/>
      <c r="AM248" s="54" t="n"/>
      <c r="AN248" s="54" t="n"/>
      <c r="AO248" s="54" t="n"/>
      <c r="AP248" s="54" t="n"/>
      <c r="AQ248" s="54" t="n"/>
      <c r="AR248" s="54" t="n"/>
      <c r="AS248" s="54" t="n"/>
      <c r="AT248" s="54" t="n"/>
      <c r="AU248" s="54" t="n"/>
      <c r="AV248" s="54" t="n"/>
      <c r="AW248" s="54" t="n"/>
      <c r="AX248" s="54" t="n"/>
      <c r="AY248" s="54" t="n"/>
      <c r="AZ248" s="54" t="n"/>
      <c r="BA248" s="54" t="n"/>
    </row>
    <row r="249" ht="15.75" customHeight="1" s="153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  <c r="AA249" s="54" t="n"/>
      <c r="AB249" s="54" t="n"/>
      <c r="AC249" s="54" t="n"/>
      <c r="AD249" s="54" t="n"/>
      <c r="AE249" s="54" t="n"/>
      <c r="AF249" s="54" t="n"/>
      <c r="AG249" s="54" t="n"/>
      <c r="AH249" s="54" t="n"/>
      <c r="AI249" s="54" t="n"/>
      <c r="AJ249" s="54" t="n"/>
      <c r="AK249" s="54" t="n"/>
      <c r="AL249" s="54" t="n"/>
      <c r="AM249" s="54" t="n"/>
      <c r="AN249" s="54" t="n"/>
      <c r="AO249" s="54" t="n"/>
      <c r="AP249" s="54" t="n"/>
      <c r="AQ249" s="54" t="n"/>
      <c r="AR249" s="54" t="n"/>
      <c r="AS249" s="54" t="n"/>
      <c r="AT249" s="54" t="n"/>
      <c r="AU249" s="54" t="n"/>
      <c r="AV249" s="54" t="n"/>
      <c r="AW249" s="54" t="n"/>
      <c r="AX249" s="54" t="n"/>
      <c r="AY249" s="54" t="n"/>
      <c r="AZ249" s="54" t="n"/>
      <c r="BA249" s="54" t="n"/>
    </row>
    <row r="250" ht="15.75" customHeight="1" s="153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  <c r="AA250" s="54" t="n"/>
      <c r="AB250" s="54" t="n"/>
      <c r="AC250" s="54" t="n"/>
      <c r="AD250" s="54" t="n"/>
      <c r="AE250" s="54" t="n"/>
      <c r="AF250" s="54" t="n"/>
      <c r="AG250" s="54" t="n"/>
      <c r="AH250" s="54" t="n"/>
      <c r="AI250" s="54" t="n"/>
      <c r="AJ250" s="54" t="n"/>
      <c r="AK250" s="54" t="n"/>
      <c r="AL250" s="54" t="n"/>
      <c r="AM250" s="54" t="n"/>
      <c r="AN250" s="54" t="n"/>
      <c r="AO250" s="54" t="n"/>
      <c r="AP250" s="54" t="n"/>
      <c r="AQ250" s="54" t="n"/>
      <c r="AR250" s="54" t="n"/>
      <c r="AS250" s="54" t="n"/>
      <c r="AT250" s="54" t="n"/>
      <c r="AU250" s="54" t="n"/>
      <c r="AV250" s="54" t="n"/>
      <c r="AW250" s="54" t="n"/>
      <c r="AX250" s="54" t="n"/>
      <c r="AY250" s="54" t="n"/>
      <c r="AZ250" s="54" t="n"/>
      <c r="BA250" s="54" t="n"/>
    </row>
    <row r="251" ht="15.75" customHeight="1" s="153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  <c r="AA251" s="54" t="n"/>
      <c r="AB251" s="54" t="n"/>
      <c r="AC251" s="54" t="n"/>
      <c r="AD251" s="54" t="n"/>
      <c r="AE251" s="54" t="n"/>
      <c r="AF251" s="54" t="n"/>
      <c r="AG251" s="54" t="n"/>
      <c r="AH251" s="54" t="n"/>
      <c r="AI251" s="54" t="n"/>
      <c r="AJ251" s="54" t="n"/>
      <c r="AK251" s="54" t="n"/>
      <c r="AL251" s="54" t="n"/>
      <c r="AM251" s="54" t="n"/>
      <c r="AN251" s="54" t="n"/>
      <c r="AO251" s="54" t="n"/>
      <c r="AP251" s="54" t="n"/>
      <c r="AQ251" s="54" t="n"/>
      <c r="AR251" s="54" t="n"/>
      <c r="AS251" s="54" t="n"/>
      <c r="AT251" s="54" t="n"/>
      <c r="AU251" s="54" t="n"/>
      <c r="AV251" s="54" t="n"/>
      <c r="AW251" s="54" t="n"/>
      <c r="AX251" s="54" t="n"/>
      <c r="AY251" s="54" t="n"/>
      <c r="AZ251" s="54" t="n"/>
      <c r="BA251" s="54" t="n"/>
    </row>
    <row r="252" ht="15.75" customHeight="1" s="153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  <c r="AA252" s="54" t="n"/>
      <c r="AB252" s="54" t="n"/>
      <c r="AC252" s="54" t="n"/>
      <c r="AD252" s="54" t="n"/>
      <c r="AE252" s="54" t="n"/>
      <c r="AF252" s="54" t="n"/>
      <c r="AG252" s="54" t="n"/>
      <c r="AH252" s="54" t="n"/>
      <c r="AI252" s="54" t="n"/>
      <c r="AJ252" s="54" t="n"/>
      <c r="AK252" s="54" t="n"/>
      <c r="AL252" s="54" t="n"/>
      <c r="AM252" s="54" t="n"/>
      <c r="AN252" s="54" t="n"/>
      <c r="AO252" s="54" t="n"/>
      <c r="AP252" s="54" t="n"/>
      <c r="AQ252" s="54" t="n"/>
      <c r="AR252" s="54" t="n"/>
      <c r="AS252" s="54" t="n"/>
      <c r="AT252" s="54" t="n"/>
      <c r="AU252" s="54" t="n"/>
      <c r="AV252" s="54" t="n"/>
      <c r="AW252" s="54" t="n"/>
      <c r="AX252" s="54" t="n"/>
      <c r="AY252" s="54" t="n"/>
      <c r="AZ252" s="54" t="n"/>
      <c r="BA252" s="54" t="n"/>
    </row>
    <row r="253" ht="15.75" customHeight="1" s="153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  <c r="AA253" s="54" t="n"/>
      <c r="AB253" s="54" t="n"/>
      <c r="AC253" s="54" t="n"/>
      <c r="AD253" s="54" t="n"/>
      <c r="AE253" s="54" t="n"/>
      <c r="AF253" s="54" t="n"/>
      <c r="AG253" s="54" t="n"/>
      <c r="AH253" s="54" t="n"/>
      <c r="AI253" s="54" t="n"/>
      <c r="AJ253" s="54" t="n"/>
      <c r="AK253" s="54" t="n"/>
      <c r="AL253" s="54" t="n"/>
      <c r="AM253" s="54" t="n"/>
      <c r="AN253" s="54" t="n"/>
      <c r="AO253" s="54" t="n"/>
      <c r="AP253" s="54" t="n"/>
      <c r="AQ253" s="54" t="n"/>
      <c r="AR253" s="54" t="n"/>
      <c r="AS253" s="54" t="n"/>
      <c r="AT253" s="54" t="n"/>
      <c r="AU253" s="54" t="n"/>
      <c r="AV253" s="54" t="n"/>
      <c r="AW253" s="54" t="n"/>
      <c r="AX253" s="54" t="n"/>
      <c r="AY253" s="54" t="n"/>
      <c r="AZ253" s="54" t="n"/>
      <c r="BA253" s="54" t="n"/>
    </row>
    <row r="254" ht="15.75" customHeight="1" s="153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  <c r="AA254" s="54" t="n"/>
      <c r="AB254" s="54" t="n"/>
      <c r="AC254" s="54" t="n"/>
      <c r="AD254" s="54" t="n"/>
      <c r="AE254" s="54" t="n"/>
      <c r="AF254" s="54" t="n"/>
      <c r="AG254" s="54" t="n"/>
      <c r="AH254" s="54" t="n"/>
      <c r="AI254" s="54" t="n"/>
      <c r="AJ254" s="54" t="n"/>
      <c r="AK254" s="54" t="n"/>
      <c r="AL254" s="54" t="n"/>
      <c r="AM254" s="54" t="n"/>
      <c r="AN254" s="54" t="n"/>
      <c r="AO254" s="54" t="n"/>
      <c r="AP254" s="54" t="n"/>
      <c r="AQ254" s="54" t="n"/>
      <c r="AR254" s="54" t="n"/>
      <c r="AS254" s="54" t="n"/>
      <c r="AT254" s="54" t="n"/>
      <c r="AU254" s="54" t="n"/>
      <c r="AV254" s="54" t="n"/>
      <c r="AW254" s="54" t="n"/>
      <c r="AX254" s="54" t="n"/>
      <c r="AY254" s="54" t="n"/>
      <c r="AZ254" s="54" t="n"/>
      <c r="BA254" s="54" t="n"/>
    </row>
    <row r="255" ht="15.75" customHeight="1" s="153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  <c r="AA255" s="54" t="n"/>
      <c r="AB255" s="54" t="n"/>
      <c r="AC255" s="54" t="n"/>
      <c r="AD255" s="54" t="n"/>
      <c r="AE255" s="54" t="n"/>
      <c r="AF255" s="54" t="n"/>
      <c r="AG255" s="54" t="n"/>
      <c r="AH255" s="54" t="n"/>
      <c r="AI255" s="54" t="n"/>
      <c r="AJ255" s="54" t="n"/>
      <c r="AK255" s="54" t="n"/>
      <c r="AL255" s="54" t="n"/>
      <c r="AM255" s="54" t="n"/>
      <c r="AN255" s="54" t="n"/>
      <c r="AO255" s="54" t="n"/>
      <c r="AP255" s="54" t="n"/>
      <c r="AQ255" s="54" t="n"/>
      <c r="AR255" s="54" t="n"/>
      <c r="AS255" s="54" t="n"/>
      <c r="AT255" s="54" t="n"/>
      <c r="AU255" s="54" t="n"/>
      <c r="AV255" s="54" t="n"/>
      <c r="AW255" s="54" t="n"/>
      <c r="AX255" s="54" t="n"/>
      <c r="AY255" s="54" t="n"/>
      <c r="AZ255" s="54" t="n"/>
      <c r="BA255" s="54" t="n"/>
    </row>
    <row r="256" ht="15.75" customHeight="1" s="153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  <c r="AA256" s="54" t="n"/>
      <c r="AB256" s="54" t="n"/>
      <c r="AC256" s="54" t="n"/>
      <c r="AD256" s="54" t="n"/>
      <c r="AE256" s="54" t="n"/>
      <c r="AF256" s="54" t="n"/>
      <c r="AG256" s="54" t="n"/>
      <c r="AH256" s="54" t="n"/>
      <c r="AI256" s="54" t="n"/>
      <c r="AJ256" s="54" t="n"/>
      <c r="AK256" s="54" t="n"/>
      <c r="AL256" s="54" t="n"/>
      <c r="AM256" s="54" t="n"/>
      <c r="AN256" s="54" t="n"/>
      <c r="AO256" s="54" t="n"/>
      <c r="AP256" s="54" t="n"/>
      <c r="AQ256" s="54" t="n"/>
      <c r="AR256" s="54" t="n"/>
      <c r="AS256" s="54" t="n"/>
      <c r="AT256" s="54" t="n"/>
      <c r="AU256" s="54" t="n"/>
      <c r="AV256" s="54" t="n"/>
      <c r="AW256" s="54" t="n"/>
      <c r="AX256" s="54" t="n"/>
      <c r="AY256" s="54" t="n"/>
      <c r="AZ256" s="54" t="n"/>
      <c r="BA256" s="54" t="n"/>
    </row>
    <row r="257" ht="15.75" customHeight="1" s="153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  <c r="AA257" s="54" t="n"/>
      <c r="AB257" s="54" t="n"/>
      <c r="AC257" s="54" t="n"/>
      <c r="AD257" s="54" t="n"/>
      <c r="AE257" s="54" t="n"/>
      <c r="AF257" s="54" t="n"/>
      <c r="AG257" s="54" t="n"/>
      <c r="AH257" s="54" t="n"/>
      <c r="AI257" s="54" t="n"/>
      <c r="AJ257" s="54" t="n"/>
      <c r="AK257" s="54" t="n"/>
      <c r="AL257" s="54" t="n"/>
      <c r="AM257" s="54" t="n"/>
      <c r="AN257" s="54" t="n"/>
      <c r="AO257" s="54" t="n"/>
      <c r="AP257" s="54" t="n"/>
      <c r="AQ257" s="54" t="n"/>
      <c r="AR257" s="54" t="n"/>
      <c r="AS257" s="54" t="n"/>
      <c r="AT257" s="54" t="n"/>
      <c r="AU257" s="54" t="n"/>
      <c r="AV257" s="54" t="n"/>
      <c r="AW257" s="54" t="n"/>
      <c r="AX257" s="54" t="n"/>
      <c r="AY257" s="54" t="n"/>
      <c r="AZ257" s="54" t="n"/>
      <c r="BA257" s="54" t="n"/>
    </row>
    <row r="258" ht="15.75" customHeight="1" s="153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  <c r="AA258" s="54" t="n"/>
      <c r="AB258" s="54" t="n"/>
      <c r="AC258" s="54" t="n"/>
      <c r="AD258" s="54" t="n"/>
      <c r="AE258" s="54" t="n"/>
      <c r="AF258" s="54" t="n"/>
      <c r="AG258" s="54" t="n"/>
      <c r="AH258" s="54" t="n"/>
      <c r="AI258" s="54" t="n"/>
      <c r="AJ258" s="54" t="n"/>
      <c r="AK258" s="54" t="n"/>
      <c r="AL258" s="54" t="n"/>
      <c r="AM258" s="54" t="n"/>
      <c r="AN258" s="54" t="n"/>
      <c r="AO258" s="54" t="n"/>
      <c r="AP258" s="54" t="n"/>
      <c r="AQ258" s="54" t="n"/>
      <c r="AR258" s="54" t="n"/>
      <c r="AS258" s="54" t="n"/>
      <c r="AT258" s="54" t="n"/>
      <c r="AU258" s="54" t="n"/>
      <c r="AV258" s="54" t="n"/>
      <c r="AW258" s="54" t="n"/>
      <c r="AX258" s="54" t="n"/>
      <c r="AY258" s="54" t="n"/>
      <c r="AZ258" s="54" t="n"/>
      <c r="BA258" s="54" t="n"/>
    </row>
    <row r="259" ht="15.75" customHeight="1" s="153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  <c r="AA259" s="54" t="n"/>
      <c r="AB259" s="54" t="n"/>
      <c r="AC259" s="54" t="n"/>
      <c r="AD259" s="54" t="n"/>
      <c r="AE259" s="54" t="n"/>
      <c r="AF259" s="54" t="n"/>
      <c r="AG259" s="54" t="n"/>
      <c r="AH259" s="54" t="n"/>
      <c r="AI259" s="54" t="n"/>
      <c r="AJ259" s="54" t="n"/>
      <c r="AK259" s="54" t="n"/>
      <c r="AL259" s="54" t="n"/>
      <c r="AM259" s="54" t="n"/>
      <c r="AN259" s="54" t="n"/>
      <c r="AO259" s="54" t="n"/>
      <c r="AP259" s="54" t="n"/>
      <c r="AQ259" s="54" t="n"/>
      <c r="AR259" s="54" t="n"/>
      <c r="AS259" s="54" t="n"/>
      <c r="AT259" s="54" t="n"/>
      <c r="AU259" s="54" t="n"/>
      <c r="AV259" s="54" t="n"/>
      <c r="AW259" s="54" t="n"/>
      <c r="AX259" s="54" t="n"/>
      <c r="AY259" s="54" t="n"/>
      <c r="AZ259" s="54" t="n"/>
      <c r="BA259" s="54" t="n"/>
    </row>
    <row r="260" ht="15.75" customHeight="1" s="153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  <c r="AA260" s="54" t="n"/>
      <c r="AB260" s="54" t="n"/>
      <c r="AC260" s="54" t="n"/>
      <c r="AD260" s="54" t="n"/>
      <c r="AE260" s="54" t="n"/>
      <c r="AF260" s="54" t="n"/>
      <c r="AG260" s="54" t="n"/>
      <c r="AH260" s="54" t="n"/>
      <c r="AI260" s="54" t="n"/>
      <c r="AJ260" s="54" t="n"/>
      <c r="AK260" s="54" t="n"/>
      <c r="AL260" s="54" t="n"/>
      <c r="AM260" s="54" t="n"/>
      <c r="AN260" s="54" t="n"/>
      <c r="AO260" s="54" t="n"/>
      <c r="AP260" s="54" t="n"/>
      <c r="AQ260" s="54" t="n"/>
      <c r="AR260" s="54" t="n"/>
      <c r="AS260" s="54" t="n"/>
      <c r="AT260" s="54" t="n"/>
      <c r="AU260" s="54" t="n"/>
      <c r="AV260" s="54" t="n"/>
      <c r="AW260" s="54" t="n"/>
      <c r="AX260" s="54" t="n"/>
      <c r="AY260" s="54" t="n"/>
      <c r="AZ260" s="54" t="n"/>
      <c r="BA260" s="54" t="n"/>
    </row>
    <row r="261" ht="15.75" customHeight="1" s="153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  <c r="AA261" s="54" t="n"/>
      <c r="AB261" s="54" t="n"/>
      <c r="AC261" s="54" t="n"/>
      <c r="AD261" s="54" t="n"/>
      <c r="AE261" s="54" t="n"/>
      <c r="AF261" s="54" t="n"/>
      <c r="AG261" s="54" t="n"/>
      <c r="AH261" s="54" t="n"/>
      <c r="AI261" s="54" t="n"/>
      <c r="AJ261" s="54" t="n"/>
      <c r="AK261" s="54" t="n"/>
      <c r="AL261" s="54" t="n"/>
      <c r="AM261" s="54" t="n"/>
      <c r="AN261" s="54" t="n"/>
      <c r="AO261" s="54" t="n"/>
      <c r="AP261" s="54" t="n"/>
      <c r="AQ261" s="54" t="n"/>
      <c r="AR261" s="54" t="n"/>
      <c r="AS261" s="54" t="n"/>
      <c r="AT261" s="54" t="n"/>
      <c r="AU261" s="54" t="n"/>
      <c r="AV261" s="54" t="n"/>
      <c r="AW261" s="54" t="n"/>
      <c r="AX261" s="54" t="n"/>
      <c r="AY261" s="54" t="n"/>
      <c r="AZ261" s="54" t="n"/>
      <c r="BA261" s="54" t="n"/>
    </row>
    <row r="262" ht="15.75" customHeight="1" s="153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  <c r="AA262" s="54" t="n"/>
      <c r="AB262" s="54" t="n"/>
      <c r="AC262" s="54" t="n"/>
      <c r="AD262" s="54" t="n"/>
      <c r="AE262" s="54" t="n"/>
      <c r="AF262" s="54" t="n"/>
      <c r="AG262" s="54" t="n"/>
      <c r="AH262" s="54" t="n"/>
      <c r="AI262" s="54" t="n"/>
      <c r="AJ262" s="54" t="n"/>
      <c r="AK262" s="54" t="n"/>
      <c r="AL262" s="54" t="n"/>
      <c r="AM262" s="54" t="n"/>
      <c r="AN262" s="54" t="n"/>
      <c r="AO262" s="54" t="n"/>
      <c r="AP262" s="54" t="n"/>
      <c r="AQ262" s="54" t="n"/>
      <c r="AR262" s="54" t="n"/>
      <c r="AS262" s="54" t="n"/>
      <c r="AT262" s="54" t="n"/>
      <c r="AU262" s="54" t="n"/>
      <c r="AV262" s="54" t="n"/>
      <c r="AW262" s="54" t="n"/>
      <c r="AX262" s="54" t="n"/>
      <c r="AY262" s="54" t="n"/>
      <c r="AZ262" s="54" t="n"/>
      <c r="BA262" s="54" t="n"/>
    </row>
    <row r="263" ht="15.75" customHeight="1" s="153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  <c r="AA263" s="54" t="n"/>
      <c r="AB263" s="54" t="n"/>
      <c r="AC263" s="54" t="n"/>
      <c r="AD263" s="54" t="n"/>
      <c r="AE263" s="54" t="n"/>
      <c r="AF263" s="54" t="n"/>
      <c r="AG263" s="54" t="n"/>
      <c r="AH263" s="54" t="n"/>
      <c r="AI263" s="54" t="n"/>
      <c r="AJ263" s="54" t="n"/>
      <c r="AK263" s="54" t="n"/>
      <c r="AL263" s="54" t="n"/>
      <c r="AM263" s="54" t="n"/>
      <c r="AN263" s="54" t="n"/>
      <c r="AO263" s="54" t="n"/>
      <c r="AP263" s="54" t="n"/>
      <c r="AQ263" s="54" t="n"/>
      <c r="AR263" s="54" t="n"/>
      <c r="AS263" s="54" t="n"/>
      <c r="AT263" s="54" t="n"/>
      <c r="AU263" s="54" t="n"/>
      <c r="AV263" s="54" t="n"/>
      <c r="AW263" s="54" t="n"/>
      <c r="AX263" s="54" t="n"/>
      <c r="AY263" s="54" t="n"/>
      <c r="AZ263" s="54" t="n"/>
      <c r="BA263" s="54" t="n"/>
    </row>
    <row r="264" ht="15.75" customHeight="1" s="153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  <c r="AA264" s="54" t="n"/>
      <c r="AB264" s="54" t="n"/>
      <c r="AC264" s="54" t="n"/>
      <c r="AD264" s="54" t="n"/>
      <c r="AE264" s="54" t="n"/>
      <c r="AF264" s="54" t="n"/>
      <c r="AG264" s="54" t="n"/>
      <c r="AH264" s="54" t="n"/>
      <c r="AI264" s="54" t="n"/>
      <c r="AJ264" s="54" t="n"/>
      <c r="AK264" s="54" t="n"/>
      <c r="AL264" s="54" t="n"/>
      <c r="AM264" s="54" t="n"/>
      <c r="AN264" s="54" t="n"/>
      <c r="AO264" s="54" t="n"/>
      <c r="AP264" s="54" t="n"/>
      <c r="AQ264" s="54" t="n"/>
      <c r="AR264" s="54" t="n"/>
      <c r="AS264" s="54" t="n"/>
      <c r="AT264" s="54" t="n"/>
      <c r="AU264" s="54" t="n"/>
      <c r="AV264" s="54" t="n"/>
      <c r="AW264" s="54" t="n"/>
      <c r="AX264" s="54" t="n"/>
      <c r="AY264" s="54" t="n"/>
      <c r="AZ264" s="54" t="n"/>
      <c r="BA264" s="54" t="n"/>
    </row>
    <row r="265" ht="15.75" customHeight="1" s="153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  <c r="AA265" s="54" t="n"/>
      <c r="AB265" s="54" t="n"/>
      <c r="AC265" s="54" t="n"/>
      <c r="AD265" s="54" t="n"/>
      <c r="AE265" s="54" t="n"/>
      <c r="AF265" s="54" t="n"/>
      <c r="AG265" s="54" t="n"/>
      <c r="AH265" s="54" t="n"/>
      <c r="AI265" s="54" t="n"/>
      <c r="AJ265" s="54" t="n"/>
      <c r="AK265" s="54" t="n"/>
      <c r="AL265" s="54" t="n"/>
      <c r="AM265" s="54" t="n"/>
      <c r="AN265" s="54" t="n"/>
      <c r="AO265" s="54" t="n"/>
      <c r="AP265" s="54" t="n"/>
      <c r="AQ265" s="54" t="n"/>
      <c r="AR265" s="54" t="n"/>
      <c r="AS265" s="54" t="n"/>
      <c r="AT265" s="54" t="n"/>
      <c r="AU265" s="54" t="n"/>
      <c r="AV265" s="54" t="n"/>
      <c r="AW265" s="54" t="n"/>
      <c r="AX265" s="54" t="n"/>
      <c r="AY265" s="54" t="n"/>
      <c r="AZ265" s="54" t="n"/>
      <c r="BA265" s="54" t="n"/>
    </row>
    <row r="266" ht="15.75" customHeight="1" s="153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  <c r="AA266" s="54" t="n"/>
      <c r="AB266" s="54" t="n"/>
      <c r="AC266" s="54" t="n"/>
      <c r="AD266" s="54" t="n"/>
      <c r="AE266" s="54" t="n"/>
      <c r="AF266" s="54" t="n"/>
      <c r="AG266" s="54" t="n"/>
      <c r="AH266" s="54" t="n"/>
      <c r="AI266" s="54" t="n"/>
      <c r="AJ266" s="54" t="n"/>
      <c r="AK266" s="54" t="n"/>
      <c r="AL266" s="54" t="n"/>
      <c r="AM266" s="54" t="n"/>
      <c r="AN266" s="54" t="n"/>
      <c r="AO266" s="54" t="n"/>
      <c r="AP266" s="54" t="n"/>
      <c r="AQ266" s="54" t="n"/>
      <c r="AR266" s="54" t="n"/>
      <c r="AS266" s="54" t="n"/>
      <c r="AT266" s="54" t="n"/>
      <c r="AU266" s="54" t="n"/>
      <c r="AV266" s="54" t="n"/>
      <c r="AW266" s="54" t="n"/>
      <c r="AX266" s="54" t="n"/>
      <c r="AY266" s="54" t="n"/>
      <c r="AZ266" s="54" t="n"/>
      <c r="BA266" s="54" t="n"/>
    </row>
    <row r="267" ht="15.75" customHeight="1" s="153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  <c r="AA267" s="54" t="n"/>
      <c r="AB267" s="54" t="n"/>
      <c r="AC267" s="54" t="n"/>
      <c r="AD267" s="54" t="n"/>
      <c r="AE267" s="54" t="n"/>
      <c r="AF267" s="54" t="n"/>
      <c r="AG267" s="54" t="n"/>
      <c r="AH267" s="54" t="n"/>
      <c r="AI267" s="54" t="n"/>
      <c r="AJ267" s="54" t="n"/>
      <c r="AK267" s="54" t="n"/>
      <c r="AL267" s="54" t="n"/>
      <c r="AM267" s="54" t="n"/>
      <c r="AN267" s="54" t="n"/>
      <c r="AO267" s="54" t="n"/>
      <c r="AP267" s="54" t="n"/>
      <c r="AQ267" s="54" t="n"/>
      <c r="AR267" s="54" t="n"/>
      <c r="AS267" s="54" t="n"/>
      <c r="AT267" s="54" t="n"/>
      <c r="AU267" s="54" t="n"/>
      <c r="AV267" s="54" t="n"/>
      <c r="AW267" s="54" t="n"/>
      <c r="AX267" s="54" t="n"/>
      <c r="AY267" s="54" t="n"/>
      <c r="AZ267" s="54" t="n"/>
      <c r="BA267" s="54" t="n"/>
    </row>
    <row r="268" ht="15.75" customHeight="1" s="153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  <c r="AA268" s="54" t="n"/>
      <c r="AB268" s="54" t="n"/>
      <c r="AC268" s="54" t="n"/>
      <c r="AD268" s="54" t="n"/>
      <c r="AE268" s="54" t="n"/>
      <c r="AF268" s="54" t="n"/>
      <c r="AG268" s="54" t="n"/>
      <c r="AH268" s="54" t="n"/>
      <c r="AI268" s="54" t="n"/>
      <c r="AJ268" s="54" t="n"/>
      <c r="AK268" s="54" t="n"/>
      <c r="AL268" s="54" t="n"/>
      <c r="AM268" s="54" t="n"/>
      <c r="AN268" s="54" t="n"/>
      <c r="AO268" s="54" t="n"/>
      <c r="AP268" s="54" t="n"/>
      <c r="AQ268" s="54" t="n"/>
      <c r="AR268" s="54" t="n"/>
      <c r="AS268" s="54" t="n"/>
      <c r="AT268" s="54" t="n"/>
      <c r="AU268" s="54" t="n"/>
      <c r="AV268" s="54" t="n"/>
      <c r="AW268" s="54" t="n"/>
      <c r="AX268" s="54" t="n"/>
      <c r="AY268" s="54" t="n"/>
      <c r="AZ268" s="54" t="n"/>
      <c r="BA268" s="54" t="n"/>
    </row>
    <row r="269" ht="15.75" customHeight="1" s="153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  <c r="AA269" s="54" t="n"/>
      <c r="AB269" s="54" t="n"/>
      <c r="AC269" s="54" t="n"/>
      <c r="AD269" s="54" t="n"/>
      <c r="AE269" s="54" t="n"/>
      <c r="AF269" s="54" t="n"/>
      <c r="AG269" s="54" t="n"/>
      <c r="AH269" s="54" t="n"/>
      <c r="AI269" s="54" t="n"/>
      <c r="AJ269" s="54" t="n"/>
      <c r="AK269" s="54" t="n"/>
      <c r="AL269" s="54" t="n"/>
      <c r="AM269" s="54" t="n"/>
      <c r="AN269" s="54" t="n"/>
      <c r="AO269" s="54" t="n"/>
      <c r="AP269" s="54" t="n"/>
      <c r="AQ269" s="54" t="n"/>
      <c r="AR269" s="54" t="n"/>
      <c r="AS269" s="54" t="n"/>
      <c r="AT269" s="54" t="n"/>
      <c r="AU269" s="54" t="n"/>
      <c r="AV269" s="54" t="n"/>
      <c r="AW269" s="54" t="n"/>
      <c r="AX269" s="54" t="n"/>
      <c r="AY269" s="54" t="n"/>
      <c r="AZ269" s="54" t="n"/>
      <c r="BA269" s="54" t="n"/>
    </row>
    <row r="270" ht="15.75" customHeight="1" s="153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  <c r="AA270" s="54" t="n"/>
      <c r="AB270" s="54" t="n"/>
      <c r="AC270" s="54" t="n"/>
      <c r="AD270" s="54" t="n"/>
      <c r="AE270" s="54" t="n"/>
      <c r="AF270" s="54" t="n"/>
      <c r="AG270" s="54" t="n"/>
      <c r="AH270" s="54" t="n"/>
      <c r="AI270" s="54" t="n"/>
      <c r="AJ270" s="54" t="n"/>
      <c r="AK270" s="54" t="n"/>
      <c r="AL270" s="54" t="n"/>
      <c r="AM270" s="54" t="n"/>
      <c r="AN270" s="54" t="n"/>
      <c r="AO270" s="54" t="n"/>
      <c r="AP270" s="54" t="n"/>
      <c r="AQ270" s="54" t="n"/>
      <c r="AR270" s="54" t="n"/>
      <c r="AS270" s="54" t="n"/>
      <c r="AT270" s="54" t="n"/>
      <c r="AU270" s="54" t="n"/>
      <c r="AV270" s="54" t="n"/>
      <c r="AW270" s="54" t="n"/>
      <c r="AX270" s="54" t="n"/>
      <c r="AY270" s="54" t="n"/>
      <c r="AZ270" s="54" t="n"/>
      <c r="BA270" s="54" t="n"/>
    </row>
    <row r="271" ht="15.75" customHeight="1" s="153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  <c r="AA271" s="54" t="n"/>
      <c r="AB271" s="54" t="n"/>
      <c r="AC271" s="54" t="n"/>
      <c r="AD271" s="54" t="n"/>
      <c r="AE271" s="54" t="n"/>
      <c r="AF271" s="54" t="n"/>
      <c r="AG271" s="54" t="n"/>
      <c r="AH271" s="54" t="n"/>
      <c r="AI271" s="54" t="n"/>
      <c r="AJ271" s="54" t="n"/>
      <c r="AK271" s="54" t="n"/>
      <c r="AL271" s="54" t="n"/>
      <c r="AM271" s="54" t="n"/>
      <c r="AN271" s="54" t="n"/>
      <c r="AO271" s="54" t="n"/>
      <c r="AP271" s="54" t="n"/>
      <c r="AQ271" s="54" t="n"/>
      <c r="AR271" s="54" t="n"/>
      <c r="AS271" s="54" t="n"/>
      <c r="AT271" s="54" t="n"/>
      <c r="AU271" s="54" t="n"/>
      <c r="AV271" s="54" t="n"/>
      <c r="AW271" s="54" t="n"/>
      <c r="AX271" s="54" t="n"/>
      <c r="AY271" s="54" t="n"/>
      <c r="AZ271" s="54" t="n"/>
      <c r="BA271" s="54" t="n"/>
    </row>
    <row r="272" ht="15.75" customHeight="1" s="153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  <c r="AA272" s="54" t="n"/>
      <c r="AB272" s="54" t="n"/>
      <c r="AC272" s="54" t="n"/>
      <c r="AD272" s="54" t="n"/>
      <c r="AE272" s="54" t="n"/>
      <c r="AF272" s="54" t="n"/>
      <c r="AG272" s="54" t="n"/>
      <c r="AH272" s="54" t="n"/>
      <c r="AI272" s="54" t="n"/>
      <c r="AJ272" s="54" t="n"/>
      <c r="AK272" s="54" t="n"/>
      <c r="AL272" s="54" t="n"/>
      <c r="AM272" s="54" t="n"/>
      <c r="AN272" s="54" t="n"/>
      <c r="AO272" s="54" t="n"/>
      <c r="AP272" s="54" t="n"/>
      <c r="AQ272" s="54" t="n"/>
      <c r="AR272" s="54" t="n"/>
      <c r="AS272" s="54" t="n"/>
      <c r="AT272" s="54" t="n"/>
      <c r="AU272" s="54" t="n"/>
      <c r="AV272" s="54" t="n"/>
      <c r="AW272" s="54" t="n"/>
      <c r="AX272" s="54" t="n"/>
      <c r="AY272" s="54" t="n"/>
      <c r="AZ272" s="54" t="n"/>
      <c r="BA272" s="54" t="n"/>
    </row>
    <row r="273" ht="15.75" customHeight="1" s="153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  <c r="AA273" s="54" t="n"/>
      <c r="AB273" s="54" t="n"/>
      <c r="AC273" s="54" t="n"/>
      <c r="AD273" s="54" t="n"/>
      <c r="AE273" s="54" t="n"/>
      <c r="AF273" s="54" t="n"/>
      <c r="AG273" s="54" t="n"/>
      <c r="AH273" s="54" t="n"/>
      <c r="AI273" s="54" t="n"/>
      <c r="AJ273" s="54" t="n"/>
      <c r="AK273" s="54" t="n"/>
      <c r="AL273" s="54" t="n"/>
      <c r="AM273" s="54" t="n"/>
      <c r="AN273" s="54" t="n"/>
      <c r="AO273" s="54" t="n"/>
      <c r="AP273" s="54" t="n"/>
      <c r="AQ273" s="54" t="n"/>
      <c r="AR273" s="54" t="n"/>
      <c r="AS273" s="54" t="n"/>
      <c r="AT273" s="54" t="n"/>
      <c r="AU273" s="54" t="n"/>
      <c r="AV273" s="54" t="n"/>
      <c r="AW273" s="54" t="n"/>
      <c r="AX273" s="54" t="n"/>
      <c r="AY273" s="54" t="n"/>
      <c r="AZ273" s="54" t="n"/>
      <c r="BA273" s="54" t="n"/>
    </row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conditionalFormatting sqref="AH2:AH73">
    <cfRule type="cellIs" priority="1" operator="equal" dxfId="2">
      <formula>"BET"</formula>
    </cfRule>
    <cfRule type="cellIs" priority="2" operator="equal" dxfId="3">
      <formula>"PASS"</formula>
    </cfRule>
  </conditionalFormatting>
  <conditionalFormatting sqref="AG2:AG73">
    <cfRule type="colorScale" priority="3">
      <colorScale>
        <cfvo type="formula" val="-0.05"/>
        <cfvo type="formula" val="0"/>
        <cfvo type="formula" val="0.08"/>
        <color rgb="FFFCA5A5"/>
        <color rgb="FFFFFFFF"/>
        <color rgb="FF4ADE80"/>
      </colorScale>
    </cfRule>
  </conditionalFormatting>
  <conditionalFormatting sqref="AR2:AR73">
    <cfRule type="cellIs" priority="4" operator="lessThan" dxfId="0">
      <formula>0</formula>
    </cfRule>
    <cfRule type="cellIs" priority="5" operator="greaterThan" dxfId="1">
      <formula>0</formula>
    </cfRule>
  </conditionalFormatting>
  <conditionalFormatting sqref="AU2:AU73">
    <cfRule type="expression" priority="6" dxfId="4">
      <formula>ISNUMBER(SEARCH("⚠",AU2))</formula>
    </cfRule>
    <cfRule type="expression" priority="7" dxfId="1">
      <formula>ISNUMBER(SEARCH("✓",AU2))</formula>
    </cfRule>
  </conditionalFormatting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5" customWidth="1" style="153" min="1" max="1"/>
    <col width="10" customWidth="1" style="153" min="2" max="2"/>
    <col width="8" customWidth="1" style="153" min="3" max="3"/>
    <col width="32" customWidth="1" style="153" min="4" max="4"/>
    <col width="8" customWidth="1" style="153" min="5" max="7"/>
    <col width="22" customWidth="1" style="153" min="8" max="8"/>
    <col width="12" customWidth="1" style="153" min="9" max="9"/>
    <col width="11" customWidth="1" style="153" min="10" max="10"/>
    <col width="36" customWidth="1" style="153" min="11" max="11"/>
    <col width="13" customWidth="1" style="153" min="12" max="12"/>
    <col width="30" customWidth="1" style="153" min="13" max="13"/>
    <col width="9" customWidth="1" style="153" min="14" max="15"/>
    <col width="10" customWidth="1" style="153" min="16" max="16"/>
    <col width="11" customWidth="1" style="153" min="17" max="18"/>
    <col width="46.14" customWidth="1" style="153" min="19" max="19"/>
    <col width="10" customWidth="1" style="153" min="20" max="20"/>
    <col width="8" customWidth="1" style="153" min="21" max="21"/>
    <col width="14" customWidth="1" style="153" min="22" max="22"/>
    <col width="13" customWidth="1" style="153" min="23" max="23"/>
  </cols>
  <sheetData>
    <row r="1" ht="15.75" customHeight="1" s="153">
      <c r="A1" s="83" t="inlineStr">
        <is>
          <t>MATCHDAY CONSOLE (FINAL) — the only tab you touch.   YELLOW = YOU TYPE  ·  GREY = AUTOMATIC  ·  decimal odds only (21/50 → 1.42)</t>
        </is>
      </c>
      <c r="V1" s="85" t="n"/>
      <c r="W1" s="85" t="inlineStr">
        <is>
          <t>⚠ circuit-breaker tripped upstream — model paused</t>
        </is>
      </c>
      <c r="X1" s="52" t="n"/>
      <c r="Y1" s="52" t="n"/>
      <c r="Z1" s="52" t="n"/>
    </row>
    <row r="2" ht="15" customHeight="1" s="153">
      <c r="A2" s="86" t="inlineStr">
        <is>
          <t>THE MATCH</t>
        </is>
      </c>
      <c r="E2" s="87" t="inlineStr">
        <is>
          <t>① TYPE 3 ODDS (decimal)</t>
        </is>
      </c>
      <c r="H2" s="88" t="inlineStr">
        <is>
          <t>② READ THE ANSWER</t>
        </is>
      </c>
      <c r="L2" s="89" t="inlineStr">
        <is>
          <t>③ TEAM NEWS + MOTIVATION</t>
        </is>
      </c>
      <c r="N2" s="90" t="inlineStr">
        <is>
          <t>④ LOG BET → RESULT</t>
        </is>
      </c>
      <c r="S2" s="91" t="inlineStr">
        <is>
          <t>HONESTY LABEL</t>
        </is>
      </c>
      <c r="T2" s="86" t="inlineStr">
        <is>
          <t>⑤ OPTIONAL: CLOSING ODDS</t>
        </is>
      </c>
      <c r="V2" s="85" t="inlineStr">
        <is>
          <t>Manual Calculation (ignore)</t>
        </is>
      </c>
      <c r="X2" s="52" t="n"/>
      <c r="Y2" s="52" t="n"/>
      <c r="Z2" s="52" t="n"/>
    </row>
    <row r="3" ht="25.5" customHeight="1" s="153">
      <c r="A3" s="92" t="inlineStr">
        <is>
          <t>#</t>
        </is>
      </c>
      <c r="B3" s="92" t="inlineStr">
        <is>
          <t>Date</t>
        </is>
      </c>
      <c r="C3" s="92" t="inlineStr">
        <is>
          <t>UK KO</t>
        </is>
      </c>
      <c r="D3" s="92" t="inlineStr">
        <is>
          <t>Match</t>
        </is>
      </c>
      <c r="E3" s="92" t="inlineStr">
        <is>
          <t>Odds 1</t>
        </is>
      </c>
      <c r="F3" s="92" t="inlineStr">
        <is>
          <t>Odds X</t>
        </is>
      </c>
      <c r="G3" s="92" t="inlineStr">
        <is>
          <t>Odds 2</t>
        </is>
      </c>
      <c r="H3" s="92" t="inlineStr">
        <is>
          <t>PICK</t>
        </is>
      </c>
      <c r="I3" s="92" t="inlineStr">
        <is>
          <t>DECISION</t>
        </is>
      </c>
      <c r="J3" s="92" t="inlineStr">
        <is>
          <t>ENGINE STAKE £</t>
        </is>
      </c>
      <c r="K3" s="92" t="inlineStr">
        <is>
          <t>WHY</t>
        </is>
      </c>
      <c r="L3" s="92" t="inlineStr">
        <is>
          <t>Team news &amp; motivation OK? (Y/N)</t>
        </is>
      </c>
      <c r="M3" s="92" t="inlineStr">
        <is>
          <t>FINAL ACTION</t>
        </is>
      </c>
      <c r="N3" s="92" t="inlineStr">
        <is>
          <t>Placed? (Y/N)</t>
        </is>
      </c>
      <c r="O3" s="92" t="inlineStr">
        <is>
          <t>Backed (H/D/A)</t>
        </is>
      </c>
      <c r="P3" s="92" t="inlineStr">
        <is>
          <t>Odds you got</t>
        </is>
      </c>
      <c r="Q3" s="92" t="inlineStr">
        <is>
          <t>Stake you placed £</t>
        </is>
      </c>
      <c r="R3" s="92" t="inlineStr">
        <is>
          <t>Result (H/D/A/Void)</t>
        </is>
      </c>
      <c r="S3" s="92" t="inlineStr">
        <is>
          <t>STATUS</t>
        </is>
      </c>
      <c r="T3" s="92" t="inlineStr">
        <is>
          <t>Closing odds</t>
        </is>
      </c>
      <c r="U3" s="92" t="inlineStr">
        <is>
          <t>CLV</t>
        </is>
      </c>
      <c r="V3" s="85" t="inlineStr">
        <is>
          <t>actual bets</t>
        </is>
      </c>
      <c r="W3" s="85" t="inlineStr">
        <is>
          <t>actual returns</t>
        </is>
      </c>
      <c r="X3" s="52" t="n"/>
      <c r="Y3" s="52" t="n"/>
      <c r="Z3" s="52" t="n"/>
    </row>
    <row r="4" ht="15" customHeight="1" s="153">
      <c r="A4" s="93">
        <f>Bets!A2</f>
        <v/>
      </c>
      <c r="B4" s="94">
        <f>Bets!B2</f>
        <v/>
      </c>
      <c r="C4" s="95">
        <f>IF(Bets!H2="","TBC",Bets!H2)</f>
        <v/>
      </c>
      <c r="D4" s="96">
        <f>Bets!D2&amp;"  v  "&amp;Bets!E2</f>
        <v/>
      </c>
      <c r="E4" s="107" t="n">
        <v>1.42</v>
      </c>
      <c r="F4" s="107" t="n">
        <v>4.5</v>
      </c>
      <c r="G4" s="107" t="n">
        <v>8.5</v>
      </c>
      <c r="H4" s="98">
        <f>Bets!AD2</f>
        <v/>
      </c>
      <c r="I4" s="99">
        <f>Bets!AH2</f>
        <v/>
      </c>
      <c r="J4" s="100">
        <f>Bets!AJ2</f>
        <v/>
      </c>
      <c r="K4" s="101">
        <f>Bets!AT2</f>
        <v/>
      </c>
      <c r="L4" s="106" t="inlineStr">
        <is>
          <t>Y</t>
        </is>
      </c>
      <c r="M4" s="98">
        <f>IF(Bets!AH2="·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pauses.")),IF(Bets!AH2&lt;&gt;"BET",IF(OR(Bets!AF2&gt;Method!$B$87,IFERROR(INDEX(Bets!BC2:BE2,1,Bets!AB2)/INDEX(Bets!S2:U2,1,Bets!AB2),0)&gt;Method!$B$88),"🛑 NO BET — tail trap (EV "&amp;TEXT(Bets!AF2,"0.0%")&amp;" / model "&amp;TEXT(IFERROR(INDEX(Bets!BC2:BE2,1,Bets!AB2)/INDEX(Bets!S2:U2,1,Bets!AB2),0),"0.0")&amp;"× market)","❌ NO BET — price not good enough"),IF(Bets!AJ2=0,"❌ NO BET — stake under minimum",IF(L4="",IF(AND(Bets!AE2&gt;=6,Bets!AG2&gt;=0.15),"🟡 WAIT — long-shot review: odds "&amp;TEXT(Bets!AE2,"0.00")&amp;" + edge "&amp;TEXT(Bets!AG2,"0.0%")&amp;" — verify sharp-book + team news + stake comfort","🟡 WAIT — check team news first"),IF(L4="N","🔴 SKIP — team news concern",IF(L4="Y","🟢 PLACE £"&amp;Bets!AJ2&amp;" on "&amp;Bets!AD2,"")))))))</f>
        <v/>
      </c>
      <c r="N4" s="106" t="inlineStr">
        <is>
          <t>Y</t>
        </is>
      </c>
      <c r="O4" s="106" t="inlineStr">
        <is>
          <t>H</t>
        </is>
      </c>
      <c r="P4" s="107" t="n">
        <v>1.42</v>
      </c>
      <c r="Q4" s="113" t="n">
        <v>20</v>
      </c>
      <c r="R4" s="106" t="inlineStr">
        <is>
          <t>H</t>
        </is>
      </c>
      <c r="S4" s="101">
        <f>Bets!AU2</f>
        <v/>
      </c>
      <c r="T4" s="107" t="n">
        <v>0.48</v>
      </c>
      <c r="U4" s="104">
        <f>IF(OR(T4="",P4=""),"",P4/T4-1)</f>
        <v/>
      </c>
      <c r="V4" s="85" t="n">
        <v>50</v>
      </c>
      <c r="W4" s="85" t="n">
        <v>180</v>
      </c>
      <c r="X4" s="52" t="n"/>
      <c r="Y4" s="52" t="n"/>
      <c r="Z4" s="52" t="n"/>
    </row>
    <row r="5" ht="15" customHeight="1" s="153">
      <c r="A5" s="93">
        <f>Bets!A3</f>
        <v/>
      </c>
      <c r="B5" s="94">
        <f>Bets!B3</f>
        <v/>
      </c>
      <c r="C5" s="93">
        <f>IF(Bets!H3="","TBC",Bets!H3)</f>
        <v/>
      </c>
      <c r="D5" s="96">
        <f>Bets!D3&amp;"  v  "&amp;Bets!E3</f>
        <v/>
      </c>
      <c r="E5" s="107" t="n">
        <v>2.7</v>
      </c>
      <c r="F5" s="107" t="n">
        <v>3.1</v>
      </c>
      <c r="G5" s="107" t="n">
        <v>2.8</v>
      </c>
      <c r="H5" s="98">
        <f>Bets!AD3</f>
        <v/>
      </c>
      <c r="I5" s="99">
        <f>Bets!AH3</f>
        <v/>
      </c>
      <c r="J5" s="100">
        <f>Bets!AJ3</f>
        <v/>
      </c>
      <c r="K5" s="101">
        <f>Bets!AT3</f>
        <v/>
      </c>
      <c r="L5" s="106" t="inlineStr">
        <is>
          <t>Y</t>
        </is>
      </c>
      <c r="M5" s="98">
        <f>IF(Bets!AH3="·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pauses.")),IF(Bets!AH3&lt;&gt;"BET",IF(OR(Bets!AF3&gt;Method!$B$87,IFERROR(INDEX(Bets!BC3:BE3,1,Bets!AB3)/INDEX(Bets!S3:U3,1,Bets!AB3),0)&gt;Method!$B$88),"🛑 NO BET — tail trap (EV "&amp;TEXT(Bets!AF3,"0.0%")&amp;" / model "&amp;TEXT(IFERROR(INDEX(Bets!BC3:BE3,1,Bets!AB3)/INDEX(Bets!S3:U3,1,Bets!AB3),0),"0.0")&amp;"× market)","❌ NO BET — price not good enough"),IF(Bets!AJ3=0,"❌ NO BET — stake under minimum",IF(L5="",IF(AND(Bets!AE3&gt;=6,Bets!AG3&gt;=0.15),"🟡 WAIT — long-shot review: odds "&amp;TEXT(Bets!AE3,"0.00")&amp;" + edge "&amp;TEXT(Bets!AG3,"0.0%")&amp;" — verify sharp-book + team news + stake comfort","🟡 WAIT — check team news first"),IF(L5="N","🔴 SKIP — team news concern",IF(L5="Y","🟢 PLACE £"&amp;Bets!AJ3&amp;" on "&amp;Bets!AD3,"")))))))</f>
        <v/>
      </c>
      <c r="N5" s="106" t="inlineStr">
        <is>
          <t>Y</t>
        </is>
      </c>
      <c r="O5" s="106" t="inlineStr">
        <is>
          <t>H</t>
        </is>
      </c>
      <c r="P5" s="107" t="n">
        <v>2.6</v>
      </c>
      <c r="Q5" s="113" t="n">
        <v>10</v>
      </c>
      <c r="R5" s="106" t="inlineStr">
        <is>
          <t>H</t>
        </is>
      </c>
      <c r="S5" s="101">
        <f>Bets!AU3</f>
        <v/>
      </c>
      <c r="T5" s="107" t="n">
        <v>1.66</v>
      </c>
      <c r="U5" s="104">
        <f>IF(OR(T5="",P5=""),"",P5/T5-1)</f>
        <v/>
      </c>
      <c r="V5" s="85" t="n">
        <v>10</v>
      </c>
      <c r="W5" s="85" t="n">
        <v>26</v>
      </c>
      <c r="X5" s="52" t="n"/>
      <c r="Y5" s="52" t="n"/>
      <c r="Z5" s="52" t="n"/>
    </row>
    <row r="6" ht="15" customHeight="1" s="153">
      <c r="A6" s="93">
        <f>Bets!A4</f>
        <v/>
      </c>
      <c r="B6" s="94">
        <f>Bets!B4</f>
        <v/>
      </c>
      <c r="C6" s="95">
        <f>IF(Bets!H4="","TBC",Bets!H4)</f>
        <v/>
      </c>
      <c r="D6" s="96">
        <f>Bets!D4&amp;"  v  "&amp;Bets!E4</f>
        <v/>
      </c>
      <c r="E6" s="107" t="n">
        <v>1.85</v>
      </c>
      <c r="F6" s="107" t="n">
        <v>3.5</v>
      </c>
      <c r="G6" s="107" t="n">
        <v>4.5</v>
      </c>
      <c r="H6" s="98">
        <f>Bets!AD4</f>
        <v/>
      </c>
      <c r="I6" s="99">
        <f>Bets!AH4</f>
        <v/>
      </c>
      <c r="J6" s="100">
        <f>Bets!AJ4</f>
        <v/>
      </c>
      <c r="K6" s="101">
        <f>Bets!AT4</f>
        <v/>
      </c>
      <c r="L6" s="106" t="inlineStr">
        <is>
          <t>N</t>
        </is>
      </c>
      <c r="M6" s="98">
        <f>IF(Bets!AH4="·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pauses.")),IF(Bets!AH4&lt;&gt;"BET",IF(OR(Bets!AF4&gt;Method!$B$87,IFERROR(INDEX(Bets!BC4:BE4,1,Bets!AB4)/INDEX(Bets!S4:U4,1,Bets!AB4),0)&gt;Method!$B$88),"🛑 NO BET — tail trap (EV "&amp;TEXT(Bets!AF4,"0.0%")&amp;" / model "&amp;TEXT(IFERROR(INDEX(Bets!BC4:BE4,1,Bets!AB4)/INDEX(Bets!S4:U4,1,Bets!AB4),0),"0.0")&amp;"× market)","❌ NO BET — price not good enough"),IF(Bets!AJ4=0,"❌ NO BET — stake under minimum",IF(L6="",IF(AND(Bets!AE4&gt;=6,Bets!AG4&gt;=0.15),"🟡 WAIT — long-shot review: odds "&amp;TEXT(Bets!AE4,"0.00")&amp;" + edge "&amp;TEXT(Bets!AG4,"0.0%")&amp;" — verify sharp-book + team news + stake comfort","🟡 WAIT — check team news first"),IF(L6="N","🔴 SKIP — team news concern",IF(L6="Y","🟢 PLACE £"&amp;Bets!AJ4&amp;" on "&amp;Bets!AD4,"")))))))</f>
        <v/>
      </c>
      <c r="N6" s="106" t="inlineStr">
        <is>
          <t>Y</t>
        </is>
      </c>
      <c r="O6" s="106" t="inlineStr">
        <is>
          <t>H</t>
        </is>
      </c>
      <c r="P6" s="107" t="n">
        <v>1.85</v>
      </c>
      <c r="Q6" s="113" t="n">
        <v>24</v>
      </c>
      <c r="R6" s="106" t="inlineStr">
        <is>
          <t>D</t>
        </is>
      </c>
      <c r="S6" s="101">
        <f>Bets!AU4</f>
        <v/>
      </c>
      <c r="T6" s="107" t="n"/>
      <c r="U6" s="104">
        <f>IF(OR(T6="",P6=""),"",P6/T6-1)</f>
        <v/>
      </c>
      <c r="V6" s="85" t="n">
        <v>74</v>
      </c>
      <c r="W6" s="85" t="n">
        <v>0</v>
      </c>
      <c r="X6" s="52" t="n"/>
      <c r="Y6" s="52" t="n"/>
      <c r="Z6" s="52" t="n"/>
    </row>
    <row r="7" ht="15" customHeight="1" s="153">
      <c r="A7" s="93">
        <f>Bets!A5</f>
        <v/>
      </c>
      <c r="B7" s="94">
        <f>Bets!B5</f>
        <v/>
      </c>
      <c r="C7" s="93">
        <f>IF(Bets!H5="","TBC",Bets!H5)</f>
        <v/>
      </c>
      <c r="D7" s="96">
        <f>Bets!D5&amp;"  v  "&amp;Bets!E5</f>
        <v/>
      </c>
      <c r="E7" s="107" t="n">
        <v>2.18</v>
      </c>
      <c r="F7" s="107" t="n">
        <v>3.3</v>
      </c>
      <c r="G7" s="107" t="n">
        <v>4.1</v>
      </c>
      <c r="H7" s="98">
        <f>Bets!AD5</f>
        <v/>
      </c>
      <c r="I7" s="99">
        <f>Bets!AH5</f>
        <v/>
      </c>
      <c r="J7" s="100">
        <f>Bets!AJ5</f>
        <v/>
      </c>
      <c r="K7" s="101">
        <f>Bets!AT5</f>
        <v/>
      </c>
      <c r="L7" s="106" t="inlineStr">
        <is>
          <t>Y</t>
        </is>
      </c>
      <c r="M7" s="98">
        <f>IF(Bets!AH5="·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pauses.")),IF(Bets!AH5&lt;&gt;"BET",IF(OR(Bets!AF5&gt;Method!$B$87,IFERROR(INDEX(Bets!BC5:BE5,1,Bets!AB5)/INDEX(Bets!S5:U5,1,Bets!AB5),0)&gt;Method!$B$88),"🛑 NO BET — tail trap (EV "&amp;TEXT(Bets!AF5,"0.0%")&amp;" / model "&amp;TEXT(IFERROR(INDEX(Bets!BC5:BE5,1,Bets!AB5)/INDEX(Bets!S5:U5,1,Bets!AB5),0),"0.0")&amp;"× market)","❌ NO BET — price not good enough"),IF(Bets!AJ5=0,"❌ NO BET — stake under minimum",IF(L7="",IF(AND(Bets!AE5&gt;=6,Bets!AG5&gt;=0.15),"🟡 WAIT — long-shot review: odds "&amp;TEXT(Bets!AE5,"0.00")&amp;" + edge "&amp;TEXT(Bets!AG5,"0.0%")&amp;" — verify sharp-book + team news + stake comfort","🟡 WAIT — check team news first"),IF(L7="N","🔴 SKIP — team news concern",IF(L7="Y","🟢 PLACE £"&amp;Bets!AJ5&amp;" on "&amp;Bets!AD5,"")))))))</f>
        <v/>
      </c>
      <c r="N7" s="106" t="inlineStr">
        <is>
          <t>Y</t>
        </is>
      </c>
      <c r="O7" s="106" t="inlineStr">
        <is>
          <t>H</t>
        </is>
      </c>
      <c r="P7" s="107" t="n">
        <v>2.05</v>
      </c>
      <c r="Q7" s="113" t="n">
        <v>20</v>
      </c>
      <c r="R7" s="106" t="inlineStr">
        <is>
          <t>H</t>
        </is>
      </c>
      <c r="S7" s="101">
        <f>Bets!AU5</f>
        <v/>
      </c>
      <c r="T7" s="107">
        <f>28/25</f>
        <v/>
      </c>
      <c r="U7" s="104">
        <f>IF(OR(T7="",P7=""),"",P7/T7-1)</f>
        <v/>
      </c>
      <c r="V7" s="85" t="n">
        <v>20</v>
      </c>
      <c r="W7" s="85" t="n">
        <v>40</v>
      </c>
      <c r="X7" s="52" t="n"/>
      <c r="Y7" s="52" t="n"/>
      <c r="Z7" s="52" t="n"/>
    </row>
    <row r="8" ht="15" customHeight="1" s="153">
      <c r="A8" s="93">
        <f>Bets!A6</f>
        <v/>
      </c>
      <c r="B8" s="94">
        <f>Bets!B6</f>
        <v/>
      </c>
      <c r="C8" s="95">
        <f>IF(Bets!H6="","TBC",Bets!H6)</f>
        <v/>
      </c>
      <c r="D8" s="96">
        <f>Bets!D6&amp;"  v  "&amp;Bets!E6</f>
        <v/>
      </c>
      <c r="E8" s="107">
        <f>14/1</f>
        <v/>
      </c>
      <c r="F8" s="107" t="n">
        <v>7.5</v>
      </c>
      <c r="G8" s="105" t="n">
        <v>1.2</v>
      </c>
      <c r="H8" s="98">
        <f>Bets!AD6</f>
        <v/>
      </c>
      <c r="I8" s="99">
        <f>Bets!AH6</f>
        <v/>
      </c>
      <c r="J8" s="100">
        <f>Bets!AJ6</f>
        <v/>
      </c>
      <c r="K8" s="101">
        <f>Bets!AT6</f>
        <v/>
      </c>
      <c r="L8" s="106" t="inlineStr">
        <is>
          <t>Y</t>
        </is>
      </c>
      <c r="M8" s="98">
        <f>IF(Bets!AH6="·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pauses.")),IF(Bets!AH6&lt;&gt;"BET",IF(OR(Bets!AF6&gt;Method!$B$87,IFERROR(INDEX(Bets!BC6:BE6,1,Bets!AB6)/INDEX(Bets!S6:U6,1,Bets!AB6),0)&gt;Method!$B$88),"🛑 NO BET — tail trap (EV "&amp;TEXT(Bets!AF6,"0.0%")&amp;" / model "&amp;TEXT(IFERROR(INDEX(Bets!BC6:BE6,1,Bets!AB6)/INDEX(Bets!S6:U6,1,Bets!AB6),0),"0.0")&amp;"× market)","❌ NO BET — price not good enough"),IF(Bets!AJ6=0,"❌ NO BET — stake under minimum",IF(L8="",IF(AND(Bets!AE6&gt;=6,Bets!AG6&gt;=0.15),"🟡 WAIT — long-shot review: odds "&amp;TEXT(Bets!AE6,"0.00")&amp;" + edge "&amp;TEXT(Bets!AG6,"0.0%")&amp;" — verify sharp-book + team news + stake comfort","🟡 WAIT — check team news first"),IF(L8="N","🔴 SKIP — team news concern",IF(L8="Y","🟢 PLACE £"&amp;Bets!AJ6&amp;" on "&amp;Bets!AD6,"")))))))</f>
        <v/>
      </c>
      <c r="N8" s="106" t="inlineStr">
        <is>
          <t>Y</t>
        </is>
      </c>
      <c r="O8" s="106" t="inlineStr">
        <is>
          <t>A</t>
        </is>
      </c>
      <c r="P8" s="107" t="n">
        <v>7.5</v>
      </c>
      <c r="Q8" s="113" t="n">
        <v>20</v>
      </c>
      <c r="R8" s="106" t="inlineStr">
        <is>
          <t>D</t>
        </is>
      </c>
      <c r="S8" s="101">
        <f>Bets!AU6</f>
        <v/>
      </c>
      <c r="T8" s="107" t="n"/>
      <c r="U8" s="104">
        <f>IF(OR(T8="",P8=""),"",P8/T8-1)</f>
        <v/>
      </c>
      <c r="V8" s="85" t="n">
        <v>20</v>
      </c>
      <c r="W8" s="85" t="n">
        <v>0</v>
      </c>
      <c r="X8" s="52" t="n"/>
      <c r="Y8" s="52" t="n"/>
      <c r="Z8" s="52" t="n"/>
    </row>
    <row r="9" ht="15" customHeight="1" s="153">
      <c r="A9" s="93">
        <f>Bets!A7</f>
        <v/>
      </c>
      <c r="B9" s="94">
        <f>Bets!B7</f>
        <v/>
      </c>
      <c r="C9" s="95">
        <f>IF(Bets!H7="","TBC",Bets!H7)</f>
        <v/>
      </c>
      <c r="D9" s="96">
        <f>Bets!D7&amp;"  v  "&amp;Bets!E7</f>
        <v/>
      </c>
      <c r="E9" s="107" t="n">
        <v>1.7</v>
      </c>
      <c r="F9" s="107" t="n">
        <v>3.75</v>
      </c>
      <c r="G9" s="107" t="n">
        <v>5.5</v>
      </c>
      <c r="H9" s="98">
        <f>Bets!AD7</f>
        <v/>
      </c>
      <c r="I9" s="99">
        <f>Bets!AH7</f>
        <v/>
      </c>
      <c r="J9" s="100">
        <f>Bets!AJ7</f>
        <v/>
      </c>
      <c r="K9" s="101">
        <f>Bets!AT7</f>
        <v/>
      </c>
      <c r="L9" s="106" t="inlineStr">
        <is>
          <t>N</t>
        </is>
      </c>
      <c r="M9" s="98">
        <f>IF(Bets!AH7="·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pauses.")),IF(Bets!AH7&lt;&gt;"BET",IF(OR(Bets!AF7&gt;Method!$B$87,IFERROR(INDEX(Bets!BC7:BE7,1,Bets!AB7)/INDEX(Bets!S7:U7,1,Bets!AB7),0)&gt;Method!$B$88),"🛑 NO BET — tail trap (EV "&amp;TEXT(Bets!AF7,"0.0%")&amp;" / model "&amp;TEXT(IFERROR(INDEX(Bets!BC7:BE7,1,Bets!AB7)/INDEX(Bets!S7:U7,1,Bets!AB7),0),"0.0")&amp;"× market)","❌ NO BET — price not good enough"),IF(Bets!AJ7=0,"❌ NO BET — stake under minimum",IF(L9="",IF(AND(Bets!AE7&gt;=6,Bets!AG7&gt;=0.15),"🟡 WAIT — long-shot review: odds "&amp;TEXT(Bets!AE7,"0.00")&amp;" + edge "&amp;TEXT(Bets!AG7,"0.0%")&amp;" — verify sharp-book + team news + stake comfort","🟡 WAIT — check team news first"),IF(L9="N","🔴 SKIP — team news concern",IF(L9="Y","🟢 PLACE £"&amp;Bets!AJ7&amp;" on "&amp;Bets!AD7,"")))))))</f>
        <v/>
      </c>
      <c r="N9" s="106" t="inlineStr">
        <is>
          <t>Y</t>
        </is>
      </c>
      <c r="O9" s="106" t="inlineStr">
        <is>
          <t>H</t>
        </is>
      </c>
      <c r="P9" s="107" t="n">
        <v>1.68</v>
      </c>
      <c r="Q9" s="113" t="n">
        <v>30</v>
      </c>
      <c r="R9" s="106" t="inlineStr">
        <is>
          <t>D</t>
        </is>
      </c>
      <c r="S9" s="101">
        <f>Bets!AU7</f>
        <v/>
      </c>
      <c r="T9" s="107" t="n"/>
      <c r="U9" s="104">
        <f>IF(OR(T9="",P9=""),"",P9/T9-1)</f>
        <v/>
      </c>
      <c r="V9" s="85">
        <f>0.78+20+0.4+10</f>
        <v/>
      </c>
      <c r="W9" s="85" t="n">
        <v>0</v>
      </c>
      <c r="X9" s="52" t="n"/>
      <c r="Y9" s="52" t="n"/>
      <c r="Z9" s="52" t="n"/>
    </row>
    <row r="10" ht="15" customHeight="1" s="153">
      <c r="A10" s="93">
        <f>Bets!A8</f>
        <v/>
      </c>
      <c r="B10" s="94">
        <f>Bets!B8</f>
        <v/>
      </c>
      <c r="C10" s="93">
        <f>IF(Bets!H8="","TBC",Bets!H8)</f>
        <v/>
      </c>
      <c r="D10" s="96">
        <f>Bets!D8&amp;"  v  "&amp;Bets!E8</f>
        <v/>
      </c>
      <c r="E10" s="107" t="n">
        <v>6</v>
      </c>
      <c r="F10" s="107" t="n">
        <v>4.5</v>
      </c>
      <c r="G10" s="107" t="n">
        <v>0.53</v>
      </c>
      <c r="H10" s="98">
        <f>Bets!AD8</f>
        <v/>
      </c>
      <c r="I10" s="99">
        <f>Bets!AH8</f>
        <v/>
      </c>
      <c r="J10" s="100">
        <f>Bets!AJ8</f>
        <v/>
      </c>
      <c r="K10" s="101">
        <f>Bets!AT8</f>
        <v/>
      </c>
      <c r="L10" s="106" t="n"/>
      <c r="M10" s="98">
        <f>IF(Bets!AH8="·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pauses.")),IF(Bets!AH8&lt;&gt;"BET",IF(OR(Bets!AF8&gt;Method!$B$87,IFERROR(INDEX(Bets!BC8:BE8,1,Bets!AB8)/INDEX(Bets!S8:U8,1,Bets!AB8),0)&gt;Method!$B$88),"🛑 NO BET — tail trap (EV "&amp;TEXT(Bets!AF8,"0.0%")&amp;" / model "&amp;TEXT(IFERROR(INDEX(Bets!BC8:BE8,1,Bets!AB8)/INDEX(Bets!S8:U8,1,Bets!AB8),0),"0.0")&amp;"× market)","❌ NO BET — price not good enough"),IF(Bets!AJ8=0,"❌ NO BET — stake under minimum",IF(L10="",IF(AND(Bets!AE8&gt;=6,Bets!AG8&gt;=0.15),"🟡 WAIT — long-shot review: odds "&amp;TEXT(Bets!AE8,"0.00")&amp;" + edge "&amp;TEXT(Bets!AG8,"0.0%")&amp;" — verify sharp-book + team news + stake comfort","🟡 WAIT — check team news first"),IF(L10="N","🔴 SKIP — team news concern",IF(L10="Y","🟢 PLACE £"&amp;Bets!AJ8&amp;" on "&amp;Bets!AD8,"")))))))</f>
        <v/>
      </c>
      <c r="N10" s="106" t="inlineStr">
        <is>
          <t>N</t>
        </is>
      </c>
      <c r="O10" s="106" t="n"/>
      <c r="P10" s="107" t="n"/>
      <c r="Q10" s="113" t="n"/>
      <c r="R10" s="106" t="inlineStr">
        <is>
          <t>A</t>
        </is>
      </c>
      <c r="S10" s="101">
        <f>Bets!AU8</f>
        <v/>
      </c>
      <c r="T10" s="107" t="n"/>
      <c r="U10" s="104">
        <f>IF(OR(T10="",P10=""),"",P10/T10-1)</f>
        <v/>
      </c>
      <c r="V10" s="85" t="n"/>
      <c r="W10" s="85" t="n"/>
      <c r="X10" s="52" t="n"/>
      <c r="Y10" s="52" t="n"/>
      <c r="Z10" s="52" t="n"/>
    </row>
    <row r="11" ht="15" customHeight="1" s="153">
      <c r="A11" s="93">
        <f>Bets!A9</f>
        <v/>
      </c>
      <c r="B11" s="94">
        <f>Bets!B9</f>
        <v/>
      </c>
      <c r="C11" s="93">
        <f>IF(Bets!H9="","TBC",Bets!H9)</f>
        <v/>
      </c>
      <c r="D11" s="96">
        <f>Bets!D9&amp;"  v  "&amp;Bets!E9</f>
        <v/>
      </c>
      <c r="E11" s="107" t="n">
        <v>5.25</v>
      </c>
      <c r="F11" s="107" t="n">
        <v>3.8</v>
      </c>
      <c r="G11" s="107" t="n">
        <v>1.66</v>
      </c>
      <c r="H11" s="98">
        <f>Bets!AD9</f>
        <v/>
      </c>
      <c r="I11" s="99">
        <f>Bets!AH9</f>
        <v/>
      </c>
      <c r="J11" s="100">
        <f>Bets!AJ9</f>
        <v/>
      </c>
      <c r="K11" s="101">
        <f>Bets!AT9</f>
        <v/>
      </c>
      <c r="L11" s="106" t="inlineStr">
        <is>
          <t>Y</t>
        </is>
      </c>
      <c r="M11" s="98">
        <f>IF(Bets!AH9="·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pauses.")),IF(Bets!AH9&lt;&gt;"BET",IF(OR(Bets!AF9&gt;Method!$B$87,IFERROR(INDEX(Bets!BC9:BE9,1,Bets!AB9)/INDEX(Bets!S9:U9,1,Bets!AB9),0)&gt;Method!$B$88),"🛑 NO BET — tail trap (EV "&amp;TEXT(Bets!AF9,"0.0%")&amp;" / model "&amp;TEXT(IFERROR(INDEX(Bets!BC9:BE9,1,Bets!AB9)/INDEX(Bets!S9:U9,1,Bets!AB9),0),"0.0")&amp;"× market)","❌ NO BET — price not good enough"),IF(Bets!AJ9=0,"❌ NO BET — stake under minimum",IF(L11="",IF(AND(Bets!AE9&gt;=6,Bets!AG9&gt;=0.15),"🟡 WAIT — long-shot review: odds "&amp;TEXT(Bets!AE9,"0.00")&amp;" + edge "&amp;TEXT(Bets!AG9,"0.0%")&amp;" — verify sharp-book + team news + stake comfort","🟡 WAIT — check team news first"),IF(L11="N","🔴 SKIP — team news concern",IF(L11="Y","🟢 PLACE £"&amp;Bets!AJ9&amp;" on "&amp;Bets!AD9,"")))))))</f>
        <v/>
      </c>
      <c r="N11" s="106" t="inlineStr">
        <is>
          <t>Y</t>
        </is>
      </c>
      <c r="O11" s="106" t="inlineStr">
        <is>
          <t>H</t>
        </is>
      </c>
      <c r="P11" s="107" t="n">
        <v>5.25</v>
      </c>
      <c r="Q11" s="113" t="n">
        <v>10</v>
      </c>
      <c r="R11" s="106" t="inlineStr">
        <is>
          <t>H</t>
        </is>
      </c>
      <c r="S11" s="101">
        <f>Bets!AU9</f>
        <v/>
      </c>
      <c r="T11" s="107">
        <f>19/4</f>
        <v/>
      </c>
      <c r="U11" s="104">
        <f>IF(OR(T11="",P11=""),"",P11/T11-1)</f>
        <v/>
      </c>
      <c r="V11" s="85" t="n">
        <v>10</v>
      </c>
      <c r="W11" s="85" t="n">
        <v>52.5</v>
      </c>
      <c r="X11" s="52" t="n"/>
      <c r="Y11" s="52" t="n"/>
      <c r="Z11" s="52" t="n"/>
    </row>
    <row r="12" ht="15" customHeight="1" s="153">
      <c r="A12" s="93">
        <f>Bets!A10</f>
        <v/>
      </c>
      <c r="B12" s="94">
        <f>Bets!B10</f>
        <v/>
      </c>
      <c r="C12" s="95">
        <f>IF(Bets!H10="","TBC",Bets!H10)</f>
        <v/>
      </c>
      <c r="D12" s="96">
        <f>Bets!D10&amp;"  v  "&amp;Bets!E10</f>
        <v/>
      </c>
      <c r="E12" s="107" t="n">
        <v>1.03</v>
      </c>
      <c r="F12" s="107" t="n">
        <v>19</v>
      </c>
      <c r="G12" s="107" t="n">
        <v>34</v>
      </c>
      <c r="H12" s="98">
        <f>Bets!AD10</f>
        <v/>
      </c>
      <c r="I12" s="99">
        <f>Bets!AH10</f>
        <v/>
      </c>
      <c r="J12" s="100">
        <f>Bets!AJ10</f>
        <v/>
      </c>
      <c r="K12" s="101">
        <f>Bets!AT10</f>
        <v/>
      </c>
      <c r="L12" s="106" t="inlineStr">
        <is>
          <t>Y</t>
        </is>
      </c>
      <c r="M12" s="98">
        <f>IF(Bets!AH10="·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pauses.")),IF(Bets!AH10&lt;&gt;"BET",IF(OR(Bets!AF10&gt;Method!$B$87,IFERROR(INDEX(Bets!BC10:BE10,1,Bets!AB10)/INDEX(Bets!S10:U10,1,Bets!AB10),0)&gt;Method!$B$88),"🛑 NO BET — tail trap (EV "&amp;TEXT(Bets!AF10,"0.0%")&amp;" / model "&amp;TEXT(IFERROR(INDEX(Bets!BC10:BE10,1,Bets!AB10)/INDEX(Bets!S10:U10,1,Bets!AB10),0),"0.0")&amp;"× market)","❌ NO BET — price not good enough"),IF(Bets!AJ10=0,"❌ NO BET — stake under minimum",IF(L12="",IF(AND(Bets!AE10&gt;=6,Bets!AG10&gt;=0.15),"🟡 WAIT — long-shot review: odds "&amp;TEXT(Bets!AE10,"0.00")&amp;" + edge "&amp;TEXT(Bets!AG10,"0.0%")&amp;" — verify sharp-book + team news + stake comfort","🟡 WAIT — check team news first"),IF(L12="N","🔴 SKIP — team news concern",IF(L12="Y","🟢 PLACE £"&amp;Bets!AJ10&amp;" on "&amp;Bets!AD10,"")))))))</f>
        <v/>
      </c>
      <c r="N12" s="106" t="inlineStr">
        <is>
          <t>Y</t>
        </is>
      </c>
      <c r="O12" s="106" t="inlineStr">
        <is>
          <t>D</t>
        </is>
      </c>
      <c r="P12" s="107" t="n">
        <v>19</v>
      </c>
      <c r="Q12" s="113" t="n">
        <v>6</v>
      </c>
      <c r="R12" s="106" t="inlineStr">
        <is>
          <t>H</t>
        </is>
      </c>
      <c r="S12" s="101">
        <f>Bets!AU10</f>
        <v/>
      </c>
      <c r="T12" s="107" t="n"/>
      <c r="U12" s="104">
        <f>IF(OR(T12="",P12=""),"",P12/T12-1)</f>
        <v/>
      </c>
      <c r="V12" s="85" t="n"/>
      <c r="W12" s="85" t="n"/>
      <c r="X12" s="52" t="n"/>
      <c r="Y12" s="52" t="n"/>
      <c r="Z12" s="52" t="n"/>
    </row>
    <row r="13" ht="15" customHeight="1" s="153">
      <c r="A13" s="93">
        <f>Bets!A11</f>
        <v/>
      </c>
      <c r="B13" s="94">
        <f>Bets!B11</f>
        <v/>
      </c>
      <c r="C13" s="95">
        <f>IF(Bets!H11="","TBC",Bets!H11)</f>
        <v/>
      </c>
      <c r="D13" s="96">
        <f>Bets!D11&amp;"  v  "&amp;Bets!E11</f>
        <v/>
      </c>
      <c r="E13" s="107" t="n">
        <v>2.05</v>
      </c>
      <c r="F13" s="107" t="n">
        <v>3.5</v>
      </c>
      <c r="G13" s="107" t="n">
        <v>3.7</v>
      </c>
      <c r="H13" s="98">
        <f>Bets!AD11</f>
        <v/>
      </c>
      <c r="I13" s="99">
        <f>Bets!AH11</f>
        <v/>
      </c>
      <c r="J13" s="100">
        <f>Bets!AJ11</f>
        <v/>
      </c>
      <c r="K13" s="101">
        <f>Bets!AT11</f>
        <v/>
      </c>
      <c r="L13" s="106" t="inlineStr">
        <is>
          <t>N</t>
        </is>
      </c>
      <c r="M13" s="98">
        <f>IF(Bets!AH11="·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pauses.")),IF(Bets!AH11&lt;&gt;"BET",IF(OR(Bets!AF11&gt;Method!$B$87,IFERROR(INDEX(Bets!BC11:BE11,1,Bets!AB11)/INDEX(Bets!S11:U11,1,Bets!AB11),0)&gt;Method!$B$88),"🛑 NO BET — tail trap (EV "&amp;TEXT(Bets!AF11,"0.0%")&amp;" / model "&amp;TEXT(IFERROR(INDEX(Bets!BC11:BE11,1,Bets!AB11)/INDEX(Bets!S11:U11,1,Bets!AB11),0),"0.0")&amp;"× market)","❌ NO BET — price not good enough"),IF(Bets!AJ11=0,"❌ NO BET — stake under minimum",IF(L13="",IF(AND(Bets!AE11&gt;=6,Bets!AG11&gt;=0.15),"🟡 WAIT — long-shot review: odds "&amp;TEXT(Bets!AE11,"0.00")&amp;" + edge "&amp;TEXT(Bets!AG11,"0.0%")&amp;" — verify sharp-book + team news + stake comfort","🟡 WAIT — check team news first"),IF(L13="N","🔴 SKIP — team news concern",IF(L13="Y","🟢 PLACE £"&amp;Bets!AJ11&amp;" on "&amp;Bets!AD11,"")))))))</f>
        <v/>
      </c>
      <c r="N13" s="106" t="inlineStr">
        <is>
          <t>Y</t>
        </is>
      </c>
      <c r="O13" s="106" t="inlineStr">
        <is>
          <t>H</t>
        </is>
      </c>
      <c r="P13" s="107">
        <f>1/1</f>
        <v/>
      </c>
      <c r="Q13" s="113" t="n"/>
      <c r="R13" s="106" t="inlineStr">
        <is>
          <t>D</t>
        </is>
      </c>
      <c r="S13" s="101">
        <f>Bets!AU11</f>
        <v/>
      </c>
      <c r="T13" s="107" t="n"/>
      <c r="U13" s="104">
        <f>IF(OR(T13="",P13=""),"",P13/T13-1)</f>
        <v/>
      </c>
      <c r="V13" s="85" t="n"/>
      <c r="W13" s="85" t="n"/>
      <c r="X13" s="52" t="n"/>
      <c r="Y13" s="52" t="n"/>
      <c r="Z13" s="52" t="n"/>
    </row>
    <row r="14" ht="15" customHeight="1" s="153">
      <c r="A14" s="93">
        <f>Bets!A12</f>
        <v/>
      </c>
      <c r="B14" s="94">
        <f>Bets!B12</f>
        <v/>
      </c>
      <c r="C14" s="93">
        <f>IF(Bets!H12="","TBC",Bets!H12)</f>
        <v/>
      </c>
      <c r="D14" s="96">
        <f>Bets!D12&amp;"  v  "&amp;Bets!E12</f>
        <v/>
      </c>
      <c r="E14" s="105">
        <f>21/10</f>
        <v/>
      </c>
      <c r="F14" s="107">
        <f>7/4</f>
        <v/>
      </c>
      <c r="G14" s="107">
        <f>8/5</f>
        <v/>
      </c>
      <c r="H14" s="98">
        <f>Bets!AD12</f>
        <v/>
      </c>
      <c r="I14" s="99">
        <f>Bets!AH12</f>
        <v/>
      </c>
      <c r="J14" s="100">
        <f>Bets!AJ12</f>
        <v/>
      </c>
      <c r="K14" s="101">
        <f>Bets!AT12</f>
        <v/>
      </c>
      <c r="L14" s="106" t="n"/>
      <c r="M14" s="98">
        <f>IF(Bets!AH12="·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pauses.")),IF(Bets!AH12&lt;&gt;"BET",IF(OR(Bets!AF12&gt;Method!$B$87,IFERROR(INDEX(Bets!BC12:BE12,1,Bets!AB12)/INDEX(Bets!S12:U12,1,Bets!AB12),0)&gt;Method!$B$88),"🛑 NO BET — tail trap (EV "&amp;TEXT(Bets!AF12,"0.0%")&amp;" / model "&amp;TEXT(IFERROR(INDEX(Bets!BC12:BE12,1,Bets!AB12)/INDEX(Bets!S12:U12,1,Bets!AB12),0),"0.0")&amp;"× market)","❌ NO BET — price not good enough"),IF(Bets!AJ12=0,"❌ NO BET — stake under minimum",IF(L14="",IF(AND(Bets!AE12&gt;=6,Bets!AG12&gt;=0.15),"🟡 WAIT — long-shot review: odds "&amp;TEXT(Bets!AE12,"0.00")&amp;" + edge "&amp;TEXT(Bets!AG12,"0.0%")&amp;" — verify sharp-book + team news + stake comfort","🟡 WAIT — check team news first"),IF(L14="N","🔴 SKIP — team news concern",IF(L14="Y","🟢 PLACE £"&amp;Bets!AJ12&amp;" on "&amp;Bets!AD12,"")))))))</f>
        <v/>
      </c>
      <c r="N14" s="106" t="n"/>
      <c r="O14" s="106" t="n"/>
      <c r="P14" s="107" t="n"/>
      <c r="Q14" s="113" t="n"/>
      <c r="R14" s="106" t="inlineStr">
        <is>
          <t>H</t>
        </is>
      </c>
      <c r="S14" s="101">
        <f>Bets!AU12</f>
        <v/>
      </c>
      <c r="T14" s="107" t="n"/>
      <c r="U14" s="104">
        <f>IF(OR(T14="",P14=""),"",P14/T14-1)</f>
        <v/>
      </c>
      <c r="V14" s="85" t="n"/>
      <c r="W14" s="85" t="n"/>
      <c r="X14" s="52" t="n"/>
      <c r="Y14" s="52" t="n"/>
      <c r="Z14" s="52" t="n"/>
    </row>
    <row r="15" ht="15" customHeight="1" s="153">
      <c r="A15" s="93">
        <f>Bets!A13</f>
        <v/>
      </c>
      <c r="B15" s="94">
        <f>Bets!B13</f>
        <v/>
      </c>
      <c r="C15" s="93">
        <f>IF(Bets!H13="","TBC",Bets!H13)</f>
        <v/>
      </c>
      <c r="D15" s="96">
        <f>Bets!D13&amp;"  v  "&amp;Bets!E13</f>
        <v/>
      </c>
      <c r="E15" s="107" t="n">
        <v>1.9</v>
      </c>
      <c r="F15" s="107" t="n">
        <v>3.4</v>
      </c>
      <c r="G15" s="107" t="n">
        <v>4.33</v>
      </c>
      <c r="H15" s="98">
        <f>Bets!AD13</f>
        <v/>
      </c>
      <c r="I15" s="99">
        <f>Bets!AH13</f>
        <v/>
      </c>
      <c r="J15" s="100">
        <f>Bets!AJ13</f>
        <v/>
      </c>
      <c r="K15" s="101">
        <f>Bets!AT13</f>
        <v/>
      </c>
      <c r="L15" s="106" t="inlineStr">
        <is>
          <t>N</t>
        </is>
      </c>
      <c r="M15" s="98">
        <f>IF(Bets!AH13="·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pauses.")),IF(Bets!AH13&lt;&gt;"BET",IF(OR(Bets!AF13&gt;Method!$B$87,IFERROR(INDEX(Bets!BC13:BE13,1,Bets!AB13)/INDEX(Bets!S13:U13,1,Bets!AB13),0)&gt;Method!$B$88),"🛑 NO BET — tail trap (EV "&amp;TEXT(Bets!AF13,"0.0%")&amp;" / model "&amp;TEXT(IFERROR(INDEX(Bets!BC13:BE13,1,Bets!AB13)/INDEX(Bets!S13:U13,1,Bets!AB13),0),"0.0")&amp;"× market)","❌ NO BET — price not good enough"),IF(Bets!AJ13=0,"❌ NO BET — stake under minimum",IF(L15="",IF(AND(Bets!AE13&gt;=6,Bets!AG13&gt;=0.15),"🟡 WAIT — long-shot review: odds "&amp;TEXT(Bets!AE13,"0.00")&amp;" + edge "&amp;TEXT(Bets!AG13,"0.0%")&amp;" — verify sharp-book + team news + stake comfort","🟡 WAIT — check team news first"),IF(L15="N","🔴 SKIP — team news concern",IF(L15="Y","🟢 PLACE £"&amp;Bets!AJ13&amp;" on "&amp;Bets!AD13,"")))))))</f>
        <v/>
      </c>
      <c r="N15" s="106" t="n"/>
      <c r="O15" s="106" t="n"/>
      <c r="P15" s="107" t="n"/>
      <c r="Q15" s="113" t="n"/>
      <c r="R15" s="106" t="inlineStr">
        <is>
          <t>H</t>
        </is>
      </c>
      <c r="S15" s="101">
        <f>Bets!AU13</f>
        <v/>
      </c>
      <c r="T15" s="107" t="n"/>
      <c r="U15" s="104">
        <f>IF(OR(T15="",P15=""),"",P15/T15-1)</f>
        <v/>
      </c>
      <c r="V15" s="85" t="n"/>
      <c r="W15" s="85" t="n"/>
      <c r="X15" s="52" t="n"/>
      <c r="Y15" s="52" t="n"/>
      <c r="Z15" s="52" t="n"/>
    </row>
    <row r="16" ht="15" customHeight="1" s="153">
      <c r="A16" s="93">
        <f>Bets!A14</f>
        <v/>
      </c>
      <c r="B16" s="94">
        <f>Bets!B14</f>
        <v/>
      </c>
      <c r="C16" s="95">
        <f>IF(Bets!H14="","TBC",Bets!H14)</f>
        <v/>
      </c>
      <c r="D16" s="96">
        <f>Bets!D14&amp;"  v  "&amp;Bets!E14</f>
        <v/>
      </c>
      <c r="E16" s="107" t="n">
        <v>1.11</v>
      </c>
      <c r="F16" s="107" t="n">
        <v>14</v>
      </c>
      <c r="G16" s="107" t="n">
        <v>36</v>
      </c>
      <c r="H16" s="98">
        <f>Bets!AD14</f>
        <v/>
      </c>
      <c r="I16" s="99">
        <f>Bets!AH14</f>
        <v/>
      </c>
      <c r="J16" s="100">
        <f>Bets!AJ14</f>
        <v/>
      </c>
      <c r="K16" s="101">
        <f>Bets!AT14</f>
        <v/>
      </c>
      <c r="L16" s="106" t="inlineStr">
        <is>
          <t>Y</t>
        </is>
      </c>
      <c r="M16" s="98">
        <f>IF(Bets!AH14="·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pauses.")),IF(Bets!AH14&lt;&gt;"BET",IF(OR(Bets!AF14&gt;Method!$B$87,IFERROR(INDEX(Bets!BC14:BE14,1,Bets!AB14)/INDEX(Bets!S14:U14,1,Bets!AB14),0)&gt;Method!$B$88),"🛑 NO BET — tail trap (EV "&amp;TEXT(Bets!AF14,"0.0%")&amp;" / model "&amp;TEXT(IFERROR(INDEX(Bets!BC14:BE14,1,Bets!AB14)/INDEX(Bets!S14:U14,1,Bets!AB14),0),"0.0")&amp;"× market)","❌ NO BET — price not good enough"),IF(Bets!AJ14=0,"❌ NO BET — stake under minimum",IF(L16="",IF(AND(Bets!AE14&gt;=6,Bets!AG14&gt;=0.15),"🟡 WAIT — long-shot review: odds "&amp;TEXT(Bets!AE14,"0.00")&amp;" + edge "&amp;TEXT(Bets!AG14,"0.0%")&amp;" — verify sharp-book + team news + stake comfort","🟡 WAIT — check team news first"),IF(L16="N","🔴 SKIP — team news concern",IF(L16="Y","🟢 PLACE £"&amp;Bets!AJ14&amp;" on "&amp;Bets!AD14,"")))))))</f>
        <v/>
      </c>
      <c r="N16" s="106" t="n"/>
      <c r="O16" s="106" t="n"/>
      <c r="P16" s="107" t="n"/>
      <c r="Q16" s="113" t="n"/>
      <c r="R16" s="106" t="inlineStr">
        <is>
          <t>D</t>
        </is>
      </c>
      <c r="S16" s="101">
        <f>Bets!AU14</f>
        <v/>
      </c>
      <c r="T16" s="107" t="n"/>
      <c r="U16" s="104">
        <f>IF(OR(T16="",P16=""),"",P16/T16-1)</f>
        <v/>
      </c>
      <c r="V16" s="85" t="n"/>
      <c r="W16" s="85" t="n"/>
      <c r="X16" s="52" t="n"/>
      <c r="Y16" s="52" t="n"/>
      <c r="Z16" s="52" t="n"/>
    </row>
    <row r="17" ht="15" customHeight="1" s="153">
      <c r="A17" s="93">
        <f>Bets!A15</f>
        <v/>
      </c>
      <c r="B17" s="94">
        <f>Bets!B15</f>
        <v/>
      </c>
      <c r="C17" s="95">
        <f>IF(Bets!H15="","TBC",Bets!H15)</f>
        <v/>
      </c>
      <c r="D17" s="96">
        <f>Bets!D15&amp;"  v  "&amp;Bets!E15</f>
        <v/>
      </c>
      <c r="E17" s="107" t="n">
        <v>1.57</v>
      </c>
      <c r="F17" s="107" t="n">
        <v>4.33</v>
      </c>
      <c r="G17" s="107" t="n">
        <v>7</v>
      </c>
      <c r="H17" s="98">
        <f>Bets!AD15</f>
        <v/>
      </c>
      <c r="I17" s="99">
        <f>Bets!AH15</f>
        <v/>
      </c>
      <c r="J17" s="100">
        <f>Bets!AJ15</f>
        <v/>
      </c>
      <c r="K17" s="101">
        <f>Bets!AT15</f>
        <v/>
      </c>
      <c r="L17" s="106" t="n"/>
      <c r="M17" s="98">
        <f>IF(Bets!AH15="·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pauses.")),IF(Bets!AH15&lt;&gt;"BET",IF(OR(Bets!AF15&gt;Method!$B$87,IFERROR(INDEX(Bets!BC15:BE15,1,Bets!AB15)/INDEX(Bets!S15:U15,1,Bets!AB15),0)&gt;Method!$B$88),"🛑 NO BET — tail trap (EV "&amp;TEXT(Bets!AF15,"0.0%")&amp;" / model "&amp;TEXT(IFERROR(INDEX(Bets!BC15:BE15,1,Bets!AB15)/INDEX(Bets!S15:U15,1,Bets!AB15),0),"0.0")&amp;"× market)","❌ NO BET — price not good enough"),IF(Bets!AJ15=0,"❌ NO BET — stake under minimum",IF(L17="",IF(AND(Bets!AE15&gt;=6,Bets!AG15&gt;=0.15),"🟡 WAIT — long-shot review: odds "&amp;TEXT(Bets!AE15,"0.00")&amp;" + edge "&amp;TEXT(Bets!AG15,"0.0%")&amp;" — verify sharp-book + team news + stake comfort","🟡 WAIT — check team news first"),IF(L17="N","🔴 SKIP — team news concern",IF(L17="Y","🟢 PLACE £"&amp;Bets!AJ15&amp;" on "&amp;Bets!AD15,"")))))))</f>
        <v/>
      </c>
      <c r="N17" s="106" t="n"/>
      <c r="O17" s="106" t="n"/>
      <c r="P17" s="107" t="n"/>
      <c r="Q17" s="113" t="n"/>
      <c r="R17" s="106" t="inlineStr">
        <is>
          <t>D</t>
        </is>
      </c>
      <c r="S17" s="101">
        <f>Bets!AU15</f>
        <v/>
      </c>
      <c r="T17" s="107" t="n"/>
      <c r="U17" s="104">
        <f>IF(OR(T17="",P17=""),"",P17/T17-1)</f>
        <v/>
      </c>
      <c r="V17" s="85" t="n"/>
      <c r="W17" s="85" t="n"/>
      <c r="X17" s="52" t="n"/>
      <c r="Y17" s="52" t="n"/>
      <c r="Z17" s="52" t="n"/>
    </row>
    <row r="18" ht="15" customHeight="1" s="153">
      <c r="A18" s="93">
        <f>Bets!A16</f>
        <v/>
      </c>
      <c r="B18" s="94">
        <f>Bets!B16</f>
        <v/>
      </c>
      <c r="C18" s="95">
        <f>IF(Bets!H16="","TBC",Bets!H16)</f>
        <v/>
      </c>
      <c r="D18" s="96">
        <f>Bets!D16&amp;"  v  "&amp;Bets!E16</f>
        <v/>
      </c>
      <c r="E18" s="107" t="n">
        <v>8</v>
      </c>
      <c r="F18" s="107" t="n">
        <v>4.5</v>
      </c>
      <c r="G18" s="107" t="n">
        <v>1.5</v>
      </c>
      <c r="H18" s="98">
        <f>Bets!AD16</f>
        <v/>
      </c>
      <c r="I18" s="99">
        <f>Bets!AH16</f>
        <v/>
      </c>
      <c r="J18" s="100">
        <f>Bets!AJ16</f>
        <v/>
      </c>
      <c r="K18" s="101">
        <f>Bets!AT16</f>
        <v/>
      </c>
      <c r="L18" s="106" t="n"/>
      <c r="M18" s="98">
        <f>IF(Bets!AH16="·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pauses.")),IF(Bets!AH16&lt;&gt;"BET",IF(OR(Bets!AF16&gt;Method!$B$87,IFERROR(INDEX(Bets!BC16:BE16,1,Bets!AB16)/INDEX(Bets!S16:U16,1,Bets!AB16),0)&gt;Method!$B$88),"🛑 NO BET — tail trap (EV "&amp;TEXT(Bets!AF16,"0.0%")&amp;" / model "&amp;TEXT(IFERROR(INDEX(Bets!BC16:BE16,1,Bets!AB16)/INDEX(Bets!S16:U16,1,Bets!AB16),0),"0.0")&amp;"× market)","❌ NO BET — price not good enough"),IF(Bets!AJ16=0,"❌ NO BET — stake under minimum",IF(L18="",IF(AND(Bets!AE16&gt;=6,Bets!AG16&gt;=0.15),"🟡 WAIT — long-shot review: odds "&amp;TEXT(Bets!AE16,"0.00")&amp;" + edge "&amp;TEXT(Bets!AG16,"0.0%")&amp;" — verify sharp-book + team news + stake comfort","🟡 WAIT — check team news first"),IF(L18="N","🔴 SKIP — team news concern",IF(L18="Y","🟢 PLACE £"&amp;Bets!AJ16&amp;" on "&amp;Bets!AD16,"")))))))</f>
        <v/>
      </c>
      <c r="N18" s="106" t="n"/>
      <c r="O18" s="106" t="n"/>
      <c r="P18" s="107" t="n"/>
      <c r="Q18" s="113" t="n"/>
      <c r="R18" s="106" t="inlineStr">
        <is>
          <t>D</t>
        </is>
      </c>
      <c r="S18" s="101">
        <f>Bets!AU16</f>
        <v/>
      </c>
      <c r="T18" s="107" t="n"/>
      <c r="U18" s="104">
        <f>IF(OR(T18="",P18=""),"",P18/T18-1)</f>
        <v/>
      </c>
      <c r="V18" s="85" t="n"/>
      <c r="W18" s="85" t="n"/>
      <c r="X18" s="52" t="n"/>
      <c r="Y18" s="52" t="n"/>
      <c r="Z18" s="52" t="n"/>
    </row>
    <row r="19" ht="15" customHeight="1" s="153">
      <c r="A19" s="93">
        <f>Bets!A17</f>
        <v/>
      </c>
      <c r="B19" s="94">
        <f>Bets!B17</f>
        <v/>
      </c>
      <c r="C19" s="93">
        <f>IF(Bets!H17="","TBC",Bets!H17)</f>
        <v/>
      </c>
      <c r="D19" s="96">
        <f>Bets!D17&amp;"  v  "&amp;Bets!E17</f>
        <v/>
      </c>
      <c r="E19" s="107" t="n">
        <v>1.93</v>
      </c>
      <c r="F19" s="107" t="n">
        <v>3.5</v>
      </c>
      <c r="G19" s="107" t="n">
        <v>5</v>
      </c>
      <c r="H19" s="98">
        <f>Bets!AD17</f>
        <v/>
      </c>
      <c r="I19" s="99">
        <f>Bets!AH17</f>
        <v/>
      </c>
      <c r="J19" s="100">
        <f>Bets!AJ17</f>
        <v/>
      </c>
      <c r="K19" s="101">
        <f>Bets!AT17</f>
        <v/>
      </c>
      <c r="L19" s="106" t="n"/>
      <c r="M19" s="98">
        <f>IF(Bets!AH17="·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pauses.")),IF(Bets!AH17&lt;&gt;"BET",IF(OR(Bets!AF17&gt;Method!$B$87,IFERROR(INDEX(Bets!BC17:BE17,1,Bets!AB17)/INDEX(Bets!S17:U17,1,Bets!AB17),0)&gt;Method!$B$88),"🛑 NO BET — tail trap (EV "&amp;TEXT(Bets!AF17,"0.0%")&amp;" / model "&amp;TEXT(IFERROR(INDEX(Bets!BC17:BE17,1,Bets!AB17)/INDEX(Bets!S17:U17,1,Bets!AB17),0),"0.0")&amp;"× market)","❌ NO BET — price not good enough"),IF(Bets!AJ17=0,"❌ NO BET — stake under minimum",IF(L19="",IF(AND(Bets!AE17&gt;=6,Bets!AG17&gt;=0.15),"🟡 WAIT — long-shot review: odds "&amp;TEXT(Bets!AE17,"0.00")&amp;" + edge "&amp;TEXT(Bets!AG17,"0.0%")&amp;" — verify sharp-book + team news + stake comfort","🟡 WAIT — check team news first"),IF(L19="N","🔴 SKIP — team news concern",IF(L19="Y","🟢 PLACE £"&amp;Bets!AJ17&amp;" on "&amp;Bets!AD17,"")))))))</f>
        <v/>
      </c>
      <c r="N19" s="106" t="n"/>
      <c r="O19" s="106" t="n"/>
      <c r="P19" s="107" t="n"/>
      <c r="Q19" s="113" t="n"/>
      <c r="R19" s="106" t="inlineStr">
        <is>
          <t>D</t>
        </is>
      </c>
      <c r="S19" s="101">
        <f>Bets!AU17</f>
        <v/>
      </c>
      <c r="T19" s="107" t="n"/>
      <c r="U19" s="104">
        <f>IF(OR(T19="",P19=""),"",P19/T19-1)</f>
        <v/>
      </c>
      <c r="V19" s="85" t="n"/>
      <c r="W19" s="85" t="n"/>
      <c r="X19" s="52" t="n"/>
      <c r="Y19" s="52" t="n"/>
      <c r="Z19" s="52" t="n"/>
    </row>
    <row r="20" ht="15" customHeight="1" s="153">
      <c r="A20" s="108">
        <f>Bets!A18</f>
        <v/>
      </c>
      <c r="B20" s="109">
        <f>Bets!B18</f>
        <v/>
      </c>
      <c r="C20" s="110">
        <f>IF(Bets!H18="","TBC",Bets!H18)</f>
        <v/>
      </c>
      <c r="D20" s="101">
        <f>Bets!D18&amp;"  v  "&amp;Bets!E18</f>
        <v/>
      </c>
      <c r="E20" s="107" t="n">
        <v>1.52</v>
      </c>
      <c r="F20" s="107" t="n">
        <v>4.55</v>
      </c>
      <c r="G20" s="107" t="n">
        <v>7.2</v>
      </c>
      <c r="H20" s="98">
        <f>Bets!AD18</f>
        <v/>
      </c>
      <c r="I20" s="99">
        <f>Bets!AH18</f>
        <v/>
      </c>
      <c r="J20" s="100">
        <f>Bets!AJ18</f>
        <v/>
      </c>
      <c r="K20" s="101">
        <f>Bets!AT18</f>
        <v/>
      </c>
      <c r="L20" s="106" t="n"/>
      <c r="M20" s="98">
        <f>IF(Bets!AH18="·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pauses.")),IF(Bets!AH18&lt;&gt;"BET",IF(OR(Bets!AF18&gt;Method!$B$87,IFERROR(INDEX(Bets!BC18:BE18,1,Bets!AB18)/INDEX(Bets!S18:U18,1,Bets!AB18),0)&gt;Method!$B$88),"🛑 NO BET — tail trap (EV "&amp;TEXT(Bets!AF18,"0.0%")&amp;" / model "&amp;TEXT(IFERROR(INDEX(Bets!BC18:BE18,1,Bets!AB18)/INDEX(Bets!S18:U18,1,Bets!AB18),0),"0.0")&amp;"× market)","❌ NO BET — price not good enough"),IF(Bets!AJ18=0,"❌ NO BET — stake under minimum",IF(L20="",IF(AND(Bets!AE18&gt;=6,Bets!AG18&gt;=0.15),"🟡 WAIT — long-shot review: odds "&amp;TEXT(Bets!AE18,"0.00")&amp;" + edge "&amp;TEXT(Bets!AG18,"0.0%")&amp;" — verify sharp-book + team news + stake comfort","🟡 WAIT — check team news first"),IF(L20="N","🔴 SKIP — team news concern",IF(L20="Y","🟢 PLACE £"&amp;Bets!AJ18&amp;" on "&amp;Bets!AD18,"")))))))</f>
        <v/>
      </c>
      <c r="N20" s="106" t="n"/>
      <c r="O20" s="106" t="n"/>
      <c r="P20" s="107" t="n"/>
      <c r="Q20" s="113" t="n"/>
      <c r="R20" s="106" t="inlineStr">
        <is>
          <t>H</t>
        </is>
      </c>
      <c r="S20" s="101">
        <f>Bets!AU18</f>
        <v/>
      </c>
      <c r="T20" s="107" t="n"/>
      <c r="U20" s="104">
        <f>IF(OR(T20="",P20=""),"",P20/T20-1)</f>
        <v/>
      </c>
      <c r="V20" s="85" t="n"/>
      <c r="W20" s="85" t="n"/>
      <c r="X20" s="52" t="n"/>
      <c r="Y20" s="52" t="n"/>
      <c r="Z20" s="52" t="n"/>
    </row>
    <row r="21" ht="15" customHeight="1" s="153">
      <c r="A21" s="108">
        <f>Bets!A19</f>
        <v/>
      </c>
      <c r="B21" s="109">
        <f>Bets!B19</f>
        <v/>
      </c>
      <c r="C21" s="110">
        <f>IF(Bets!H19="","TBC",Bets!H19)</f>
        <v/>
      </c>
      <c r="D21" s="101">
        <f>Bets!D19&amp;"  v  "&amp;Bets!E19</f>
        <v/>
      </c>
      <c r="E21" s="107" t="n">
        <v>15</v>
      </c>
      <c r="F21" s="107" t="n">
        <v>7.5</v>
      </c>
      <c r="G21" s="107" t="n">
        <v>1.24</v>
      </c>
      <c r="H21" s="98">
        <f>Bets!AD19</f>
        <v/>
      </c>
      <c r="I21" s="99">
        <f>Bets!AH19</f>
        <v/>
      </c>
      <c r="J21" s="100">
        <f>Bets!AJ19</f>
        <v/>
      </c>
      <c r="K21" s="101">
        <f>Bets!AT19</f>
        <v/>
      </c>
      <c r="L21" s="106" t="n"/>
      <c r="M21" s="98">
        <f>IF(Bets!AH19="·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pauses.")),IF(Bets!AH19&lt;&gt;"BET",IF(OR(Bets!AF19&gt;Method!$B$87,IFERROR(INDEX(Bets!BC19:BE19,1,Bets!AB19)/INDEX(Bets!S19:U19,1,Bets!AB19),0)&gt;Method!$B$88),"🛑 NO BET — tail trap (EV "&amp;TEXT(Bets!AF19,"0.0%")&amp;" / model "&amp;TEXT(IFERROR(INDEX(Bets!BC19:BE19,1,Bets!AB19)/INDEX(Bets!S19:U19,1,Bets!AB19),0),"0.0")&amp;"× market)","❌ NO BET — price not good enough"),IF(Bets!AJ19=0,"❌ NO BET — stake under minimum",IF(L21="",IF(AND(Bets!AE19&gt;=6,Bets!AG19&gt;=0.15),"🟡 WAIT — long-shot review: odds "&amp;TEXT(Bets!AE19,"0.00")&amp;" + edge "&amp;TEXT(Bets!AG19,"0.0%")&amp;" — verify sharp-book + team news + stake comfort","🟡 WAIT — check team news first"),IF(L21="N","🔴 SKIP — team news concern",IF(L21="Y","🟢 PLACE £"&amp;Bets!AJ19&amp;" on "&amp;Bets!AD19,"")))))))</f>
        <v/>
      </c>
      <c r="N21" s="106" t="n"/>
      <c r="O21" s="106" t="n"/>
      <c r="P21" s="107" t="n"/>
      <c r="Q21" s="113" t="n"/>
      <c r="R21" s="106" t="inlineStr">
        <is>
          <t>A</t>
        </is>
      </c>
      <c r="S21" s="101">
        <f>Bets!AU19</f>
        <v/>
      </c>
      <c r="T21" s="107" t="n"/>
      <c r="U21" s="104">
        <f>IF(OR(T21="",P21=""),"",P21/T21-1)</f>
        <v/>
      </c>
      <c r="V21" s="85" t="n"/>
      <c r="W21" s="85" t="n"/>
      <c r="X21" s="52" t="n"/>
      <c r="Y21" s="52" t="n"/>
      <c r="Z21" s="52" t="n"/>
    </row>
    <row r="22" ht="15" customHeight="1" s="153">
      <c r="A22" s="108">
        <f>Bets!A20</f>
        <v/>
      </c>
      <c r="B22" s="109">
        <f>Bets!B20</f>
        <v/>
      </c>
      <c r="C22" s="108">
        <f>IF(Bets!H20="","TBC",Bets!H20)</f>
        <v/>
      </c>
      <c r="D22" s="101">
        <f>Bets!D20&amp;"  v  "&amp;Bets!E20</f>
        <v/>
      </c>
      <c r="E22" s="107" t="n">
        <v>1.55</v>
      </c>
      <c r="F22" s="107" t="n">
        <v>4.2</v>
      </c>
      <c r="G22" s="107" t="n">
        <v>7.1</v>
      </c>
      <c r="H22" s="98">
        <f>Bets!AD20</f>
        <v/>
      </c>
      <c r="I22" s="99">
        <f>Bets!AH20</f>
        <v/>
      </c>
      <c r="J22" s="100">
        <f>Bets!AJ20</f>
        <v/>
      </c>
      <c r="K22" s="101">
        <f>Bets!AT20</f>
        <v/>
      </c>
      <c r="L22" s="106" t="n"/>
      <c r="M22" s="98">
        <f>IF(Bets!AH20="·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pauses.")),IF(Bets!AH20&lt;&gt;"BET",IF(OR(Bets!AF20&gt;Method!$B$87,IFERROR(INDEX(Bets!BC20:BE20,1,Bets!AB20)/INDEX(Bets!S20:U20,1,Bets!AB20),0)&gt;Method!$B$88),"🛑 NO BET — tail trap (EV "&amp;TEXT(Bets!AF20,"0.0%")&amp;" / model "&amp;TEXT(IFERROR(INDEX(Bets!BC20:BE20,1,Bets!AB20)/INDEX(Bets!S20:U20,1,Bets!AB20),0),"0.0")&amp;"× market)","❌ NO BET — price not good enough"),IF(Bets!AJ20=0,"❌ NO BET — stake under minimum",IF(L22="",IF(AND(Bets!AE20&gt;=6,Bets!AG20&gt;=0.15),"🟡 WAIT — long-shot review: odds "&amp;TEXT(Bets!AE20,"0.00")&amp;" + edge "&amp;TEXT(Bets!AG20,"0.0%")&amp;" — verify sharp-book + team news + stake comfort","🟡 WAIT — check team news first"),IF(L22="N","🔴 SKIP — team news concern",IF(L22="Y","🟢 PLACE £"&amp;Bets!AJ20&amp;" on "&amp;Bets!AD20,"")))))))</f>
        <v/>
      </c>
      <c r="N22" s="106" t="n"/>
      <c r="O22" s="106" t="n"/>
      <c r="P22" s="107" t="n"/>
      <c r="Q22" s="113" t="n"/>
      <c r="R22" s="106" t="inlineStr">
        <is>
          <t>H</t>
        </is>
      </c>
      <c r="S22" s="101">
        <f>Bets!AU20</f>
        <v/>
      </c>
      <c r="T22" s="107" t="n"/>
      <c r="U22" s="104">
        <f>IF(OR(T22="",P22=""),"",P22/T22-1)</f>
        <v/>
      </c>
      <c r="V22" s="85" t="n"/>
      <c r="W22" s="85" t="n"/>
      <c r="X22" s="52" t="n"/>
      <c r="Y22" s="52" t="n"/>
      <c r="Z22" s="52" t="n"/>
    </row>
    <row r="23" ht="15" customHeight="1" s="153">
      <c r="A23" s="108">
        <f>Bets!A21</f>
        <v/>
      </c>
      <c r="B23" s="109">
        <f>Bets!B21</f>
        <v/>
      </c>
      <c r="C23" s="108">
        <f>IF(Bets!H21="","TBC",Bets!H21)</f>
        <v/>
      </c>
      <c r="D23" s="101">
        <f>Bets!D21&amp;"  v  "&amp;Bets!E21</f>
        <v/>
      </c>
      <c r="E23" s="107" t="n">
        <v>1.4</v>
      </c>
      <c r="F23" s="107" t="n">
        <v>4.8</v>
      </c>
      <c r="G23" s="107" t="n">
        <v>9.199999999999999</v>
      </c>
      <c r="H23" s="98">
        <f>Bets!AD21</f>
        <v/>
      </c>
      <c r="I23" s="99">
        <f>Bets!AH21</f>
        <v/>
      </c>
      <c r="J23" s="100">
        <f>Bets!AJ21</f>
        <v/>
      </c>
      <c r="K23" s="101">
        <f>Bets!AT21</f>
        <v/>
      </c>
      <c r="L23" s="106" t="n"/>
      <c r="M23" s="98">
        <f>IF(Bets!AH21="·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pauses.")),IF(Bets!AH21&lt;&gt;"BET",IF(OR(Bets!AF21&gt;Method!$B$87,IFERROR(INDEX(Bets!BC21:BE21,1,Bets!AB21)/INDEX(Bets!S21:U21,1,Bets!AB21),0)&gt;Method!$B$88),"🛑 NO BET — tail trap (EV "&amp;TEXT(Bets!AF21,"0.0%")&amp;" / model "&amp;TEXT(IFERROR(INDEX(Bets!BC21:BE21,1,Bets!AB21)/INDEX(Bets!S21:U21,1,Bets!AB21),0),"0.0")&amp;"× market)","❌ NO BET — price not good enough"),IF(Bets!AJ21=0,"❌ NO BET — stake under minimum",IF(L23="",IF(AND(Bets!AE21&gt;=6,Bets!AG21&gt;=0.15),"🟡 WAIT — long-shot review: odds "&amp;TEXT(Bets!AE21,"0.00")&amp;" + edge "&amp;TEXT(Bets!AG21,"0.0%")&amp;" — verify sharp-book + team news + stake comfort","🟡 WAIT — check team news first"),IF(L23="N","🔴 SKIP — team news concern",IF(L23="Y","🟢 PLACE £"&amp;Bets!AJ21&amp;" on "&amp;Bets!AD21,"")))))))</f>
        <v/>
      </c>
      <c r="N23" s="106" t="n"/>
      <c r="O23" s="106" t="n"/>
      <c r="P23" s="107" t="n"/>
      <c r="Q23" s="113" t="n"/>
      <c r="R23" s="106" t="inlineStr">
        <is>
          <t>H</t>
        </is>
      </c>
      <c r="S23" s="101">
        <f>Bets!AU21</f>
        <v/>
      </c>
      <c r="T23" s="107" t="n"/>
      <c r="U23" s="104">
        <f>IF(OR(T23="",P23=""),"",P23/T23-1)</f>
        <v/>
      </c>
      <c r="V23" s="85" t="n"/>
      <c r="W23" s="85" t="n"/>
      <c r="X23" s="52" t="n"/>
      <c r="Y23" s="52" t="n"/>
      <c r="Z23" s="52" t="n"/>
    </row>
    <row r="24" ht="15" customHeight="1" s="153">
      <c r="A24" s="108">
        <f>Bets!A22</f>
        <v/>
      </c>
      <c r="B24" s="109">
        <f>Bets!B22</f>
        <v/>
      </c>
      <c r="C24" s="110">
        <f>IF(Bets!H22="","TBC",Bets!H22)</f>
        <v/>
      </c>
      <c r="D24" s="101">
        <f>Bets!D22&amp;"  v  "&amp;Bets!E22</f>
        <v/>
      </c>
      <c r="E24" s="107" t="n">
        <v>1.29</v>
      </c>
      <c r="F24" s="107" t="n">
        <v>6</v>
      </c>
      <c r="G24" s="107" t="n">
        <v>12</v>
      </c>
      <c r="H24" s="98">
        <f>Bets!AD22</f>
        <v/>
      </c>
      <c r="I24" s="99">
        <f>Bets!AH22</f>
        <v/>
      </c>
      <c r="J24" s="100">
        <f>Bets!AJ22</f>
        <v/>
      </c>
      <c r="K24" s="101">
        <f>Bets!AT22</f>
        <v/>
      </c>
      <c r="L24" s="106" t="n"/>
      <c r="M24" s="98">
        <f>IF(Bets!AH22="·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pauses.")),IF(Bets!AH22&lt;&gt;"BET",IF(OR(Bets!AF22&gt;Method!$B$87,IFERROR(INDEX(Bets!BC22:BE22,1,Bets!AB22)/INDEX(Bets!S22:U22,1,Bets!AB22),0)&gt;Method!$B$88),"🛑 NO BET — tail trap (EV "&amp;TEXT(Bets!AF22,"0.0%")&amp;" / model "&amp;TEXT(IFERROR(INDEX(Bets!BC22:BE22,1,Bets!AB22)/INDEX(Bets!S22:U22,1,Bets!AB22),0),"0.0")&amp;"× market)","❌ NO BET — price not good enough"),IF(Bets!AJ22=0,"❌ NO BET — stake under minimum",IF(L24="",IF(AND(Bets!AE22&gt;=6,Bets!AG22&gt;=0.15),"🟡 WAIT — long-shot review: odds "&amp;TEXT(Bets!AE22,"0.00")&amp;" + edge "&amp;TEXT(Bets!AG22,"0.0%")&amp;" — verify sharp-book + team news + stake comfort","🟡 WAIT — check team news first"),IF(L24="N","🔴 SKIP — team news concern",IF(L24="Y","🟢 PLACE £"&amp;Bets!AJ22&amp;" on "&amp;Bets!AD22,"")))))))</f>
        <v/>
      </c>
      <c r="N24" s="106" t="n"/>
      <c r="O24" s="106" t="n"/>
      <c r="P24" s="107" t="n"/>
      <c r="Q24" s="113" t="n"/>
      <c r="R24" s="106" t="inlineStr">
        <is>
          <t>D</t>
        </is>
      </c>
      <c r="S24" s="101">
        <f>Bets!AU22</f>
        <v/>
      </c>
      <c r="T24" s="107" t="n"/>
      <c r="U24" s="104">
        <f>IF(OR(T24="",P24=""),"",P24/T24-1)</f>
        <v/>
      </c>
      <c r="V24" s="85" t="n"/>
      <c r="W24" s="85" t="n"/>
      <c r="X24" s="52" t="n"/>
      <c r="Y24" s="52" t="n"/>
      <c r="Z24" s="52" t="n"/>
    </row>
    <row r="25" ht="15" customHeight="1" s="153">
      <c r="A25" s="108">
        <f>Bets!A23</f>
        <v/>
      </c>
      <c r="B25" s="109">
        <f>Bets!B23</f>
        <v/>
      </c>
      <c r="C25" s="110">
        <f>IF(Bets!H23="","TBC",Bets!H23)</f>
        <v/>
      </c>
      <c r="D25" s="101">
        <f>Bets!D23&amp;"  v  "&amp;Bets!E23</f>
        <v/>
      </c>
      <c r="E25" s="107" t="n">
        <v>1.7</v>
      </c>
      <c r="F25" s="107" t="n">
        <v>3.9</v>
      </c>
      <c r="G25" s="107" t="n">
        <v>5.6</v>
      </c>
      <c r="H25" s="98">
        <f>Bets!AD23</f>
        <v/>
      </c>
      <c r="I25" s="99">
        <f>Bets!AH23</f>
        <v/>
      </c>
      <c r="J25" s="100">
        <f>Bets!AJ23</f>
        <v/>
      </c>
      <c r="K25" s="101">
        <f>Bets!AT23</f>
        <v/>
      </c>
      <c r="L25" s="106" t="n"/>
      <c r="M25" s="98">
        <f>IF(Bets!AH23="·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pauses.")),IF(Bets!AH23&lt;&gt;"BET",IF(OR(Bets!AF23&gt;Method!$B$87,IFERROR(INDEX(Bets!BC23:BE23,1,Bets!AB23)/INDEX(Bets!S23:U23,1,Bets!AB23),0)&gt;Method!$B$88),"🛑 NO BET — tail trap (EV "&amp;TEXT(Bets!AF23,"0.0%")&amp;" / model "&amp;TEXT(IFERROR(INDEX(Bets!BC23:BE23,1,Bets!AB23)/INDEX(Bets!S23:U23,1,Bets!AB23),0),"0.0")&amp;"× market)","❌ NO BET — price not good enough"),IF(Bets!AJ23=0,"❌ NO BET — stake under minimum",IF(L25="",IF(AND(Bets!AE23&gt;=6,Bets!AG23&gt;=0.15),"🟡 WAIT — long-shot review: odds "&amp;TEXT(Bets!AE23,"0.00")&amp;" + edge "&amp;TEXT(Bets!AG23,"0.0%")&amp;" — verify sharp-book + team news + stake comfort","🟡 WAIT — check team news first"),IF(L25="N","🔴 SKIP — team news concern",IF(L25="Y","🟢 PLACE £"&amp;Bets!AJ23&amp;" on "&amp;Bets!AD23,"")))))))</f>
        <v/>
      </c>
      <c r="N25" s="106" t="n"/>
      <c r="O25" s="106" t="n"/>
      <c r="P25" s="107" t="n"/>
      <c r="Q25" s="113" t="n"/>
      <c r="R25" s="106" t="inlineStr">
        <is>
          <t>H</t>
        </is>
      </c>
      <c r="S25" s="101">
        <f>Bets!AU23</f>
        <v/>
      </c>
      <c r="T25" s="107" t="n"/>
      <c r="U25" s="104">
        <f>IF(OR(T25="",P25=""),"",P25/T25-1)</f>
        <v/>
      </c>
      <c r="V25" s="85" t="n"/>
      <c r="W25" s="85" t="n"/>
      <c r="X25" s="52" t="n"/>
      <c r="Y25" s="52" t="n"/>
      <c r="Z25" s="52" t="n"/>
    </row>
    <row r="26" ht="15" customHeight="1" s="153">
      <c r="A26" s="108">
        <f>Bets!A24</f>
        <v/>
      </c>
      <c r="B26" s="109">
        <f>Bets!B24</f>
        <v/>
      </c>
      <c r="C26" s="108">
        <f>IF(Bets!H24="","TBC",Bets!H24)</f>
        <v/>
      </c>
      <c r="D26" s="101">
        <f>Bets!D24&amp;"  v  "&amp;Bets!E24</f>
        <v/>
      </c>
      <c r="E26" s="107" t="n">
        <v>2.38</v>
      </c>
      <c r="F26" s="107" t="n">
        <v>3.25</v>
      </c>
      <c r="G26" s="107" t="n">
        <v>3.38</v>
      </c>
      <c r="H26" s="98">
        <f>Bets!AD24</f>
        <v/>
      </c>
      <c r="I26" s="99">
        <f>Bets!AH24</f>
        <v/>
      </c>
      <c r="J26" s="100">
        <f>Bets!AJ24</f>
        <v/>
      </c>
      <c r="K26" s="101">
        <f>Bets!AT24</f>
        <v/>
      </c>
      <c r="L26" s="106" t="n"/>
      <c r="M26" s="98">
        <f>IF(Bets!AH24="·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pauses.")),IF(Bets!AH24&lt;&gt;"BET",IF(OR(Bets!AF24&gt;Method!$B$87,IFERROR(INDEX(Bets!BC24:BE24,1,Bets!AB24)/INDEX(Bets!S24:U24,1,Bets!AB24),0)&gt;Method!$B$88),"🛑 NO BET — tail trap (EV "&amp;TEXT(Bets!AF24,"0.0%")&amp;" / model "&amp;TEXT(IFERROR(INDEX(Bets!BC24:BE24,1,Bets!AB24)/INDEX(Bets!S24:U24,1,Bets!AB24),0),"0.0")&amp;"× market)","❌ NO BET — price not good enough"),IF(Bets!AJ24=0,"❌ NO BET — stake under minimum",IF(L26="",IF(AND(Bets!AE24&gt;=6,Bets!AG24&gt;=0.15),"🟡 WAIT — long-shot review: odds "&amp;TEXT(Bets!AE24,"0.00")&amp;" + edge "&amp;TEXT(Bets!AG24,"0.0%")&amp;" — verify sharp-book + team news + stake comfort","🟡 WAIT — check team news first"),IF(L26="N","🔴 SKIP — team news concern",IF(L26="Y","🟢 PLACE £"&amp;Bets!AJ24&amp;" on "&amp;Bets!AD24,"")))))))</f>
        <v/>
      </c>
      <c r="N26" s="106" t="n"/>
      <c r="O26" s="106" t="n"/>
      <c r="P26" s="107" t="n"/>
      <c r="Q26" s="113" t="n"/>
      <c r="R26" s="106" t="inlineStr">
        <is>
          <t>H</t>
        </is>
      </c>
      <c r="S26" s="101">
        <f>Bets!AU24</f>
        <v/>
      </c>
      <c r="T26" s="107" t="n"/>
      <c r="U26" s="104">
        <f>IF(OR(T26="",P26=""),"",P26/T26-1)</f>
        <v/>
      </c>
      <c r="V26" s="85" t="n"/>
      <c r="W26" s="85" t="n"/>
      <c r="X26" s="52" t="n"/>
      <c r="Y26" s="52" t="n"/>
      <c r="Z26" s="52" t="n"/>
    </row>
    <row r="27" ht="15" customHeight="1" s="153">
      <c r="A27" s="108">
        <f>Bets!A25</f>
        <v/>
      </c>
      <c r="B27" s="109">
        <f>Bets!B25</f>
        <v/>
      </c>
      <c r="C27" s="108">
        <f>IF(Bets!H25="","TBC",Bets!H25)</f>
        <v/>
      </c>
      <c r="D27" s="101">
        <f>Bets!D25&amp;"  v  "&amp;Bets!E25</f>
        <v/>
      </c>
      <c r="E27" s="107" t="n">
        <v>11.5</v>
      </c>
      <c r="F27" s="107" t="n">
        <v>5.5</v>
      </c>
      <c r="G27" s="107" t="n">
        <v>1.37</v>
      </c>
      <c r="H27" s="98">
        <f>Bets!AD25</f>
        <v/>
      </c>
      <c r="I27" s="99">
        <f>Bets!AH25</f>
        <v/>
      </c>
      <c r="J27" s="100">
        <f>Bets!AJ25</f>
        <v/>
      </c>
      <c r="K27" s="101">
        <f>Bets!AT25</f>
        <v/>
      </c>
      <c r="L27" s="106" t="n"/>
      <c r="M27" s="98">
        <f>IF(Bets!AH25="·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pauses.")),IF(Bets!AH25&lt;&gt;"BET",IF(OR(Bets!AF25&gt;Method!$B$87,IFERROR(INDEX(Bets!BC25:BE25,1,Bets!AB25)/INDEX(Bets!S25:U25,1,Bets!AB25),0)&gt;Method!$B$88),"🛑 NO BET — tail trap (EV "&amp;TEXT(Bets!AF25,"0.0%")&amp;" / model "&amp;TEXT(IFERROR(INDEX(Bets!BC25:BE25,1,Bets!AB25)/INDEX(Bets!S25:U25,1,Bets!AB25),0),"0.0")&amp;"× market)","❌ NO BET — price not good enough"),IF(Bets!AJ25=0,"❌ NO BET — stake under minimum",IF(L27="",IF(AND(Bets!AE25&gt;=6,Bets!AG25&gt;=0.15),"🟡 WAIT — long-shot review: odds "&amp;TEXT(Bets!AE25,"0.00")&amp;" + edge "&amp;TEXT(Bets!AG25,"0.0%")&amp;" — verify sharp-book + team news + stake comfort","🟡 WAIT — check team news first"),IF(L27="N","🔴 SKIP — team news concern",IF(L27="Y","🟢 PLACE £"&amp;Bets!AJ25&amp;" on "&amp;Bets!AD25,"")))))))</f>
        <v/>
      </c>
      <c r="N27" s="106" t="n"/>
      <c r="O27" s="106" t="n"/>
      <c r="P27" s="107" t="n"/>
      <c r="Q27" s="113" t="n"/>
      <c r="R27" s="106" t="inlineStr">
        <is>
          <t>A</t>
        </is>
      </c>
      <c r="S27" s="101">
        <f>Bets!AU25</f>
        <v/>
      </c>
      <c r="T27" s="107" t="n"/>
      <c r="U27" s="104">
        <f>IF(OR(T27="",P27=""),"",P27/T27-1)</f>
        <v/>
      </c>
      <c r="V27" s="85" t="n"/>
      <c r="W27" s="85" t="n"/>
      <c r="X27" s="52" t="n"/>
      <c r="Y27" s="52" t="n"/>
      <c r="Z27" s="52" t="n"/>
    </row>
    <row r="28" ht="15" customHeight="1" s="153">
      <c r="A28" s="108">
        <f>Bets!A26</f>
        <v/>
      </c>
      <c r="B28" s="109">
        <f>Bets!B26</f>
        <v/>
      </c>
      <c r="C28" s="110">
        <f>IF(Bets!H26="","TBC",Bets!H26)</f>
        <v/>
      </c>
      <c r="D28" s="101">
        <f>Bets!D26&amp;"  v  "&amp;Bets!E26</f>
        <v/>
      </c>
      <c r="E28" s="107" t="n">
        <v>1.9</v>
      </c>
      <c r="F28" s="107" t="n">
        <v>3.55</v>
      </c>
      <c r="G28" s="107" t="n">
        <v>4.55</v>
      </c>
      <c r="H28" s="98">
        <f>Bets!AD26</f>
        <v/>
      </c>
      <c r="I28" s="99">
        <f>Bets!AH26</f>
        <v/>
      </c>
      <c r="J28" s="100">
        <f>Bets!AJ26</f>
        <v/>
      </c>
      <c r="K28" s="101">
        <f>Bets!AT26</f>
        <v/>
      </c>
      <c r="L28" s="106" t="n"/>
      <c r="M28" s="98">
        <f>IF(Bets!AH26="·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pauses.")),IF(Bets!AH26&lt;&gt;"BET",IF(OR(Bets!AF26&gt;Method!$B$87,IFERROR(INDEX(Bets!BC26:BE26,1,Bets!AB26)/INDEX(Bets!S26:U26,1,Bets!AB26),0)&gt;Method!$B$88),"🛑 NO BET — tail trap (EV "&amp;TEXT(Bets!AF26,"0.0%")&amp;" / model "&amp;TEXT(IFERROR(INDEX(Bets!BC26:BE26,1,Bets!AB26)/INDEX(Bets!S26:U26,1,Bets!AB26),0),"0.0")&amp;"× market)","❌ NO BET — price not good enough"),IF(Bets!AJ26=0,"❌ NO BET — stake under minimum",IF(L28="",IF(AND(Bets!AE26&gt;=6,Bets!AG26&gt;=0.15),"🟡 WAIT — long-shot review: odds "&amp;TEXT(Bets!AE26,"0.00")&amp;" + edge "&amp;TEXT(Bets!AG26,"0.0%")&amp;" — verify sharp-book + team news + stake comfort","🟡 WAIT — check team news first"),IF(L28="N","🔴 SKIP — team news concern",IF(L28="Y","🟢 PLACE £"&amp;Bets!AJ26&amp;" on "&amp;Bets!AD26,"")))))))</f>
        <v/>
      </c>
      <c r="N28" s="106" t="n"/>
      <c r="O28" s="106" t="n"/>
      <c r="P28" s="107" t="n"/>
      <c r="Q28" s="113" t="n"/>
      <c r="R28" s="106" t="inlineStr">
        <is>
          <t>D</t>
        </is>
      </c>
      <c r="S28" s="101">
        <f>Bets!AU26</f>
        <v/>
      </c>
      <c r="T28" s="107" t="n"/>
      <c r="U28" s="104">
        <f>IF(OR(T28="",P28=""),"",P28/T28-1)</f>
        <v/>
      </c>
      <c r="V28" s="85" t="n"/>
      <c r="W28" s="85" t="n"/>
      <c r="X28" s="52" t="n"/>
      <c r="Y28" s="52" t="n"/>
      <c r="Z28" s="52" t="n"/>
    </row>
    <row r="29" ht="15" customHeight="1" s="153">
      <c r="A29" s="108">
        <f>Bets!A27</f>
        <v/>
      </c>
      <c r="B29" s="109">
        <f>Bets!B27</f>
        <v/>
      </c>
      <c r="C29" s="110">
        <f>IF(Bets!H27="","TBC",Bets!H27)</f>
        <v/>
      </c>
      <c r="D29" s="101">
        <f>Bets!D27&amp;"  v  "&amp;Bets!E27</f>
        <v/>
      </c>
      <c r="E29" s="107" t="n">
        <v>1.58</v>
      </c>
      <c r="F29" s="107" t="n">
        <v>4.2</v>
      </c>
      <c r="G29" s="107" t="n">
        <v>6.5</v>
      </c>
      <c r="H29" s="98">
        <f>Bets!AD27</f>
        <v/>
      </c>
      <c r="I29" s="99">
        <f>Bets!AH27</f>
        <v/>
      </c>
      <c r="J29" s="100">
        <f>Bets!AJ27</f>
        <v/>
      </c>
      <c r="K29" s="101">
        <f>Bets!AT27</f>
        <v/>
      </c>
      <c r="L29" s="106" t="n"/>
      <c r="M29" s="98">
        <f>IF(Bets!AH27="·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pauses.")),IF(Bets!AH27&lt;&gt;"BET",IF(OR(Bets!AF27&gt;Method!$B$87,IFERROR(INDEX(Bets!BC27:BE27,1,Bets!AB27)/INDEX(Bets!S27:U27,1,Bets!AB27),0)&gt;Method!$B$88),"🛑 NO BET — tail trap (EV "&amp;TEXT(Bets!AF27,"0.0%")&amp;" / model "&amp;TEXT(IFERROR(INDEX(Bets!BC27:BE27,1,Bets!AB27)/INDEX(Bets!S27:U27,1,Bets!AB27),0),"0.0")&amp;"× market)","❌ NO BET — price not good enough"),IF(Bets!AJ27=0,"❌ NO BET — stake under minimum",IF(L29="",IF(AND(Bets!AE27&gt;=6,Bets!AG27&gt;=0.15),"🟡 WAIT — long-shot review: odds "&amp;TEXT(Bets!AE27,"0.00")&amp;" + edge "&amp;TEXT(Bets!AG27,"0.0%")&amp;" — verify sharp-book + team news + stake comfort","🟡 WAIT — check team news first"),IF(L29="N","🔴 SKIP — team news concern",IF(L29="Y","🟢 PLACE £"&amp;Bets!AJ27&amp;" on "&amp;Bets!AD27,"")))))))</f>
        <v/>
      </c>
      <c r="N29" s="106" t="n"/>
      <c r="O29" s="106" t="n"/>
      <c r="P29" s="107" t="n"/>
      <c r="Q29" s="113" t="n"/>
      <c r="R29" s="106" t="inlineStr">
        <is>
          <t>H</t>
        </is>
      </c>
      <c r="S29" s="101">
        <f>Bets!AU27</f>
        <v/>
      </c>
      <c r="T29" s="107" t="n"/>
      <c r="U29" s="104">
        <f>IF(OR(T29="",P29=""),"",P29/T29-1)</f>
        <v/>
      </c>
      <c r="V29" s="85" t="n"/>
      <c r="W29" s="85" t="n"/>
      <c r="X29" s="52" t="n"/>
      <c r="Y29" s="52" t="n"/>
      <c r="Z29" s="52" t="n"/>
    </row>
    <row r="30" ht="15" customHeight="1" s="153">
      <c r="A30" s="108">
        <f>Bets!A28</f>
        <v/>
      </c>
      <c r="B30" s="109">
        <f>Bets!B28</f>
        <v/>
      </c>
      <c r="C30" s="108">
        <f>IF(Bets!H28="","TBC",Bets!H28)</f>
        <v/>
      </c>
      <c r="D30" s="101">
        <f>Bets!D28&amp;"  v  "&amp;Bets!E28</f>
        <v/>
      </c>
      <c r="E30" s="107" t="n">
        <v>1.29</v>
      </c>
      <c r="F30" s="107" t="n">
        <v>6.5</v>
      </c>
      <c r="G30" s="107" t="n">
        <v>13.5</v>
      </c>
      <c r="H30" s="98">
        <f>Bets!AD28</f>
        <v/>
      </c>
      <c r="I30" s="99">
        <f>Bets!AH28</f>
        <v/>
      </c>
      <c r="J30" s="100">
        <f>Bets!AJ28</f>
        <v/>
      </c>
      <c r="K30" s="101">
        <f>Bets!AT28</f>
        <v/>
      </c>
      <c r="L30" s="106" t="n"/>
      <c r="M30" s="98">
        <f>IF(Bets!AH28="·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pauses.")),IF(Bets!AH28&lt;&gt;"BET",IF(OR(Bets!AF28&gt;Method!$B$87,IFERROR(INDEX(Bets!BC28:BE28,1,Bets!AB28)/INDEX(Bets!S28:U28,1,Bets!AB28),0)&gt;Method!$B$88),"🛑 NO BET — tail trap (EV "&amp;TEXT(Bets!AF28,"0.0%")&amp;" / model "&amp;TEXT(IFERROR(INDEX(Bets!BC28:BE28,1,Bets!AB28)/INDEX(Bets!S28:U28,1,Bets!AB28),0),"0.0")&amp;"× market)","❌ NO BET — price not good enough"),IF(Bets!AJ28=0,"❌ NO BET — stake under minimum",IF(L30="",IF(AND(Bets!AE28&gt;=6,Bets!AG28&gt;=0.15),"🟡 WAIT — long-shot review: odds "&amp;TEXT(Bets!AE28,"0.00")&amp;" + edge "&amp;TEXT(Bets!AG28,"0.0%")&amp;" — verify sharp-book + team news + stake comfort","🟡 WAIT — check team news first"),IF(L30="N","🔴 SKIP — team news concern",IF(L30="Y","🟢 PLACE £"&amp;Bets!AJ28&amp;" on "&amp;Bets!AD28,"")))))))</f>
        <v/>
      </c>
      <c r="N30" s="106" t="n"/>
      <c r="O30" s="106" t="n"/>
      <c r="P30" s="107" t="n"/>
      <c r="Q30" s="113" t="n"/>
      <c r="R30" s="106" t="inlineStr">
        <is>
          <t>H</t>
        </is>
      </c>
      <c r="S30" s="101">
        <f>Bets!AU28</f>
        <v/>
      </c>
      <c r="T30" s="107" t="n"/>
      <c r="U30" s="104">
        <f>IF(OR(T30="",P30=""),"",P30/T30-1)</f>
        <v/>
      </c>
      <c r="V30" s="85" t="n"/>
      <c r="W30" s="85" t="n"/>
      <c r="X30" s="52" t="n"/>
      <c r="Y30" s="52" t="n"/>
      <c r="Z30" s="52" t="n"/>
    </row>
    <row r="31" ht="15" customHeight="1" s="153">
      <c r="A31" s="108">
        <f>Bets!A29</f>
        <v/>
      </c>
      <c r="B31" s="109">
        <f>Bets!B29</f>
        <v/>
      </c>
      <c r="C31" s="108">
        <f>IF(Bets!H29="","TBC",Bets!H29)</f>
        <v/>
      </c>
      <c r="D31" s="101">
        <f>Bets!D29&amp;"  v  "&amp;Bets!E29</f>
        <v/>
      </c>
      <c r="E31" s="107" t="n">
        <v>2.13</v>
      </c>
      <c r="F31" s="107" t="n">
        <v>3.3</v>
      </c>
      <c r="G31" s="107" t="n">
        <v>4.2</v>
      </c>
      <c r="H31" s="98">
        <f>Bets!AD29</f>
        <v/>
      </c>
      <c r="I31" s="99">
        <f>Bets!AH29</f>
        <v/>
      </c>
      <c r="J31" s="100">
        <f>Bets!AJ29</f>
        <v/>
      </c>
      <c r="K31" s="101">
        <f>Bets!AT29</f>
        <v/>
      </c>
      <c r="L31" s="106" t="n"/>
      <c r="M31" s="98">
        <f>IF(Bets!AH29="·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pauses.")),IF(Bets!AH29&lt;&gt;"BET",IF(OR(Bets!AF29&gt;Method!$B$87,IFERROR(INDEX(Bets!BC29:BE29,1,Bets!AB29)/INDEX(Bets!S29:U29,1,Bets!AB29),0)&gt;Method!$B$88),"🛑 NO BET — tail trap (EV "&amp;TEXT(Bets!AF29,"0.0%")&amp;" / model "&amp;TEXT(IFERROR(INDEX(Bets!BC29:BE29,1,Bets!AB29)/INDEX(Bets!S29:U29,1,Bets!AB29),0),"0.0")&amp;"× market)","❌ NO BET — price not good enough"),IF(Bets!AJ29=0,"❌ NO BET — stake under minimum",IF(L31="",IF(AND(Bets!AE29&gt;=6,Bets!AG29&gt;=0.15),"🟡 WAIT — long-shot review: odds "&amp;TEXT(Bets!AE29,"0.00")&amp;" + edge "&amp;TEXT(Bets!AG29,"0.0%")&amp;" — verify sharp-book + team news + stake comfort","🟡 WAIT — check team news first"),IF(L31="N","🔴 SKIP — team news concern",IF(L31="Y","🟢 PLACE £"&amp;Bets!AJ29&amp;" on "&amp;Bets!AD29,"")))))))</f>
        <v/>
      </c>
      <c r="N31" s="106" t="n"/>
      <c r="O31" s="106" t="n"/>
      <c r="P31" s="107" t="n"/>
      <c r="Q31" s="113" t="n"/>
      <c r="R31" s="106" t="inlineStr">
        <is>
          <t>H</t>
        </is>
      </c>
      <c r="S31" s="101">
        <f>Bets!AU29</f>
        <v/>
      </c>
      <c r="T31" s="107" t="n"/>
      <c r="U31" s="104">
        <f>IF(OR(T31="",P31=""),"",P31/T31-1)</f>
        <v/>
      </c>
      <c r="V31" s="85" t="n"/>
      <c r="W31" s="85" t="n"/>
      <c r="X31" s="52" t="n"/>
      <c r="Y31" s="52" t="n"/>
      <c r="Z31" s="52" t="n"/>
    </row>
    <row r="32" ht="15" customHeight="1" s="153">
      <c r="A32" s="108">
        <f>Bets!A30</f>
        <v/>
      </c>
      <c r="B32" s="109">
        <f>Bets!B30</f>
        <v/>
      </c>
      <c r="C32" s="110">
        <f>IF(Bets!H30="","TBC",Bets!H30)</f>
        <v/>
      </c>
      <c r="D32" s="101">
        <f>Bets!D30&amp;"  v  "&amp;Bets!E30</f>
        <v/>
      </c>
      <c r="E32" s="107" t="n">
        <v>1.61</v>
      </c>
      <c r="F32" s="107" t="n">
        <v>4.4</v>
      </c>
      <c r="G32" s="107" t="n">
        <v>6.5</v>
      </c>
      <c r="H32" s="98">
        <f>Bets!AD30</f>
        <v/>
      </c>
      <c r="I32" s="99">
        <f>Bets!AH30</f>
        <v/>
      </c>
      <c r="J32" s="100">
        <f>Bets!AJ30</f>
        <v/>
      </c>
      <c r="K32" s="101">
        <f>Bets!AT30</f>
        <v/>
      </c>
      <c r="L32" s="106" t="n"/>
      <c r="M32" s="98">
        <f>IF(Bets!AH30="·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pauses.")),IF(Bets!AH30&lt;&gt;"BET",IF(OR(Bets!AF30&gt;Method!$B$87,IFERROR(INDEX(Bets!BC30:BE30,1,Bets!AB30)/INDEX(Bets!S30:U30,1,Bets!AB30),0)&gt;Method!$B$88),"🛑 NO BET — tail trap (EV "&amp;TEXT(Bets!AF30,"0.0%")&amp;" / model "&amp;TEXT(IFERROR(INDEX(Bets!BC30:BE30,1,Bets!AB30)/INDEX(Bets!S30:U30,1,Bets!AB30),0),"0.0")&amp;"× market)","❌ NO BET — price not good enough"),IF(Bets!AJ30=0,"❌ NO BET — stake under minimum",IF(L32="",IF(AND(Bets!AE30&gt;=6,Bets!AG30&gt;=0.15),"🟡 WAIT — long-shot review: odds "&amp;TEXT(Bets!AE30,"0.00")&amp;" + edge "&amp;TEXT(Bets!AG30,"0.0%")&amp;" — verify sharp-book + team news + stake comfort","🟡 WAIT — check team news first"),IF(L32="N","🔴 SKIP — team news concern",IF(L32="Y","🟢 PLACE £"&amp;Bets!AJ30&amp;" on "&amp;Bets!AD30,"")))))))</f>
        <v/>
      </c>
      <c r="N32" s="106" t="n"/>
      <c r="O32" s="106" t="n"/>
      <c r="P32" s="107" t="n"/>
      <c r="Q32" s="113" t="n"/>
      <c r="R32" s="106" t="inlineStr">
        <is>
          <t>H</t>
        </is>
      </c>
      <c r="S32" s="101">
        <f>Bets!AU30</f>
        <v/>
      </c>
      <c r="T32" s="107" t="n"/>
      <c r="U32" s="104">
        <f>IF(OR(T32="",P32=""),"",P32/T32-1)</f>
        <v/>
      </c>
      <c r="V32" s="85" t="n"/>
      <c r="W32" s="85" t="n"/>
      <c r="X32" s="52" t="n"/>
      <c r="Y32" s="52" t="n"/>
      <c r="Z32" s="52" t="n"/>
    </row>
    <row r="33" ht="15" customHeight="1" s="153">
      <c r="A33" s="108">
        <f>Bets!A31</f>
        <v/>
      </c>
      <c r="B33" s="109">
        <f>Bets!B31</f>
        <v/>
      </c>
      <c r="C33" s="110">
        <f>IF(Bets!H31="","TBC",Bets!H31)</f>
        <v/>
      </c>
      <c r="D33" s="101">
        <f>Bets!D31&amp;"  v  "&amp;Bets!E31</f>
        <v/>
      </c>
      <c r="E33" s="107" t="n">
        <v>5.8</v>
      </c>
      <c r="F33" s="107" t="n">
        <v>3.8</v>
      </c>
      <c r="G33" s="107" t="n">
        <v>1.72</v>
      </c>
      <c r="H33" s="98">
        <f>Bets!AD31</f>
        <v/>
      </c>
      <c r="I33" s="99">
        <f>Bets!AH31</f>
        <v/>
      </c>
      <c r="J33" s="100">
        <f>Bets!AJ31</f>
        <v/>
      </c>
      <c r="K33" s="101">
        <f>Bets!AT31</f>
        <v/>
      </c>
      <c r="L33" s="106" t="n"/>
      <c r="M33" s="98">
        <f>IF(Bets!AH31="·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pauses.")),IF(Bets!AH31&lt;&gt;"BET",IF(OR(Bets!AF31&gt;Method!$B$87,IFERROR(INDEX(Bets!BC31:BE31,1,Bets!AB31)/INDEX(Bets!S31:U31,1,Bets!AB31),0)&gt;Method!$B$88),"🛑 NO BET — tail trap (EV "&amp;TEXT(Bets!AF31,"0.0%")&amp;" / model "&amp;TEXT(IFERROR(INDEX(Bets!BC31:BE31,1,Bets!AB31)/INDEX(Bets!S31:U31,1,Bets!AB31),0),"0.0")&amp;"× market)","❌ NO BET — price not good enough"),IF(Bets!AJ31=0,"❌ NO BET — stake under minimum",IF(L33="",IF(AND(Bets!AE31&gt;=6,Bets!AG31&gt;=0.15),"🟡 WAIT — long-shot review: odds "&amp;TEXT(Bets!AE31,"0.00")&amp;" + edge "&amp;TEXT(Bets!AG31,"0.0%")&amp;" — verify sharp-book + team news + stake comfort","🟡 WAIT — check team news first"),IF(L33="N","🔴 SKIP — team news concern",IF(L33="Y","🟢 PLACE £"&amp;Bets!AJ31&amp;" on "&amp;Bets!AD31,"")))))))</f>
        <v/>
      </c>
      <c r="N33" s="106" t="n"/>
      <c r="O33" s="106" t="n"/>
      <c r="P33" s="107" t="n"/>
      <c r="Q33" s="113" t="n"/>
      <c r="R33" s="106" t="inlineStr">
        <is>
          <t>A</t>
        </is>
      </c>
      <c r="S33" s="101">
        <f>Bets!AU31</f>
        <v/>
      </c>
      <c r="T33" s="107" t="n"/>
      <c r="U33" s="104">
        <f>IF(OR(T33="",P33=""),"",P33/T33-1)</f>
        <v/>
      </c>
      <c r="V33" s="85" t="n"/>
      <c r="W33" s="85" t="n"/>
      <c r="X33" s="52" t="n"/>
      <c r="Y33" s="52" t="n"/>
      <c r="Z33" s="52" t="n"/>
    </row>
    <row r="34" ht="15" customHeight="1" s="153">
      <c r="A34" s="108">
        <f>Bets!A32</f>
        <v/>
      </c>
      <c r="B34" s="109">
        <f>Bets!B32</f>
        <v/>
      </c>
      <c r="C34" s="108">
        <f>IF(Bets!H32="","TBC",Bets!H32)</f>
        <v/>
      </c>
      <c r="D34" s="101">
        <f>Bets!D32&amp;"  v  "&amp;Bets!E32</f>
        <v/>
      </c>
      <c r="E34" s="107" t="n">
        <v>1.13</v>
      </c>
      <c r="F34" s="107" t="n">
        <v>11.5</v>
      </c>
      <c r="G34" s="107" t="n">
        <v>27</v>
      </c>
      <c r="H34" s="98">
        <f>Bets!AD32</f>
        <v/>
      </c>
      <c r="I34" s="99">
        <f>Bets!AH32</f>
        <v/>
      </c>
      <c r="J34" s="100">
        <f>Bets!AJ32</f>
        <v/>
      </c>
      <c r="K34" s="101">
        <f>Bets!AT32</f>
        <v/>
      </c>
      <c r="L34" s="106" t="n"/>
      <c r="M34" s="98">
        <f>IF(Bets!AH32="·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pauses.")),IF(Bets!AH32&lt;&gt;"BET",IF(OR(Bets!AF32&gt;Method!$B$87,IFERROR(INDEX(Bets!BC32:BE32,1,Bets!AB32)/INDEX(Bets!S32:U32,1,Bets!AB32),0)&gt;Method!$B$88),"🛑 NO BET — tail trap (EV "&amp;TEXT(Bets!AF32,"0.0%")&amp;" / model "&amp;TEXT(IFERROR(INDEX(Bets!BC32:BE32,1,Bets!AB32)/INDEX(Bets!S32:U32,1,Bets!AB32),0),"0.0")&amp;"× market)","❌ NO BET — price not good enough"),IF(Bets!AJ32=0,"❌ NO BET — stake under minimum",IF(L34="",IF(AND(Bets!AE32&gt;=6,Bets!AG32&gt;=0.15),"🟡 WAIT — long-shot review: odds "&amp;TEXT(Bets!AE32,"0.00")&amp;" + edge "&amp;TEXT(Bets!AG32,"0.0%")&amp;" — verify sharp-book + team news + stake comfort","🟡 WAIT — check team news first"),IF(L34="N","🔴 SKIP — team news concern",IF(L34="Y","🟢 PLACE £"&amp;Bets!AJ32&amp;" on "&amp;Bets!AD32,"")))))))</f>
        <v/>
      </c>
      <c r="N34" s="106" t="n"/>
      <c r="O34" s="106" t="n"/>
      <c r="P34" s="107" t="n"/>
      <c r="Q34" s="113" t="n"/>
      <c r="R34" s="106" t="inlineStr">
        <is>
          <t>H</t>
        </is>
      </c>
      <c r="S34" s="101">
        <f>Bets!AU32</f>
        <v/>
      </c>
      <c r="T34" s="107" t="n"/>
      <c r="U34" s="104">
        <f>IF(OR(T34="",P34=""),"",P34/T34-1)</f>
        <v/>
      </c>
      <c r="V34" s="85" t="n"/>
      <c r="W34" s="85" t="n"/>
      <c r="X34" s="52" t="n"/>
      <c r="Y34" s="52" t="n"/>
      <c r="Z34" s="52" t="n"/>
    </row>
    <row r="35" ht="15" customHeight="1" s="153">
      <c r="A35" s="108">
        <f>Bets!A33</f>
        <v/>
      </c>
      <c r="B35" s="109">
        <f>Bets!B33</f>
        <v/>
      </c>
      <c r="C35" s="108">
        <f>IF(Bets!H33="","TBC",Bets!H33)</f>
        <v/>
      </c>
      <c r="D35" s="101">
        <f>Bets!D33&amp;"  v  "&amp;Bets!E33</f>
        <v/>
      </c>
      <c r="E35" s="107" t="n">
        <v>2.1</v>
      </c>
      <c r="F35" s="107" t="n">
        <v>3.45</v>
      </c>
      <c r="G35" s="107" t="n">
        <v>4</v>
      </c>
      <c r="H35" s="98">
        <f>Bets!AD33</f>
        <v/>
      </c>
      <c r="I35" s="99">
        <f>Bets!AH33</f>
        <v/>
      </c>
      <c r="J35" s="100">
        <f>Bets!AJ33</f>
        <v/>
      </c>
      <c r="K35" s="101">
        <f>Bets!AT33</f>
        <v/>
      </c>
      <c r="L35" s="106" t="n"/>
      <c r="M35" s="98">
        <f>IF(Bets!AH33="·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pauses.")),IF(Bets!AH33&lt;&gt;"BET",IF(OR(Bets!AF33&gt;Method!$B$87,IFERROR(INDEX(Bets!BC33:BE33,1,Bets!AB33)/INDEX(Bets!S33:U33,1,Bets!AB33),0)&gt;Method!$B$88),"🛑 NO BET — tail trap (EV "&amp;TEXT(Bets!AF33,"0.0%")&amp;" / model "&amp;TEXT(IFERROR(INDEX(Bets!BC33:BE33,1,Bets!AB33)/INDEX(Bets!S33:U33,1,Bets!AB33),0),"0.0")&amp;"× market)","❌ NO BET — price not good enough"),IF(Bets!AJ33=0,"❌ NO BET — stake under minimum",IF(L35="",IF(AND(Bets!AE33&gt;=6,Bets!AG33&gt;=0.15),"🟡 WAIT — long-shot review: odds "&amp;TEXT(Bets!AE33,"0.00")&amp;" + edge "&amp;TEXT(Bets!AG33,"0.0%")&amp;" — verify sharp-book + team news + stake comfort","🟡 WAIT — check team news first"),IF(L35="N","🔴 SKIP — team news concern",IF(L35="Y","🟢 PLACE £"&amp;Bets!AJ33&amp;" on "&amp;Bets!AD33,"")))))))</f>
        <v/>
      </c>
      <c r="N35" s="106" t="n"/>
      <c r="O35" s="106" t="n"/>
      <c r="P35" s="107" t="n"/>
      <c r="Q35" s="113" t="n"/>
      <c r="R35" s="106" t="inlineStr">
        <is>
          <t>A</t>
        </is>
      </c>
      <c r="S35" s="101">
        <f>Bets!AU33</f>
        <v/>
      </c>
      <c r="T35" s="107" t="n"/>
      <c r="U35" s="104">
        <f>IF(OR(T35="",P35=""),"",P35/T35-1)</f>
        <v/>
      </c>
      <c r="V35" s="85" t="n"/>
      <c r="W35" s="85" t="n"/>
      <c r="X35" s="52" t="n"/>
      <c r="Y35" s="52" t="n"/>
      <c r="Z35" s="52" t="n"/>
    </row>
    <row r="36" ht="15" customHeight="1" s="153">
      <c r="A36" s="108">
        <f>Bets!A34</f>
        <v/>
      </c>
      <c r="B36" s="109">
        <f>Bets!B34</f>
        <v/>
      </c>
      <c r="C36" s="110">
        <f>IF(Bets!H34="","TBC",Bets!H34)</f>
        <v/>
      </c>
      <c r="D36" s="101">
        <f>Bets!D34&amp;"  v  "&amp;Bets!E34</f>
        <v/>
      </c>
      <c r="E36" s="107" t="n">
        <v>1.73</v>
      </c>
      <c r="F36" s="107" t="n">
        <v>4.1</v>
      </c>
      <c r="G36" s="107" t="n">
        <v>5</v>
      </c>
      <c r="H36" s="98">
        <f>Bets!AD34</f>
        <v/>
      </c>
      <c r="I36" s="99">
        <f>Bets!AH34</f>
        <v/>
      </c>
      <c r="J36" s="100">
        <f>Bets!AJ34</f>
        <v/>
      </c>
      <c r="K36" s="101">
        <f>Bets!AT34</f>
        <v/>
      </c>
      <c r="L36" s="106" t="n"/>
      <c r="M36" s="98">
        <f>IF(Bets!AH34="·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pauses.")),IF(Bets!AH34&lt;&gt;"BET",IF(OR(Bets!AF34&gt;Method!$B$87,IFERROR(INDEX(Bets!BC34:BE34,1,Bets!AB34)/INDEX(Bets!S34:U34,1,Bets!AB34),0)&gt;Method!$B$88),"🛑 NO BET — tail trap (EV "&amp;TEXT(Bets!AF34,"0.0%")&amp;" / model "&amp;TEXT(IFERROR(INDEX(Bets!BC34:BE34,1,Bets!AB34)/INDEX(Bets!S34:U34,1,Bets!AB34),0),"0.0")&amp;"× market)","❌ NO BET — price not good enough"),IF(Bets!AJ34=0,"❌ NO BET — stake under minimum",IF(L36="",IF(AND(Bets!AE34&gt;=6,Bets!AG34&gt;=0.15),"🟡 WAIT — long-shot review: odds "&amp;TEXT(Bets!AE34,"0.00")&amp;" + edge "&amp;TEXT(Bets!AG34,"0.0%")&amp;" — verify sharp-book + team news + stake comfort","🟡 WAIT — check team news first"),IF(L36="N","🔴 SKIP — team news concern",IF(L36="Y","🟢 PLACE £"&amp;Bets!AJ34&amp;" on "&amp;Bets!AD34,"")))))))</f>
        <v/>
      </c>
      <c r="N36" s="106" t="n"/>
      <c r="O36" s="106" t="n"/>
      <c r="P36" s="107" t="n"/>
      <c r="Q36" s="113" t="n"/>
      <c r="R36" s="106" t="inlineStr">
        <is>
          <t>H</t>
        </is>
      </c>
      <c r="S36" s="101">
        <f>Bets!AU34</f>
        <v/>
      </c>
      <c r="T36" s="107" t="n"/>
      <c r="U36" s="104">
        <f>IF(OR(T36="",P36=""),"",P36/T36-1)</f>
        <v/>
      </c>
      <c r="V36" s="85" t="n"/>
      <c r="W36" s="85" t="n"/>
      <c r="X36" s="52" t="n"/>
      <c r="Y36" s="52" t="n"/>
      <c r="Z36" s="52" t="n"/>
    </row>
    <row r="37" ht="15" customHeight="1" s="153">
      <c r="A37" s="108">
        <f>Bets!A35</f>
        <v/>
      </c>
      <c r="B37" s="109">
        <f>Bets!B35</f>
        <v/>
      </c>
      <c r="C37" s="110">
        <f>IF(Bets!H35="","TBC",Bets!H35)</f>
        <v/>
      </c>
      <c r="D37" s="101">
        <f>Bets!D35&amp;"  v  "&amp;Bets!E35</f>
        <v/>
      </c>
      <c r="E37" s="107" t="n">
        <v>1.54</v>
      </c>
      <c r="F37" s="107" t="n">
        <v>4.75</v>
      </c>
      <c r="G37" s="107" t="n">
        <v>7.1</v>
      </c>
      <c r="H37" s="98">
        <f>Bets!AD35</f>
        <v/>
      </c>
      <c r="I37" s="99">
        <f>Bets!AH35</f>
        <v/>
      </c>
      <c r="J37" s="100">
        <f>Bets!AJ35</f>
        <v/>
      </c>
      <c r="K37" s="101">
        <f>Bets!AT35</f>
        <v/>
      </c>
      <c r="L37" s="106" t="n"/>
      <c r="M37" s="98">
        <f>IF(Bets!AH35="·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pauses.")),IF(Bets!AH35&lt;&gt;"BET",IF(OR(Bets!AF35&gt;Method!$B$87,IFERROR(INDEX(Bets!BC35:BE35,1,Bets!AB35)/INDEX(Bets!S35:U35,1,Bets!AB35),0)&gt;Method!$B$88),"🛑 NO BET — tail trap (EV "&amp;TEXT(Bets!AF35,"0.0%")&amp;" / model "&amp;TEXT(IFERROR(INDEX(Bets!BC35:BE35,1,Bets!AB35)/INDEX(Bets!S35:U35,1,Bets!AB35),0),"0.0")&amp;"× market)","❌ NO BET — price not good enough"),IF(Bets!AJ35=0,"❌ NO BET — stake under minimum",IF(L37="",IF(AND(Bets!AE35&gt;=6,Bets!AG35&gt;=0.15),"🟡 WAIT — long-shot review: odds "&amp;TEXT(Bets!AE35,"0.00")&amp;" + edge "&amp;TEXT(Bets!AG35,"0.0%")&amp;" — verify sharp-book + team news + stake comfort","🟡 WAIT — check team news first"),IF(L37="N","🔴 SKIP — team news concern",IF(L37="Y","🟢 PLACE £"&amp;Bets!AJ35&amp;" on "&amp;Bets!AD35,"")))))))</f>
        <v/>
      </c>
      <c r="N37" s="106" t="n"/>
      <c r="O37" s="106" t="n"/>
      <c r="P37" s="107" t="n"/>
      <c r="Q37" s="113" t="n"/>
      <c r="R37" s="106" t="inlineStr">
        <is>
          <t>H</t>
        </is>
      </c>
      <c r="S37" s="101">
        <f>Bets!AU35</f>
        <v/>
      </c>
      <c r="T37" s="107" t="n"/>
      <c r="U37" s="104">
        <f>IF(OR(T37="",P37=""),"",P37/T37-1)</f>
        <v/>
      </c>
      <c r="V37" s="85" t="n"/>
      <c r="W37" s="85" t="n"/>
      <c r="X37" s="52" t="n"/>
      <c r="Y37" s="52" t="n"/>
      <c r="Z37" s="52" t="n"/>
    </row>
    <row r="38" ht="15" customHeight="1" s="153">
      <c r="A38" s="108">
        <f>Bets!A36</f>
        <v/>
      </c>
      <c r="B38" s="109">
        <f>Bets!B36</f>
        <v/>
      </c>
      <c r="C38" s="108">
        <f>IF(Bets!H36="","TBC",Bets!H36)</f>
        <v/>
      </c>
      <c r="D38" s="101">
        <f>Bets!D36&amp;"  v  "&amp;Bets!E36</f>
        <v/>
      </c>
      <c r="E38" s="107" t="n">
        <v>1.17</v>
      </c>
      <c r="F38" s="107" t="n">
        <v>9.5</v>
      </c>
      <c r="G38" s="107" t="n">
        <v>21</v>
      </c>
      <c r="H38" s="98">
        <f>Bets!AD36</f>
        <v/>
      </c>
      <c r="I38" s="99">
        <f>Bets!AH36</f>
        <v/>
      </c>
      <c r="J38" s="100">
        <f>Bets!AJ36</f>
        <v/>
      </c>
      <c r="K38" s="101">
        <f>Bets!AT36</f>
        <v/>
      </c>
      <c r="L38" s="106" t="n"/>
      <c r="M38" s="98">
        <f>IF(Bets!AH36="·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pauses.")),IF(Bets!AH36&lt;&gt;"BET",IF(OR(Bets!AF36&gt;Method!$B$87,IFERROR(INDEX(Bets!BC36:BE36,1,Bets!AB36)/INDEX(Bets!S36:U36,1,Bets!AB36),0)&gt;Method!$B$88),"🛑 NO BET — tail trap (EV "&amp;TEXT(Bets!AF36,"0.0%")&amp;" / model "&amp;TEXT(IFERROR(INDEX(Bets!BC36:BE36,1,Bets!AB36)/INDEX(Bets!S36:U36,1,Bets!AB36),0),"0.0")&amp;"× market)","❌ NO BET — price not good enough"),IF(Bets!AJ36=0,"❌ NO BET — stake under minimum",IF(L38="",IF(AND(Bets!AE36&gt;=6,Bets!AG36&gt;=0.15),"🟡 WAIT — long-shot review: odds "&amp;TEXT(Bets!AE36,"0.00")&amp;" + edge "&amp;TEXT(Bets!AG36,"0.0%")&amp;" — verify sharp-book + team news + stake comfort","🟡 WAIT — check team news first"),IF(L38="N","🔴 SKIP — team news concern",IF(L38="Y","🟢 PLACE £"&amp;Bets!AJ36&amp;" on "&amp;Bets!AD36,"")))))))</f>
        <v/>
      </c>
      <c r="N38" s="106" t="n"/>
      <c r="O38" s="106" t="n"/>
      <c r="P38" s="107" t="n"/>
      <c r="Q38" s="113" t="n"/>
      <c r="R38" s="106" t="inlineStr">
        <is>
          <t>D</t>
        </is>
      </c>
      <c r="S38" s="101">
        <f>Bets!AU36</f>
        <v/>
      </c>
      <c r="T38" s="107" t="n"/>
      <c r="U38" s="104">
        <f>IF(OR(T38="",P38=""),"",P38/T38-1)</f>
        <v/>
      </c>
      <c r="V38" s="85" t="n"/>
      <c r="W38" s="85" t="n"/>
      <c r="X38" s="52" t="n"/>
      <c r="Y38" s="52" t="n"/>
      <c r="Z38" s="52" t="n"/>
    </row>
    <row r="39" ht="15" customHeight="1" s="153">
      <c r="A39" s="108">
        <f>Bets!A37</f>
        <v/>
      </c>
      <c r="B39" s="109">
        <f>Bets!B37</f>
        <v/>
      </c>
      <c r="C39" s="108">
        <f>IF(Bets!H37="","TBC",Bets!H37)</f>
        <v/>
      </c>
      <c r="D39" s="101">
        <f>Bets!D37&amp;"  v  "&amp;Bets!E37</f>
        <v/>
      </c>
      <c r="E39" s="107" t="n">
        <v>8.5</v>
      </c>
      <c r="F39" s="107" t="n">
        <v>4.6</v>
      </c>
      <c r="G39" s="107" t="n">
        <v>1.48</v>
      </c>
      <c r="H39" s="98">
        <f>Bets!AD37</f>
        <v/>
      </c>
      <c r="I39" s="99">
        <f>Bets!AH37</f>
        <v/>
      </c>
      <c r="J39" s="100">
        <f>Bets!AJ37</f>
        <v/>
      </c>
      <c r="K39" s="101">
        <f>Bets!AT37</f>
        <v/>
      </c>
      <c r="L39" s="106" t="n"/>
      <c r="M39" s="98">
        <f>IF(Bets!AH37="·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pauses.")),IF(Bets!AH37&lt;&gt;"BET",IF(OR(Bets!AF37&gt;Method!$B$87,IFERROR(INDEX(Bets!BC37:BE37,1,Bets!AB37)/INDEX(Bets!S37:U37,1,Bets!AB37),0)&gt;Method!$B$88),"🛑 NO BET — tail trap (EV "&amp;TEXT(Bets!AF37,"0.0%")&amp;" / model "&amp;TEXT(IFERROR(INDEX(Bets!BC37:BE37,1,Bets!AB37)/INDEX(Bets!S37:U37,1,Bets!AB37),0),"0.0")&amp;"× market)","❌ NO BET — price not good enough"),IF(Bets!AJ37=0,"❌ NO BET — stake under minimum",IF(L39="",IF(AND(Bets!AE37&gt;=6,Bets!AG37&gt;=0.15),"🟡 WAIT — long-shot review: odds "&amp;TEXT(Bets!AE37,"0.00")&amp;" + edge "&amp;TEXT(Bets!AG37,"0.0%")&amp;" — verify sharp-book + team news + stake comfort","🟡 WAIT — check team news first"),IF(L39="N","🔴 SKIP — team news concern",IF(L39="Y","🟢 PLACE £"&amp;Bets!AJ37&amp;" on "&amp;Bets!AD37,"")))))))</f>
        <v/>
      </c>
      <c r="N39" s="106" t="n"/>
      <c r="O39" s="106" t="n"/>
      <c r="P39" s="107" t="n"/>
      <c r="Q39" s="113" t="n"/>
      <c r="R39" s="106" t="inlineStr">
        <is>
          <t>A</t>
        </is>
      </c>
      <c r="S39" s="101">
        <f>Bets!AU37</f>
        <v/>
      </c>
      <c r="T39" s="107" t="n"/>
      <c r="U39" s="104">
        <f>IF(OR(T39="",P39=""),"",P39/T39-1)</f>
        <v/>
      </c>
      <c r="V39" s="85" t="n"/>
      <c r="W39" s="85" t="n"/>
      <c r="X39" s="52" t="n"/>
      <c r="Y39" s="52" t="n"/>
      <c r="Z39" s="52" t="n"/>
    </row>
    <row r="40" ht="15" customHeight="1" s="153">
      <c r="A40" s="108">
        <f>Bets!A38</f>
        <v/>
      </c>
      <c r="B40" s="109">
        <f>Bets!B38</f>
        <v/>
      </c>
      <c r="C40" s="110">
        <f>IF(Bets!H38="","TBC",Bets!H38)</f>
        <v/>
      </c>
      <c r="D40" s="101">
        <f>Bets!D38&amp;"  v  "&amp;Bets!E38</f>
        <v/>
      </c>
      <c r="E40" s="107" t="n">
        <v>1.11</v>
      </c>
      <c r="F40" s="107" t="n">
        <v>13</v>
      </c>
      <c r="G40" s="107" t="n">
        <v>27</v>
      </c>
      <c r="H40" s="98">
        <f>Bets!AD38</f>
        <v/>
      </c>
      <c r="I40" s="99">
        <f>Bets!AH38</f>
        <v/>
      </c>
      <c r="J40" s="100">
        <f>Bets!AJ38</f>
        <v/>
      </c>
      <c r="K40" s="101">
        <f>Bets!AT38</f>
        <v/>
      </c>
      <c r="L40" s="106" t="n"/>
      <c r="M40" s="98">
        <f>IF(Bets!AH38="·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pauses.")),IF(Bets!AH38&lt;&gt;"BET",IF(OR(Bets!AF38&gt;Method!$B$87,IFERROR(INDEX(Bets!BC38:BE38,1,Bets!AB38)/INDEX(Bets!S38:U38,1,Bets!AB38),0)&gt;Method!$B$88),"🛑 NO BET — tail trap (EV "&amp;TEXT(Bets!AF38,"0.0%")&amp;" / model "&amp;TEXT(IFERROR(INDEX(Bets!BC38:BE38,1,Bets!AB38)/INDEX(Bets!S38:U38,1,Bets!AB38),0),"0.0")&amp;"× market)","❌ NO BET — price not good enough"),IF(Bets!AJ38=0,"❌ NO BET — stake under minimum",IF(L40="",IF(AND(Bets!AE38&gt;=6,Bets!AG38&gt;=0.15),"🟡 WAIT — long-shot review: odds "&amp;TEXT(Bets!AE38,"0.00")&amp;" + edge "&amp;TEXT(Bets!AG38,"0.0%")&amp;" — verify sharp-book + team news + stake comfort","🟡 WAIT — check team news first"),IF(L40="N","🔴 SKIP — team news concern",IF(L40="Y","🟢 PLACE £"&amp;Bets!AJ38&amp;" on "&amp;Bets!AD38,"")))))))</f>
        <v/>
      </c>
      <c r="N40" s="106" t="n"/>
      <c r="O40" s="106" t="n"/>
      <c r="P40" s="107" t="n"/>
      <c r="Q40" s="113" t="n"/>
      <c r="R40" s="106" t="inlineStr">
        <is>
          <t>H</t>
        </is>
      </c>
      <c r="S40" s="101">
        <f>Bets!AU38</f>
        <v/>
      </c>
      <c r="T40" s="107" t="n"/>
      <c r="U40" s="104">
        <f>IF(OR(T40="",P40=""),"",P40/T40-1)</f>
        <v/>
      </c>
      <c r="V40" s="85" t="n"/>
      <c r="W40" s="85" t="n"/>
      <c r="X40" s="52" t="n"/>
      <c r="Y40" s="52" t="n"/>
      <c r="Z40" s="52" t="n"/>
    </row>
    <row r="41" ht="15" customHeight="1" s="153">
      <c r="A41" s="108">
        <f>Bets!A39</f>
        <v/>
      </c>
      <c r="B41" s="109">
        <f>Bets!B39</f>
        <v/>
      </c>
      <c r="C41" s="110">
        <f>IF(Bets!H39="","TBC",Bets!H39)</f>
        <v/>
      </c>
      <c r="D41" s="101">
        <f>Bets!D39&amp;"  v  "&amp;Bets!E39</f>
        <v/>
      </c>
      <c r="E41" s="107" t="n">
        <v>1.44</v>
      </c>
      <c r="F41" s="107" t="n">
        <v>4.75</v>
      </c>
      <c r="G41" s="107" t="n">
        <v>8.5</v>
      </c>
      <c r="H41" s="98">
        <f>Bets!AD39</f>
        <v/>
      </c>
      <c r="I41" s="99">
        <f>Bets!AH39</f>
        <v/>
      </c>
      <c r="J41" s="100">
        <f>Bets!AJ39</f>
        <v/>
      </c>
      <c r="K41" s="101">
        <f>Bets!AT39</f>
        <v/>
      </c>
      <c r="L41" s="106" t="n"/>
      <c r="M41" s="98">
        <f>IF(Bets!AH39="·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pauses.")),IF(Bets!AH39&lt;&gt;"BET",IF(OR(Bets!AF39&gt;Method!$B$87,IFERROR(INDEX(Bets!BC39:BE39,1,Bets!AB39)/INDEX(Bets!S39:U39,1,Bets!AB39),0)&gt;Method!$B$88),"🛑 NO BET — tail trap (EV "&amp;TEXT(Bets!AF39,"0.0%")&amp;" / model "&amp;TEXT(IFERROR(INDEX(Bets!BC39:BE39,1,Bets!AB39)/INDEX(Bets!S39:U39,1,Bets!AB39),0),"0.0")&amp;"× market)","❌ NO BET — price not good enough"),IF(Bets!AJ39=0,"❌ NO BET — stake under minimum",IF(L41="",IF(AND(Bets!AE39&gt;=6,Bets!AG39&gt;=0.15),"🟡 WAIT — long-shot review: odds "&amp;TEXT(Bets!AE39,"0.00")&amp;" + edge "&amp;TEXT(Bets!AG39,"0.0%")&amp;" — verify sharp-book + team news + stake comfort","🟡 WAIT — check team news first"),IF(L41="N","🔴 SKIP — team news concern",IF(L41="Y","🟢 PLACE £"&amp;Bets!AJ39&amp;" on "&amp;Bets!AD39,"")))))))</f>
        <v/>
      </c>
      <c r="N41" s="106" t="n"/>
      <c r="O41" s="106" t="n"/>
      <c r="P41" s="107" t="n"/>
      <c r="Q41" s="113" t="n"/>
      <c r="R41" s="106" t="inlineStr">
        <is>
          <t>D</t>
        </is>
      </c>
      <c r="S41" s="101">
        <f>Bets!AU39</f>
        <v/>
      </c>
      <c r="T41" s="107" t="n"/>
      <c r="U41" s="104">
        <f>IF(OR(T41="",P41=""),"",P41/T41-1)</f>
        <v/>
      </c>
      <c r="V41" s="85" t="n"/>
      <c r="W41" s="85" t="n"/>
      <c r="X41" s="52" t="n"/>
      <c r="Y41" s="52" t="n"/>
      <c r="Z41" s="52" t="n"/>
    </row>
    <row r="42" ht="15" customHeight="1" s="153">
      <c r="A42" s="108">
        <f>Bets!A40</f>
        <v/>
      </c>
      <c r="B42" s="109">
        <f>Bets!B40</f>
        <v/>
      </c>
      <c r="C42" s="110">
        <f>IF(Bets!H40="","TBC",Bets!H40)</f>
        <v/>
      </c>
      <c r="D42" s="101">
        <f>Bets!D40&amp;"  v  "&amp;Bets!E40</f>
        <v/>
      </c>
      <c r="E42" s="107" t="n">
        <v>1.41</v>
      </c>
      <c r="F42" s="107" t="n">
        <v>5</v>
      </c>
      <c r="G42" s="107" t="n">
        <v>10</v>
      </c>
      <c r="H42" s="98">
        <f>Bets!AD40</f>
        <v/>
      </c>
      <c r="I42" s="99">
        <f>Bets!AH40</f>
        <v/>
      </c>
      <c r="J42" s="100">
        <f>Bets!AJ40</f>
        <v/>
      </c>
      <c r="K42" s="101">
        <f>Bets!AT40</f>
        <v/>
      </c>
      <c r="L42" s="106" t="n"/>
      <c r="M42" s="98">
        <f>IF(Bets!AH40="·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pauses.")),IF(Bets!AH40&lt;&gt;"BET",IF(OR(Bets!AF40&gt;Method!$B$87,IFERROR(INDEX(Bets!BC40:BE40,1,Bets!AB40)/INDEX(Bets!S40:U40,1,Bets!AB40),0)&gt;Method!$B$88),"🛑 NO BET — tail trap (EV "&amp;TEXT(Bets!AF40,"0.0%")&amp;" / model "&amp;TEXT(IFERROR(INDEX(Bets!BC40:BE40,1,Bets!AB40)/INDEX(Bets!S40:U40,1,Bets!AB40),0),"0.0")&amp;"× market)","❌ NO BET — price not good enough"),IF(Bets!AJ40=0,"❌ NO BET — stake under minimum",IF(L42="",IF(AND(Bets!AE40&gt;=6,Bets!AG40&gt;=0.15),"🟡 WAIT — long-shot review: odds "&amp;TEXT(Bets!AE40,"0.00")&amp;" + edge "&amp;TEXT(Bets!AG40,"0.0%")&amp;" — verify sharp-book + team news + stake comfort","🟡 WAIT — check team news first"),IF(L42="N","🔴 SKIP — team news concern",IF(L42="Y","🟢 PLACE £"&amp;Bets!AJ40&amp;" on "&amp;Bets!AD40,"")))))))</f>
        <v/>
      </c>
      <c r="N42" s="106" t="n"/>
      <c r="O42" s="106" t="n"/>
      <c r="P42" s="107" t="n"/>
      <c r="Q42" s="113" t="n"/>
      <c r="R42" s="106" t="inlineStr">
        <is>
          <t>D</t>
        </is>
      </c>
      <c r="S42" s="101">
        <f>Bets!AU40</f>
        <v/>
      </c>
      <c r="T42" s="107" t="n"/>
      <c r="U42" s="104">
        <f>IF(OR(T42="",P42=""),"",P42/T42-1)</f>
        <v/>
      </c>
      <c r="V42" s="85" t="n"/>
      <c r="W42" s="85" t="n"/>
      <c r="X42" s="52" t="n"/>
      <c r="Y42" s="52" t="n"/>
      <c r="Z42" s="52" t="n"/>
    </row>
    <row r="43" ht="15" customHeight="1" s="153">
      <c r="A43" s="108">
        <f>Bets!A41</f>
        <v/>
      </c>
      <c r="B43" s="109">
        <f>Bets!B41</f>
        <v/>
      </c>
      <c r="C43" s="108">
        <f>IF(Bets!H41="","TBC",Bets!H41)</f>
        <v/>
      </c>
      <c r="D43" s="101">
        <f>Bets!D41&amp;"  v  "&amp;Bets!E41</f>
        <v/>
      </c>
      <c r="E43" s="107" t="n">
        <v>6</v>
      </c>
      <c r="F43" s="107" t="n">
        <v>4</v>
      </c>
      <c r="G43" s="107" t="n">
        <v>1.67</v>
      </c>
      <c r="H43" s="98">
        <f>Bets!AD41</f>
        <v/>
      </c>
      <c r="I43" s="99">
        <f>Bets!AH41</f>
        <v/>
      </c>
      <c r="J43" s="100">
        <f>Bets!AJ41</f>
        <v/>
      </c>
      <c r="K43" s="101">
        <f>Bets!AT41</f>
        <v/>
      </c>
      <c r="L43" s="106" t="n"/>
      <c r="M43" s="98">
        <f>IF(Bets!AH41="·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pauses.")),IF(Bets!AH41&lt;&gt;"BET",IF(OR(Bets!AF41&gt;Method!$B$87,IFERROR(INDEX(Bets!BC41:BE41,1,Bets!AB41)/INDEX(Bets!S41:U41,1,Bets!AB41),0)&gt;Method!$B$88),"🛑 NO BET — tail trap (EV "&amp;TEXT(Bets!AF41,"0.0%")&amp;" / model "&amp;TEXT(IFERROR(INDEX(Bets!BC41:BE41,1,Bets!AB41)/INDEX(Bets!S41:U41,1,Bets!AB41),0),"0.0")&amp;"× market)","❌ NO BET — price not good enough"),IF(Bets!AJ41=0,"❌ NO BET — stake under minimum",IF(L43="",IF(AND(Bets!AE41&gt;=6,Bets!AG41&gt;=0.15),"🟡 WAIT — long-shot review: odds "&amp;TEXT(Bets!AE41,"0.00")&amp;" + edge "&amp;TEXT(Bets!AG41,"0.0%")&amp;" — verify sharp-book + team news + stake comfort","🟡 WAIT — check team news first"),IF(L43="N","🔴 SKIP — team news concern",IF(L43="Y","🟢 PLACE £"&amp;Bets!AJ41&amp;" on "&amp;Bets!AD41,"")))))))</f>
        <v/>
      </c>
      <c r="N43" s="106" t="n"/>
      <c r="O43" s="106" t="n"/>
      <c r="P43" s="107" t="n"/>
      <c r="Q43" s="113" t="n"/>
      <c r="R43" s="106" t="inlineStr">
        <is>
          <t>A</t>
        </is>
      </c>
      <c r="S43" s="101">
        <f>Bets!AU41</f>
        <v/>
      </c>
      <c r="T43" s="107" t="n"/>
      <c r="U43" s="104">
        <f>IF(OR(T43="",P43=""),"",P43/T43-1)</f>
        <v/>
      </c>
      <c r="V43" s="85" t="n"/>
      <c r="W43" s="85" t="n"/>
      <c r="X43" s="52" t="n"/>
      <c r="Y43" s="52" t="n"/>
      <c r="Z43" s="52" t="n"/>
    </row>
    <row r="44" ht="15" customHeight="1" s="153">
      <c r="A44" s="108">
        <f>Bets!A42</f>
        <v/>
      </c>
      <c r="B44" s="109">
        <f>Bets!B42</f>
        <v/>
      </c>
      <c r="C44" s="110">
        <f>IF(Bets!H42="","TBC",Bets!H42)</f>
        <v/>
      </c>
      <c r="D44" s="101">
        <f>Bets!D42&amp;"  v  "&amp;Bets!E42</f>
        <v/>
      </c>
      <c r="E44" s="107" t="n">
        <v>1.47</v>
      </c>
      <c r="F44" s="107" t="n">
        <v>4.5</v>
      </c>
      <c r="G44" s="107" t="n">
        <v>8</v>
      </c>
      <c r="H44" s="98">
        <f>Bets!AD42</f>
        <v/>
      </c>
      <c r="I44" s="99">
        <f>Bets!AH42</f>
        <v/>
      </c>
      <c r="J44" s="100">
        <f>Bets!AJ42</f>
        <v/>
      </c>
      <c r="K44" s="101">
        <f>Bets!AT42</f>
        <v/>
      </c>
      <c r="L44" s="106" t="n"/>
      <c r="M44" s="98">
        <f>IF(Bets!AH42="·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pauses.")),IF(Bets!AH42&lt;&gt;"BET",IF(OR(Bets!AF42&gt;Method!$B$87,IFERROR(INDEX(Bets!BC42:BE42,1,Bets!AB42)/INDEX(Bets!S42:U42,1,Bets!AB42),0)&gt;Method!$B$88),"🛑 NO BET — tail trap (EV "&amp;TEXT(Bets!AF42,"0.0%")&amp;" / model "&amp;TEXT(IFERROR(INDEX(Bets!BC42:BE42,1,Bets!AB42)/INDEX(Bets!S42:U42,1,Bets!AB42),0),"0.0")&amp;"× market)","❌ NO BET — price not good enough"),IF(Bets!AJ42=0,"❌ NO BET — stake under minimum",IF(L44="",IF(AND(Bets!AE42&gt;=6,Bets!AG42&gt;=0.15),"🟡 WAIT — long-shot review: odds "&amp;TEXT(Bets!AE42,"0.00")&amp;" + edge "&amp;TEXT(Bets!AG42,"0.0%")&amp;" — verify sharp-book + team news + stake comfort","🟡 WAIT — check team news first"),IF(L44="N","🔴 SKIP — team news concern",IF(L44="Y","🟢 PLACE £"&amp;Bets!AJ42&amp;" on "&amp;Bets!AD42,"")))))))</f>
        <v/>
      </c>
      <c r="N44" s="106" t="n"/>
      <c r="O44" s="106" t="n"/>
      <c r="P44" s="107" t="n"/>
      <c r="Q44" s="113" t="n"/>
      <c r="R44" s="106" t="inlineStr">
        <is>
          <t>H</t>
        </is>
      </c>
      <c r="S44" s="101">
        <f>Bets!AU42</f>
        <v/>
      </c>
      <c r="T44" s="107" t="n"/>
      <c r="U44" s="104">
        <f>IF(OR(T44="",P44=""),"",P44/T44-1)</f>
        <v/>
      </c>
      <c r="V44" s="85" t="n"/>
      <c r="W44" s="85" t="n"/>
      <c r="X44" s="52" t="n"/>
      <c r="Y44" s="52" t="n"/>
      <c r="Z44" s="52" t="n"/>
    </row>
    <row r="45" ht="15" customHeight="1" s="153">
      <c r="A45" s="108">
        <f>Bets!A43</f>
        <v/>
      </c>
      <c r="B45" s="109">
        <f>Bets!B43</f>
        <v/>
      </c>
      <c r="C45" s="110">
        <f>IF(Bets!H43="","TBC",Bets!H43)</f>
        <v/>
      </c>
      <c r="D45" s="101">
        <f>Bets!D43&amp;"  v  "&amp;Bets!E43</f>
        <v/>
      </c>
      <c r="E45" s="107" t="n">
        <v>1.09</v>
      </c>
      <c r="F45" s="107" t="n">
        <v>14</v>
      </c>
      <c r="G45" s="107" t="n">
        <v>36</v>
      </c>
      <c r="H45" s="98">
        <f>Bets!AD43</f>
        <v/>
      </c>
      <c r="I45" s="99">
        <f>Bets!AH43</f>
        <v/>
      </c>
      <c r="J45" s="100">
        <f>Bets!AJ43</f>
        <v/>
      </c>
      <c r="K45" s="101">
        <f>Bets!AT43</f>
        <v/>
      </c>
      <c r="L45" s="106" t="n"/>
      <c r="M45" s="98">
        <f>IF(Bets!AH43="·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pauses.")),IF(Bets!AH43&lt;&gt;"BET",IF(OR(Bets!AF43&gt;Method!$B$87,IFERROR(INDEX(Bets!BC43:BE43,1,Bets!AB43)/INDEX(Bets!S43:U43,1,Bets!AB43),0)&gt;Method!$B$88),"🛑 NO BET — tail trap (EV "&amp;TEXT(Bets!AF43,"0.0%")&amp;" / model "&amp;TEXT(IFERROR(INDEX(Bets!BC43:BE43,1,Bets!AB43)/INDEX(Bets!S43:U43,1,Bets!AB43),0),"0.0")&amp;"× market)","❌ NO BET — price not good enough"),IF(Bets!AJ43=0,"❌ NO BET — stake under minimum",IF(L45="",IF(AND(Bets!AE43&gt;=6,Bets!AG43&gt;=0.15),"🟡 WAIT — long-shot review: odds "&amp;TEXT(Bets!AE43,"0.00")&amp;" + edge "&amp;TEXT(Bets!AG43,"0.0%")&amp;" — verify sharp-book + team news + stake comfort","🟡 WAIT — check team news first"),IF(L45="N","🔴 SKIP — team news concern",IF(L45="Y","🟢 PLACE £"&amp;Bets!AJ43&amp;" on "&amp;Bets!AD43,"")))))))</f>
        <v/>
      </c>
      <c r="N45" s="106" t="n"/>
      <c r="O45" s="106" t="n"/>
      <c r="P45" s="107" t="n"/>
      <c r="Q45" s="113" t="n"/>
      <c r="R45" s="106" t="inlineStr">
        <is>
          <t>H</t>
        </is>
      </c>
      <c r="S45" s="101">
        <f>Bets!AU43</f>
        <v/>
      </c>
      <c r="T45" s="107" t="n"/>
      <c r="U45" s="104">
        <f>IF(OR(T45="",P45=""),"",P45/T45-1)</f>
        <v/>
      </c>
      <c r="V45" s="85" t="n"/>
      <c r="W45" s="85" t="n"/>
      <c r="X45" s="52" t="n"/>
      <c r="Y45" s="52" t="n"/>
      <c r="Z45" s="52" t="n"/>
    </row>
    <row r="46" ht="15" customHeight="1" s="153">
      <c r="A46" s="108">
        <f>Bets!A44</f>
        <v/>
      </c>
      <c r="B46" s="109">
        <f>Bets!B44</f>
        <v/>
      </c>
      <c r="C46" s="108">
        <f>IF(Bets!H44="","TBC",Bets!H44)</f>
        <v/>
      </c>
      <c r="D46" s="101">
        <f>Bets!D44&amp;"  v  "&amp;Bets!E44</f>
        <v/>
      </c>
      <c r="E46" s="107" t="n">
        <v>2.5</v>
      </c>
      <c r="F46" s="107" t="n">
        <v>3.5</v>
      </c>
      <c r="G46" s="107" t="n">
        <v>3.05</v>
      </c>
      <c r="H46" s="98">
        <f>Bets!AD44</f>
        <v/>
      </c>
      <c r="I46" s="99">
        <f>Bets!AH44</f>
        <v/>
      </c>
      <c r="J46" s="100">
        <f>Bets!AJ44</f>
        <v/>
      </c>
      <c r="K46" s="101">
        <f>Bets!AT44</f>
        <v/>
      </c>
      <c r="L46" s="106" t="n"/>
      <c r="M46" s="98">
        <f>IF(Bets!AH44="·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pauses.")),IF(Bets!AH44&lt;&gt;"BET",IF(OR(Bets!AF44&gt;Method!$B$87,IFERROR(INDEX(Bets!BC44:BE44,1,Bets!AB44)/INDEX(Bets!S44:U44,1,Bets!AB44),0)&gt;Method!$B$88),"🛑 NO BET — tail trap (EV "&amp;TEXT(Bets!AF44,"0.0%")&amp;" / model "&amp;TEXT(IFERROR(INDEX(Bets!BC44:BE44,1,Bets!AB44)/INDEX(Bets!S44:U44,1,Bets!AB44),0),"0.0")&amp;"× market)","❌ NO BET — price not good enough"),IF(Bets!AJ44=0,"❌ NO BET — stake under minimum",IF(L46="",IF(AND(Bets!AE44&gt;=6,Bets!AG44&gt;=0.15),"🟡 WAIT — long-shot review: odds "&amp;TEXT(Bets!AE44,"0.00")&amp;" + edge "&amp;TEXT(Bets!AG44,"0.0%")&amp;" — verify sharp-book + team news + stake comfort","🟡 WAIT — check team news first"),IF(L46="N","🔴 SKIP — team news concern",IF(L46="Y","🟢 PLACE £"&amp;Bets!AJ44&amp;" on "&amp;Bets!AD44,"")))))))</f>
        <v/>
      </c>
      <c r="N46" s="106" t="n"/>
      <c r="O46" s="106" t="n"/>
      <c r="P46" s="107" t="n"/>
      <c r="Q46" s="113" t="n"/>
      <c r="R46" s="106" t="inlineStr">
        <is>
          <t>H</t>
        </is>
      </c>
      <c r="S46" s="101">
        <f>Bets!AU44</f>
        <v/>
      </c>
      <c r="T46" s="107" t="n"/>
      <c r="U46" s="104">
        <f>IF(OR(T46="",P46=""),"",P46/T46-1)</f>
        <v/>
      </c>
      <c r="V46" s="85" t="n"/>
      <c r="W46" s="85" t="n"/>
      <c r="X46" s="52" t="n"/>
      <c r="Y46" s="52" t="n"/>
      <c r="Z46" s="52" t="n"/>
    </row>
    <row r="47" ht="15" customHeight="1" s="153">
      <c r="A47" s="108">
        <f>Bets!A45</f>
        <v/>
      </c>
      <c r="B47" s="109">
        <f>Bets!B45</f>
        <v/>
      </c>
      <c r="C47" s="108">
        <f>IF(Bets!H45="","TBC",Bets!H45)</f>
        <v/>
      </c>
      <c r="D47" s="101">
        <f>Bets!D45&amp;"  v  "&amp;Bets!E45</f>
        <v/>
      </c>
      <c r="E47" s="107" t="n">
        <v>7.5</v>
      </c>
      <c r="F47" s="107" t="n">
        <v>3.5</v>
      </c>
      <c r="G47" s="107" t="n">
        <v>1.53</v>
      </c>
      <c r="H47" s="98">
        <f>Bets!AD45</f>
        <v/>
      </c>
      <c r="I47" s="99">
        <f>Bets!AH45</f>
        <v/>
      </c>
      <c r="J47" s="100">
        <f>Bets!AJ45</f>
        <v/>
      </c>
      <c r="K47" s="101">
        <f>Bets!AT45</f>
        <v/>
      </c>
      <c r="L47" s="106" t="n"/>
      <c r="M47" s="98">
        <f>IF(Bets!AH45="·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pauses.")),IF(Bets!AH45&lt;&gt;"BET",IF(OR(Bets!AF45&gt;Method!$B$87,IFERROR(INDEX(Bets!BC45:BE45,1,Bets!AB45)/INDEX(Bets!S45:U45,1,Bets!AB45),0)&gt;Method!$B$88),"🛑 NO BET — tail trap (EV "&amp;TEXT(Bets!AF45,"0.0%")&amp;" / model "&amp;TEXT(IFERROR(INDEX(Bets!BC45:BE45,1,Bets!AB45)/INDEX(Bets!S45:U45,1,Bets!AB45),0),"0.0")&amp;"× market)","❌ NO BET — price not good enough"),IF(Bets!AJ45=0,"❌ NO BET — stake under minimum",IF(L47="",IF(AND(Bets!AE45&gt;=6,Bets!AG45&gt;=0.15),"🟡 WAIT — long-shot review: odds "&amp;TEXT(Bets!AE45,"0.00")&amp;" + edge "&amp;TEXT(Bets!AG45,"0.0%")&amp;" — verify sharp-book + team news + stake comfort","🟡 WAIT — check team news first"),IF(L47="N","🔴 SKIP — team news concern",IF(L47="Y","🟢 PLACE £"&amp;Bets!AJ45&amp;" on "&amp;Bets!AD45,"")))))))</f>
        <v/>
      </c>
      <c r="N47" s="106" t="n"/>
      <c r="O47" s="106" t="n"/>
      <c r="P47" s="107" t="n"/>
      <c r="Q47" s="113" t="n"/>
      <c r="R47" s="106" t="inlineStr">
        <is>
          <t>A</t>
        </is>
      </c>
      <c r="S47" s="101">
        <f>Bets!AU45</f>
        <v/>
      </c>
      <c r="T47" s="107" t="n"/>
      <c r="U47" s="104">
        <f>IF(OR(T47="",P47=""),"",P47/T47-1)</f>
        <v/>
      </c>
      <c r="V47" s="85" t="n"/>
      <c r="W47" s="85" t="n"/>
      <c r="X47" s="52" t="n"/>
      <c r="Y47" s="52" t="n"/>
      <c r="Z47" s="52" t="n"/>
    </row>
    <row r="48" ht="15" customHeight="1" s="153">
      <c r="A48" s="108">
        <f>Bets!A46</f>
        <v/>
      </c>
      <c r="B48" s="109">
        <f>Bets!B46</f>
        <v/>
      </c>
      <c r="C48" s="110">
        <f>IF(Bets!H46="","TBC",Bets!H46)</f>
        <v/>
      </c>
      <c r="D48" s="101">
        <f>Bets!D46&amp;"  v  "&amp;Bets!E46</f>
        <v/>
      </c>
      <c r="E48" s="107" t="n">
        <v>1.17</v>
      </c>
      <c r="F48" s="107" t="n">
        <v>9</v>
      </c>
      <c r="G48" s="107" t="n">
        <v>23</v>
      </c>
      <c r="H48" s="98">
        <f>Bets!AD46</f>
        <v/>
      </c>
      <c r="I48" s="99">
        <f>Bets!AH46</f>
        <v/>
      </c>
      <c r="J48" s="100">
        <f>Bets!AJ46</f>
        <v/>
      </c>
      <c r="K48" s="101">
        <f>Bets!AT46</f>
        <v/>
      </c>
      <c r="L48" s="106" t="n"/>
      <c r="M48" s="98">
        <f>IF(Bets!AH46="·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pauses.")),IF(Bets!AH46&lt;&gt;"BET",IF(OR(Bets!AF46&gt;Method!$B$87,IFERROR(INDEX(Bets!BC46:BE46,1,Bets!AB46)/INDEX(Bets!S46:U46,1,Bets!AB46),0)&gt;Method!$B$88),"🛑 NO BET — tail trap (EV "&amp;TEXT(Bets!AF46,"0.0%")&amp;" / model "&amp;TEXT(IFERROR(INDEX(Bets!BC46:BE46,1,Bets!AB46)/INDEX(Bets!S46:U46,1,Bets!AB46),0),"0.0")&amp;"× market)","❌ NO BET — price not good enough"),IF(Bets!AJ46=0,"❌ NO BET — stake under minimum",IF(L48="",IF(AND(Bets!AE46&gt;=6,Bets!AG46&gt;=0.15),"🟡 WAIT — long-shot review: odds "&amp;TEXT(Bets!AE46,"0.00")&amp;" + edge "&amp;TEXT(Bets!AG46,"0.0%")&amp;" — verify sharp-book + team news + stake comfort","🟡 WAIT — check team news first"),IF(L48="N","🔴 SKIP — team news concern",IF(L48="Y","🟢 PLACE £"&amp;Bets!AJ46&amp;" on "&amp;Bets!AD46,"")))))))</f>
        <v/>
      </c>
      <c r="N48" s="106" t="n"/>
      <c r="O48" s="106" t="n"/>
      <c r="P48" s="107" t="n"/>
      <c r="Q48" s="113" t="n"/>
      <c r="R48" s="106" t="inlineStr">
        <is>
          <t>H</t>
        </is>
      </c>
      <c r="S48" s="101">
        <f>Bets!AU46</f>
        <v/>
      </c>
      <c r="T48" s="107" t="n"/>
      <c r="U48" s="104">
        <f>IF(OR(T48="",P48=""),"",P48/T48-1)</f>
        <v/>
      </c>
      <c r="V48" s="85" t="n"/>
      <c r="W48" s="85" t="n"/>
      <c r="X48" s="52" t="n"/>
      <c r="Y48" s="52" t="n"/>
      <c r="Z48" s="52" t="n"/>
    </row>
    <row r="49" ht="15" customHeight="1" s="153">
      <c r="A49" s="108">
        <f>Bets!A47</f>
        <v/>
      </c>
      <c r="B49" s="109">
        <f>Bets!B47</f>
        <v/>
      </c>
      <c r="C49" s="110">
        <f>IF(Bets!H47="","TBC",Bets!H47)</f>
        <v/>
      </c>
      <c r="D49" s="101">
        <f>Bets!D47&amp;"  v  "&amp;Bets!E47</f>
        <v/>
      </c>
      <c r="E49" s="107" t="n">
        <v>1.2</v>
      </c>
      <c r="F49" s="107" t="n">
        <v>8</v>
      </c>
      <c r="G49" s="107" t="n">
        <v>19</v>
      </c>
      <c r="H49" s="98">
        <f>Bets!AD47</f>
        <v/>
      </c>
      <c r="I49" s="99">
        <f>Bets!AH47</f>
        <v/>
      </c>
      <c r="J49" s="100">
        <f>Bets!AJ47</f>
        <v/>
      </c>
      <c r="K49" s="101">
        <f>Bets!AT47</f>
        <v/>
      </c>
      <c r="L49" s="106" t="n"/>
      <c r="M49" s="98">
        <f>IF(Bets!AH47="·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pauses.")),IF(Bets!AH47&lt;&gt;"BET",IF(OR(Bets!AF47&gt;Method!$B$87,IFERROR(INDEX(Bets!BC47:BE47,1,Bets!AB47)/INDEX(Bets!S47:U47,1,Bets!AB47),0)&gt;Method!$B$88),"🛑 NO BET — tail trap (EV "&amp;TEXT(Bets!AF47,"0.0%")&amp;" / model "&amp;TEXT(IFERROR(INDEX(Bets!BC47:BE47,1,Bets!AB47)/INDEX(Bets!S47:U47,1,Bets!AB47),0),"0.0")&amp;"× market)","❌ NO BET — price not good enough"),IF(Bets!AJ47=0,"❌ NO BET — stake under minimum",IF(L49="",IF(AND(Bets!AE47&gt;=6,Bets!AG47&gt;=0.15),"🟡 WAIT — long-shot review: odds "&amp;TEXT(Bets!AE47,"0.00")&amp;" + edge "&amp;TEXT(Bets!AG47,"0.0%")&amp;" — verify sharp-book + team news + stake comfort","🟡 WAIT — check team news first"),IF(L49="N","🔴 SKIP — team news concern",IF(L49="Y","🟢 PLACE £"&amp;Bets!AJ47&amp;" on "&amp;Bets!AD47,"")))))))</f>
        <v/>
      </c>
      <c r="N49" s="106" t="n"/>
      <c r="O49" s="106" t="n"/>
      <c r="P49" s="107" t="n"/>
      <c r="Q49" s="113" t="n"/>
      <c r="R49" s="106" t="inlineStr">
        <is>
          <t>D</t>
        </is>
      </c>
      <c r="S49" s="101">
        <f>Bets!AU47</f>
        <v/>
      </c>
      <c r="T49" s="107" t="n"/>
      <c r="U49" s="104">
        <f>IF(OR(T49="",P49=""),"",P49/T49-1)</f>
        <v/>
      </c>
      <c r="V49" s="85" t="n"/>
      <c r="W49" s="85" t="n"/>
      <c r="X49" s="52" t="n"/>
      <c r="Y49" s="52" t="n"/>
      <c r="Z49" s="52" t="n"/>
    </row>
    <row r="50" ht="15" customHeight="1" s="153">
      <c r="A50" s="108">
        <f>Bets!A48</f>
        <v/>
      </c>
      <c r="B50" s="109">
        <f>Bets!B48</f>
        <v/>
      </c>
      <c r="C50" s="108">
        <f>IF(Bets!H48="","TBC",Bets!H48)</f>
        <v/>
      </c>
      <c r="D50" s="101">
        <f>Bets!D48&amp;"  v  "&amp;Bets!E48</f>
        <v/>
      </c>
      <c r="E50" s="107" t="n">
        <v>8</v>
      </c>
      <c r="F50" s="107" t="n">
        <v>4.8</v>
      </c>
      <c r="G50" s="107" t="n">
        <v>1.44</v>
      </c>
      <c r="H50" s="98">
        <f>Bets!AD48</f>
        <v/>
      </c>
      <c r="I50" s="99">
        <f>Bets!AH48</f>
        <v/>
      </c>
      <c r="J50" s="100">
        <f>Bets!AJ48</f>
        <v/>
      </c>
      <c r="K50" s="101">
        <f>Bets!AT48</f>
        <v/>
      </c>
      <c r="L50" s="106" t="n"/>
      <c r="M50" s="98">
        <f>IF(Bets!AH48="·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pauses.")),IF(Bets!AH48&lt;&gt;"BET",IF(OR(Bets!AF48&gt;Method!$B$87,IFERROR(INDEX(Bets!BC48:BE48,1,Bets!AB48)/INDEX(Bets!S48:U48,1,Bets!AB48),0)&gt;Method!$B$88),"🛑 NO BET — tail trap (EV "&amp;TEXT(Bets!AF48,"0.0%")&amp;" / model "&amp;TEXT(IFERROR(INDEX(Bets!BC48:BE48,1,Bets!AB48)/INDEX(Bets!S48:U48,1,Bets!AB48),0),"0.0")&amp;"× market)","❌ NO BET — price not good enough"),IF(Bets!AJ48=0,"❌ NO BET — stake under minimum",IF(L50="",IF(AND(Bets!AE48&gt;=6,Bets!AG48&gt;=0.15),"🟡 WAIT — long-shot review: odds "&amp;TEXT(Bets!AE48,"0.00")&amp;" + edge "&amp;TEXT(Bets!AG48,"0.0%")&amp;" — verify sharp-book + team news + stake comfort","🟡 WAIT — check team news first"),IF(L50="N","🔴 SKIP — team news concern",IF(L50="Y","🟢 PLACE £"&amp;Bets!AJ48&amp;" on "&amp;Bets!AD48,"")))))))</f>
        <v/>
      </c>
      <c r="N50" s="106" t="n"/>
      <c r="O50" s="106" t="n"/>
      <c r="P50" s="107" t="n"/>
      <c r="Q50" s="113" t="n"/>
      <c r="R50" s="106" t="inlineStr">
        <is>
          <t>A</t>
        </is>
      </c>
      <c r="S50" s="101">
        <f>Bets!AU48</f>
        <v/>
      </c>
      <c r="T50" s="107" t="n"/>
      <c r="U50" s="104">
        <f>IF(OR(T50="",P50=""),"",P50/T50-1)</f>
        <v/>
      </c>
      <c r="V50" s="85" t="n"/>
      <c r="W50" s="85" t="n"/>
      <c r="X50" s="52" t="n"/>
      <c r="Y50" s="52" t="n"/>
      <c r="Z50" s="52" t="n"/>
    </row>
    <row r="51" ht="15" customHeight="1" s="153">
      <c r="A51" s="108">
        <f>Bets!A49</f>
        <v/>
      </c>
      <c r="B51" s="109">
        <f>Bets!B49</f>
        <v/>
      </c>
      <c r="C51" s="108">
        <f>IF(Bets!H49="","TBC",Bets!H49)</f>
        <v/>
      </c>
      <c r="D51" s="101">
        <f>Bets!D49&amp;"  v  "&amp;Bets!E49</f>
        <v/>
      </c>
      <c r="E51" s="107" t="n">
        <v>1.55</v>
      </c>
      <c r="F51" s="107" t="n">
        <v>4.1</v>
      </c>
      <c r="G51" s="107" t="n">
        <v>7.1</v>
      </c>
      <c r="H51" s="98">
        <f>Bets!AD49</f>
        <v/>
      </c>
      <c r="I51" s="99">
        <f>Bets!AH49</f>
        <v/>
      </c>
      <c r="J51" s="100">
        <f>Bets!AJ49</f>
        <v/>
      </c>
      <c r="K51" s="101">
        <f>Bets!AT49</f>
        <v/>
      </c>
      <c r="L51" s="106" t="n"/>
      <c r="M51" s="98">
        <f>IF(Bets!AH49="·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pauses.")),IF(Bets!AH49&lt;&gt;"BET",IF(OR(Bets!AF49&gt;Method!$B$87,IFERROR(INDEX(Bets!BC49:BE49,1,Bets!AB49)/INDEX(Bets!S49:U49,1,Bets!AB49),0)&gt;Method!$B$88),"🛑 NO BET — tail trap (EV "&amp;TEXT(Bets!AF49,"0.0%")&amp;" / model "&amp;TEXT(IFERROR(INDEX(Bets!BC49:BE49,1,Bets!AB49)/INDEX(Bets!S49:U49,1,Bets!AB49),0),"0.0")&amp;"× market)","❌ NO BET — price not good enough"),IF(Bets!AJ49=0,"❌ NO BET — stake under minimum",IF(L51="",IF(AND(Bets!AE49&gt;=6,Bets!AG49&gt;=0.15),"🟡 WAIT — long-shot review: odds "&amp;TEXT(Bets!AE49,"0.00")&amp;" + edge "&amp;TEXT(Bets!AG49,"0.0%")&amp;" — verify sharp-book + team news + stake comfort","🟡 WAIT — check team news first"),IF(L51="N","🔴 SKIP — team news concern",IF(L51="Y","🟢 PLACE £"&amp;Bets!AJ49&amp;" on "&amp;Bets!AD49,"")))))))</f>
        <v/>
      </c>
      <c r="N51" s="106" t="n"/>
      <c r="O51" s="106" t="n"/>
      <c r="P51" s="107" t="n"/>
      <c r="Q51" s="113" t="n"/>
      <c r="R51" s="106" t="inlineStr">
        <is>
          <t>H</t>
        </is>
      </c>
      <c r="S51" s="101">
        <f>Bets!AU49</f>
        <v/>
      </c>
      <c r="T51" s="107" t="n"/>
      <c r="U51" s="104">
        <f>IF(OR(T51="",P51=""),"",P51/T51-1)</f>
        <v/>
      </c>
      <c r="V51" s="85" t="n"/>
      <c r="W51" s="85" t="n"/>
      <c r="X51" s="52" t="n"/>
      <c r="Y51" s="52" t="n"/>
      <c r="Z51" s="52" t="n"/>
    </row>
    <row r="52" ht="15" customHeight="1" s="153">
      <c r="A52" s="111">
        <f>Bets!A50</f>
        <v/>
      </c>
      <c r="B52" s="112">
        <f>Bets!B50</f>
        <v/>
      </c>
      <c r="C52" s="110">
        <f>IF(Bets!H50="","TBC",Bets!H50)</f>
        <v/>
      </c>
      <c r="D52" s="101">
        <f>Bets!D50&amp;"  v  "&amp;Bets!E50</f>
        <v/>
      </c>
      <c r="E52" s="107" t="n">
        <v>2.6</v>
      </c>
      <c r="F52" s="107" t="n">
        <v>3.1</v>
      </c>
      <c r="G52" s="107" t="n">
        <v>3.25</v>
      </c>
      <c r="H52" s="98">
        <f>Bets!AD50</f>
        <v/>
      </c>
      <c r="I52" s="99">
        <f>Bets!AH50</f>
        <v/>
      </c>
      <c r="J52" s="100">
        <f>Bets!AJ50</f>
        <v/>
      </c>
      <c r="K52" s="101">
        <f>Bets!AT50</f>
        <v/>
      </c>
      <c r="L52" s="106" t="n"/>
      <c r="M52" s="98">
        <f>IF(Bets!AH50="·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pauses.")),IF(Bets!AH50&lt;&gt;"BET",IF(OR(Bets!AF50&gt;Method!$B$87,IFERROR(INDEX(Bets!BC50:BE50,1,Bets!AB50)/INDEX(Bets!S50:U50,1,Bets!AB50),0)&gt;Method!$B$88),"🛑 NO BET — tail trap (EV "&amp;TEXT(Bets!AF50,"0.0%")&amp;" / model "&amp;TEXT(IFERROR(INDEX(Bets!BC50:BE50,1,Bets!AB50)/INDEX(Bets!S50:U50,1,Bets!AB50),0),"0.0")&amp;"× market)","❌ NO BET — price not good enough"),IF(Bets!AJ50=0,"❌ NO BET — stake under minimum",IF(L52="",IF(AND(Bets!AE50&gt;=6,Bets!AG50&gt;=0.15),"🟡 WAIT — long-shot review: odds "&amp;TEXT(Bets!AE50,"0.00")&amp;" + edge "&amp;TEXT(Bets!AG50,"0.0%")&amp;" — verify sharp-book + team news + stake comfort","🟡 WAIT — check team news first"),IF(L52="N","🔴 SKIP — team news concern",IF(L52="Y","🟢 PLACE £"&amp;Bets!AJ50&amp;" on "&amp;Bets!AD50,"")))))))</f>
        <v/>
      </c>
      <c r="N52" s="106" t="n"/>
      <c r="O52" s="106" t="n"/>
      <c r="P52" s="107" t="n"/>
      <c r="Q52" s="113" t="n"/>
      <c r="R52" s="106" t="inlineStr">
        <is>
          <t>H</t>
        </is>
      </c>
      <c r="S52" s="101">
        <f>Bets!AU50</f>
        <v/>
      </c>
      <c r="T52" s="107" t="n"/>
      <c r="U52" s="104">
        <f>IF(OR(T52="",P52=""),"",P52/T52-1)</f>
        <v/>
      </c>
      <c r="V52" s="85" t="n"/>
      <c r="W52" s="85" t="n"/>
      <c r="X52" s="52" t="n"/>
      <c r="Y52" s="52" t="n"/>
      <c r="Z52" s="52" t="n"/>
    </row>
    <row r="53" ht="15" customHeight="1" s="153">
      <c r="A53" s="111">
        <f>Bets!A51</f>
        <v/>
      </c>
      <c r="B53" s="112">
        <f>Bets!B51</f>
        <v/>
      </c>
      <c r="C53" s="110">
        <f>IF(Bets!H51="","TBC",Bets!H51)</f>
        <v/>
      </c>
      <c r="D53" s="101">
        <f>Bets!D51&amp;"  v  "&amp;Bets!E51</f>
        <v/>
      </c>
      <c r="E53" s="107" t="n">
        <v>1.45</v>
      </c>
      <c r="F53" s="107" t="n">
        <v>5.2</v>
      </c>
      <c r="G53" s="107" t="n">
        <v>8</v>
      </c>
      <c r="H53" s="98">
        <f>Bets!AD51</f>
        <v/>
      </c>
      <c r="I53" s="99">
        <f>Bets!AH51</f>
        <v/>
      </c>
      <c r="J53" s="100">
        <f>Bets!AJ51</f>
        <v/>
      </c>
      <c r="K53" s="101">
        <f>Bets!AT51</f>
        <v/>
      </c>
      <c r="L53" s="106" t="n"/>
      <c r="M53" s="98">
        <f>IF(Bets!AH51="·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pauses.")),IF(Bets!AH51&lt;&gt;"BET",IF(OR(Bets!AF51&gt;Method!$B$87,IFERROR(INDEX(Bets!BC51:BE51,1,Bets!AB51)/INDEX(Bets!S51:U51,1,Bets!AB51),0)&gt;Method!$B$88),"🛑 NO BET — tail trap (EV "&amp;TEXT(Bets!AF51,"0.0%")&amp;" / model "&amp;TEXT(IFERROR(INDEX(Bets!BC51:BE51,1,Bets!AB51)/INDEX(Bets!S51:U51,1,Bets!AB51),0),"0.0")&amp;"× market)","❌ NO BET — price not good enough"),IF(Bets!AJ51=0,"❌ NO BET — stake under minimum",IF(L53="",IF(AND(Bets!AE51&gt;=6,Bets!AG51&gt;=0.15),"🟡 WAIT — long-shot review: odds "&amp;TEXT(Bets!AE51,"0.00")&amp;" + edge "&amp;TEXT(Bets!AG51,"0.0%")&amp;" — verify sharp-book + team news + stake comfort","🟡 WAIT — check team news first"),IF(L53="N","🔴 SKIP — team news concern",IF(L53="Y","🟢 PLACE £"&amp;Bets!AJ51&amp;" on "&amp;Bets!AD51,"")))))))</f>
        <v/>
      </c>
      <c r="N53" s="106" t="n"/>
      <c r="O53" s="106" t="n"/>
      <c r="P53" s="107" t="n"/>
      <c r="Q53" s="113" t="n"/>
      <c r="R53" s="106" t="inlineStr">
        <is>
          <t>H</t>
        </is>
      </c>
      <c r="S53" s="101">
        <f>Bets!AU51</f>
        <v/>
      </c>
      <c r="T53" s="107" t="n"/>
      <c r="U53" s="104">
        <f>IF(OR(T53="",P53=""),"",P53/T53-1)</f>
        <v/>
      </c>
      <c r="V53" s="85" t="n"/>
      <c r="W53" s="85" t="n"/>
      <c r="X53" s="52" t="n"/>
      <c r="Y53" s="52" t="n"/>
      <c r="Z53" s="52" t="n"/>
    </row>
    <row r="54" ht="15" customHeight="1" s="153">
      <c r="A54" s="111">
        <f>Bets!A52</f>
        <v/>
      </c>
      <c r="B54" s="112">
        <f>Bets!B52</f>
        <v/>
      </c>
      <c r="C54" s="110">
        <f>IF(Bets!H52="","TBC",Bets!H52)</f>
        <v/>
      </c>
      <c r="D54" s="101">
        <f>Bets!D52&amp;"  v  "&amp;Bets!E52</f>
        <v/>
      </c>
      <c r="E54" s="107" t="n">
        <v>10</v>
      </c>
      <c r="F54" s="107" t="n">
        <v>5.5</v>
      </c>
      <c r="G54" s="107" t="n">
        <v>1.3</v>
      </c>
      <c r="H54" s="98">
        <f>Bets!AD52</f>
        <v/>
      </c>
      <c r="I54" s="99">
        <f>Bets!AH52</f>
        <v/>
      </c>
      <c r="J54" s="100">
        <f>Bets!AJ52</f>
        <v/>
      </c>
      <c r="K54" s="101">
        <f>Bets!AT52</f>
        <v/>
      </c>
      <c r="L54" s="106" t="inlineStr">
        <is>
          <t>Y</t>
        </is>
      </c>
      <c r="M54" s="98">
        <f>IF(Bets!AH52="·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pauses.")),IF(Bets!AH52&lt;&gt;"BET",IF(OR(Bets!AF52&gt;Method!$B$87,IFERROR(INDEX(Bets!BC52:BE52,1,Bets!AB52)/INDEX(Bets!S52:U52,1,Bets!AB52),0)&gt;Method!$B$88),"🛑 NO BET — tail trap (EV "&amp;TEXT(Bets!AF52,"0.0%")&amp;" / model "&amp;TEXT(IFERROR(INDEX(Bets!BC52:BE52,1,Bets!AB52)/INDEX(Bets!S52:U52,1,Bets!AB52),0),"0.0")&amp;"× market)","❌ NO BET — price not good enough"),IF(Bets!AJ52=0,"❌ NO BET — stake under minimum",IF(L54="",IF(AND(Bets!AE52&gt;=6,Bets!AG52&gt;=0.15),"🟡 WAIT — long-shot review: odds "&amp;TEXT(Bets!AE52,"0.00")&amp;" + edge "&amp;TEXT(Bets!AG52,"0.0%")&amp;" — verify sharp-book + team news + stake comfort","🟡 WAIT — check team news first"),IF(L54="N","🔴 SKIP — team news concern",IF(L54="Y","🟢 PLACE £"&amp;Bets!AJ52&amp;" on "&amp;Bets!AD52,"")))))))</f>
        <v/>
      </c>
      <c r="N54" s="106" t="inlineStr">
        <is>
          <t>Y</t>
        </is>
      </c>
      <c r="O54" s="106" t="inlineStr">
        <is>
          <t>H</t>
        </is>
      </c>
      <c r="P54" s="107" t="n">
        <v>7.5</v>
      </c>
      <c r="Q54" s="113" t="n">
        <v>7.5</v>
      </c>
      <c r="R54" s="106" t="inlineStr">
        <is>
          <t>A</t>
        </is>
      </c>
      <c r="S54" s="101">
        <f>Bets!AU52</f>
        <v/>
      </c>
      <c r="T54" s="107" t="n"/>
      <c r="U54" s="104">
        <f>IF(OR(T54="",P54=""),"",P54/T54-1)</f>
        <v/>
      </c>
      <c r="V54" s="85" t="n"/>
      <c r="W54" s="85" t="n"/>
      <c r="X54" s="52" t="n"/>
      <c r="Y54" s="52" t="n"/>
      <c r="Z54" s="52" t="n"/>
    </row>
    <row r="55" ht="15" customHeight="1" s="153">
      <c r="A55" s="111">
        <f>Bets!A53</f>
        <v/>
      </c>
      <c r="B55" s="112">
        <f>Bets!B53</f>
        <v/>
      </c>
      <c r="C55" s="110">
        <f>IF(Bets!H53="","TBC",Bets!H53)</f>
        <v/>
      </c>
      <c r="D55" s="101">
        <f>Bets!D53&amp;"  v  "&amp;Bets!E53</f>
        <v/>
      </c>
      <c r="E55" s="107" t="n">
        <v>1.33</v>
      </c>
      <c r="F55" s="107" t="n">
        <v>5.5</v>
      </c>
      <c r="G55" s="107" t="n">
        <v>11</v>
      </c>
      <c r="H55" s="98">
        <f>Bets!AD53</f>
        <v/>
      </c>
      <c r="I55" s="99">
        <f>Bets!AH53</f>
        <v/>
      </c>
      <c r="J55" s="100">
        <f>Bets!AJ53</f>
        <v/>
      </c>
      <c r="K55" s="101">
        <f>Bets!AT53</f>
        <v/>
      </c>
      <c r="L55" s="106" t="inlineStr">
        <is>
          <t>Y</t>
        </is>
      </c>
      <c r="M55" s="98">
        <f>IF(Bets!AH53="·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pauses.")),IF(Bets!AH53&lt;&gt;"BET",IF(OR(Bets!AF53&gt;Method!$B$87,IFERROR(INDEX(Bets!BC53:BE53,1,Bets!AB53)/INDEX(Bets!S53:U53,1,Bets!AB53),0)&gt;Method!$B$88),"🛑 NO BET — tail trap (EV "&amp;TEXT(Bets!AF53,"0.0%")&amp;" / model "&amp;TEXT(IFERROR(INDEX(Bets!BC53:BE53,1,Bets!AB53)/INDEX(Bets!S53:U53,1,Bets!AB53),0),"0.0")&amp;"× market)","❌ NO BET — price not good enough"),IF(Bets!AJ53=0,"❌ NO BET — stake under minimum",IF(L55="",IF(AND(Bets!AE53&gt;=6,Bets!AG53&gt;=0.15),"🟡 WAIT — long-shot review: odds "&amp;TEXT(Bets!AE53,"0.00")&amp;" + edge "&amp;TEXT(Bets!AG53,"0.0%")&amp;" — verify sharp-book + team news + stake comfort","🟡 WAIT — check team news first"),IF(L55="N","🔴 SKIP — team news concern",IF(L55="Y","🟢 PLACE £"&amp;Bets!AJ53&amp;" on "&amp;Bets!AD53,"")))))))</f>
        <v/>
      </c>
      <c r="N55" s="106" t="n"/>
      <c r="O55" s="106" t="n"/>
      <c r="P55" s="107" t="n"/>
      <c r="Q55" s="113" t="n"/>
      <c r="R55" s="106" t="inlineStr">
        <is>
          <t>H</t>
        </is>
      </c>
      <c r="S55" s="101">
        <f>Bets!AU53</f>
        <v/>
      </c>
      <c r="T55" s="107" t="n"/>
      <c r="U55" s="104">
        <f>IF(OR(T55="",P55=""),"",P55/T55-1)</f>
        <v/>
      </c>
      <c r="V55" s="85" t="n"/>
      <c r="W55" s="85" t="n"/>
      <c r="X55" s="52" t="n"/>
      <c r="Y55" s="52" t="n"/>
      <c r="Z55" s="52" t="n"/>
    </row>
    <row r="56" ht="15" customHeight="1" s="153">
      <c r="A56" s="111">
        <f>Bets!A54</f>
        <v/>
      </c>
      <c r="B56" s="112">
        <f>Bets!B54</f>
        <v/>
      </c>
      <c r="C56" s="108">
        <f>IF(Bets!H54="","TBC",Bets!H54)</f>
        <v/>
      </c>
      <c r="D56" s="101">
        <f>Bets!D54&amp;"  v  "&amp;Bets!E54</f>
        <v/>
      </c>
      <c r="E56" s="107" t="n">
        <v>3.75</v>
      </c>
      <c r="F56" s="107" t="n">
        <v>3.8</v>
      </c>
      <c r="G56" s="107" t="n">
        <v>1.9</v>
      </c>
      <c r="H56" s="98">
        <f>Bets!AD54</f>
        <v/>
      </c>
      <c r="I56" s="99">
        <f>Bets!AH54</f>
        <v/>
      </c>
      <c r="J56" s="100">
        <f>Bets!AJ54</f>
        <v/>
      </c>
      <c r="K56" s="101">
        <f>Bets!AT54</f>
        <v/>
      </c>
      <c r="L56" s="106" t="inlineStr">
        <is>
          <t>Y</t>
        </is>
      </c>
      <c r="M56" s="98">
        <f>IF(Bets!AH54="·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pauses.")),IF(Bets!AH54&lt;&gt;"BET",IF(OR(Bets!AF54&gt;Method!$B$87,IFERROR(INDEX(Bets!BC54:BE54,1,Bets!AB54)/INDEX(Bets!S54:U54,1,Bets!AB54),0)&gt;Method!$B$88),"🛑 NO BET — tail trap (EV "&amp;TEXT(Bets!AF54,"0.0%")&amp;" / model "&amp;TEXT(IFERROR(INDEX(Bets!BC54:BE54,1,Bets!AB54)/INDEX(Bets!S54:U54,1,Bets!AB54),0),"0.0")&amp;"× market)","❌ NO BET — price not good enough"),IF(Bets!AJ54=0,"❌ NO BET — stake under minimum",IF(L56="",IF(AND(Bets!AE54&gt;=6,Bets!AG54&gt;=0.15),"🟡 WAIT — long-shot review: odds "&amp;TEXT(Bets!AE54,"0.00")&amp;" + edge "&amp;TEXT(Bets!AG54,"0.0%")&amp;" — verify sharp-book + team news + stake comfort","🟡 WAIT — check team news first"),IF(L56="N","🔴 SKIP — team news concern",IF(L56="Y","🟢 PLACE £"&amp;Bets!AJ54&amp;" on "&amp;Bets!AD54,"")))))))</f>
        <v/>
      </c>
      <c r="N56" s="106" t="n"/>
      <c r="O56" s="106" t="n"/>
      <c r="P56" s="107" t="n"/>
      <c r="Q56" s="113" t="n"/>
      <c r="R56" s="106" t="inlineStr">
        <is>
          <t>A</t>
        </is>
      </c>
      <c r="S56" s="101">
        <f>Bets!AU54</f>
        <v/>
      </c>
      <c r="T56" s="107" t="n"/>
      <c r="U56" s="104">
        <f>IF(OR(T56="",P56=""),"",P56/T56-1)</f>
        <v/>
      </c>
      <c r="V56" s="85" t="n"/>
      <c r="W56" s="85" t="n"/>
      <c r="X56" s="52" t="n"/>
      <c r="Y56" s="52" t="n"/>
      <c r="Z56" s="52" t="n"/>
    </row>
    <row r="57" ht="15" customHeight="1" s="153">
      <c r="A57" s="111">
        <f>Bets!A55</f>
        <v/>
      </c>
      <c r="B57" s="112">
        <f>Bets!B55</f>
        <v/>
      </c>
      <c r="C57" s="108">
        <f>IF(Bets!H55="","TBC",Bets!H55)</f>
        <v/>
      </c>
      <c r="D57" s="101">
        <f>Bets!D55&amp;"  v  "&amp;Bets!E55</f>
        <v/>
      </c>
      <c r="E57" s="107" t="n">
        <v>5.8</v>
      </c>
      <c r="F57" s="107" t="n">
        <v>4</v>
      </c>
      <c r="G57" s="107" t="n">
        <v>1.61</v>
      </c>
      <c r="H57" s="98">
        <f>Bets!AD55</f>
        <v/>
      </c>
      <c r="I57" s="99">
        <f>Bets!AH55</f>
        <v/>
      </c>
      <c r="J57" s="100">
        <f>Bets!AJ55</f>
        <v/>
      </c>
      <c r="K57" s="101">
        <f>Bets!AT55</f>
        <v/>
      </c>
      <c r="L57" s="106" t="inlineStr">
        <is>
          <t>Y</t>
        </is>
      </c>
      <c r="M57" s="98">
        <f>IF(Bets!AH55="·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pauses.")),IF(Bets!AH55&lt;&gt;"BET",IF(OR(Bets!AF55&gt;Method!$B$87,IFERROR(INDEX(Bets!BC55:BE55,1,Bets!AB55)/INDEX(Bets!S55:U55,1,Bets!AB55),0)&gt;Method!$B$88),"🛑 NO BET — tail trap (EV "&amp;TEXT(Bets!AF55,"0.0%")&amp;" / model "&amp;TEXT(IFERROR(INDEX(Bets!BC55:BE55,1,Bets!AB55)/INDEX(Bets!S55:U55,1,Bets!AB55),0),"0.0")&amp;"× market)","❌ NO BET — price not good enough"),IF(Bets!AJ55=0,"❌ NO BET — stake under minimum",IF(L57="",IF(AND(Bets!AE55&gt;=6,Bets!AG55&gt;=0.15),"🟡 WAIT — long-shot review: odds "&amp;TEXT(Bets!AE55,"0.00")&amp;" + edge "&amp;TEXT(Bets!AG55,"0.0%")&amp;" — verify sharp-book + team news + stake comfort","🟡 WAIT — check team news first"),IF(L57="N","🔴 SKIP — team news concern",IF(L57="Y","🟢 PLACE £"&amp;Bets!AJ55&amp;" on "&amp;Bets!AD55,"")))))))</f>
        <v/>
      </c>
      <c r="N57" s="106" t="n"/>
      <c r="O57" s="106" t="n"/>
      <c r="P57" s="107" t="n"/>
      <c r="Q57" s="113" t="n"/>
      <c r="R57" s="106" t="inlineStr">
        <is>
          <t>H</t>
        </is>
      </c>
      <c r="S57" s="101">
        <f>Bets!AU55</f>
        <v/>
      </c>
      <c r="T57" s="107" t="n"/>
      <c r="U57" s="104">
        <f>IF(OR(T57="",P57=""),"",P57/T57-1)</f>
        <v/>
      </c>
      <c r="V57" s="85" t="n"/>
      <c r="W57" s="85" t="n"/>
      <c r="X57" s="52" t="n"/>
      <c r="Y57" s="52" t="n"/>
      <c r="Z57" s="52" t="n"/>
    </row>
    <row r="58" ht="15" customHeight="1" s="153">
      <c r="A58" s="111">
        <f>Bets!A56</f>
        <v/>
      </c>
      <c r="B58" s="112">
        <f>Bets!B56</f>
        <v/>
      </c>
      <c r="C58" s="110">
        <f>IF(Bets!H56="","TBC",Bets!H56)</f>
        <v/>
      </c>
      <c r="D58" s="101">
        <f>Bets!D56&amp;"  v  "&amp;Bets!E56</f>
        <v/>
      </c>
      <c r="E58" s="107" t="n">
        <v>5.25</v>
      </c>
      <c r="F58" s="107" t="n">
        <v>4.75</v>
      </c>
      <c r="G58" s="107" t="n">
        <v>1.57</v>
      </c>
      <c r="H58" s="98">
        <f>Bets!AD56</f>
        <v/>
      </c>
      <c r="I58" s="99">
        <f>Bets!AH56</f>
        <v/>
      </c>
      <c r="J58" s="100">
        <f>Bets!AJ56</f>
        <v/>
      </c>
      <c r="K58" s="101">
        <f>Bets!AT56</f>
        <v/>
      </c>
      <c r="L58" s="106" t="inlineStr">
        <is>
          <t>Y</t>
        </is>
      </c>
      <c r="M58" s="98">
        <f>IF(Bets!AH56="·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pauses.")),IF(Bets!AH56&lt;&gt;"BET",IF(OR(Bets!AF56&gt;Method!$B$87,IFERROR(INDEX(Bets!BC56:BE56,1,Bets!AB56)/INDEX(Bets!S56:U56,1,Bets!AB56),0)&gt;Method!$B$88),"🛑 NO BET — tail trap (EV "&amp;TEXT(Bets!AF56,"0.0%")&amp;" / model "&amp;TEXT(IFERROR(INDEX(Bets!BC56:BE56,1,Bets!AB56)/INDEX(Bets!S56:U56,1,Bets!AB56),0),"0.0")&amp;"× market)","❌ NO BET — price not good enough"),IF(Bets!AJ56=0,"❌ NO BET — stake under minimum",IF(L58="",IF(AND(Bets!AE56&gt;=6,Bets!AG56&gt;=0.15),"🟡 WAIT — long-shot review: odds "&amp;TEXT(Bets!AE56,"0.00")&amp;" + edge "&amp;TEXT(Bets!AG56,"0.0%")&amp;" — verify sharp-book + team news + stake comfort","🟡 WAIT — check team news first"),IF(L58="N","🔴 SKIP — team news concern",IF(L58="Y","🟢 PLACE £"&amp;Bets!AJ56&amp;" on "&amp;Bets!AD56,"")))))))</f>
        <v/>
      </c>
      <c r="N58" s="106" t="n"/>
      <c r="O58" s="106" t="n"/>
      <c r="P58" s="107" t="n"/>
      <c r="Q58" s="113" t="n"/>
      <c r="R58" s="106" t="inlineStr">
        <is>
          <t>H</t>
        </is>
      </c>
      <c r="S58" s="101">
        <f>Bets!AU56</f>
        <v/>
      </c>
      <c r="T58" s="107" t="n"/>
      <c r="U58" s="104">
        <f>IF(OR(T58="",P58=""),"",P58/T58-1)</f>
        <v/>
      </c>
      <c r="V58" s="85" t="n"/>
      <c r="W58" s="85" t="n"/>
      <c r="X58" s="52" t="n"/>
      <c r="Y58" s="52" t="n"/>
      <c r="Z58" s="52" t="n"/>
    </row>
    <row r="59" ht="15" customHeight="1" s="153">
      <c r="A59" s="111">
        <f>Bets!A57</f>
        <v/>
      </c>
      <c r="B59" s="112">
        <f>Bets!B57</f>
        <v/>
      </c>
      <c r="C59" s="110">
        <f>IF(Bets!H57="","TBC",Bets!H57)</f>
        <v/>
      </c>
      <c r="D59" s="101">
        <f>Bets!D57&amp;"  v  "&amp;Bets!E57</f>
        <v/>
      </c>
      <c r="E59" s="107" t="n">
        <v>13</v>
      </c>
      <c r="F59" s="107" t="n">
        <v>7.5</v>
      </c>
      <c r="G59" s="107" t="n">
        <v>1.18</v>
      </c>
      <c r="H59" s="98">
        <f>Bets!AD57</f>
        <v/>
      </c>
      <c r="I59" s="99">
        <f>Bets!AH57</f>
        <v/>
      </c>
      <c r="J59" s="100">
        <f>Bets!AJ57</f>
        <v/>
      </c>
      <c r="K59" s="101">
        <f>Bets!AT57</f>
        <v/>
      </c>
      <c r="L59" s="106" t="inlineStr">
        <is>
          <t>Y</t>
        </is>
      </c>
      <c r="M59" s="98">
        <f>IF(Bets!AH57="·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pauses.")),IF(Bets!AH57&lt;&gt;"BET",IF(OR(Bets!AF57&gt;Method!$B$87,IFERROR(INDEX(Bets!BC57:BE57,1,Bets!AB57)/INDEX(Bets!S57:U57,1,Bets!AB57),0)&gt;Method!$B$88),"🛑 NO BET — tail trap (EV "&amp;TEXT(Bets!AF57,"0.0%")&amp;" / model "&amp;TEXT(IFERROR(INDEX(Bets!BC57:BE57,1,Bets!AB57)/INDEX(Bets!S57:U57,1,Bets!AB57),0),"0.0")&amp;"× market)","❌ NO BET — price not good enough"),IF(Bets!AJ57=0,"❌ NO BET — stake under minimum",IF(L59="",IF(AND(Bets!AE57&gt;=6,Bets!AG57&gt;=0.15),"🟡 WAIT — long-shot review: odds "&amp;TEXT(Bets!AE57,"0.00")&amp;" + edge "&amp;TEXT(Bets!AG57,"0.0%")&amp;" — verify sharp-book + team news + stake comfort","🟡 WAIT — check team news first"),IF(L59="N","🔴 SKIP — team news concern",IF(L59="Y","🟢 PLACE £"&amp;Bets!AJ57&amp;" on "&amp;Bets!AD57,"")))))))</f>
        <v/>
      </c>
      <c r="N59" s="106" t="n"/>
      <c r="O59" s="106" t="n"/>
      <c r="P59" s="107" t="n"/>
      <c r="Q59" s="113" t="n"/>
      <c r="R59" s="106" t="inlineStr">
        <is>
          <t>A</t>
        </is>
      </c>
      <c r="S59" s="101">
        <f>Bets!AU57</f>
        <v/>
      </c>
      <c r="T59" s="107" t="n"/>
      <c r="U59" s="104">
        <f>IF(OR(T59="",P59=""),"",P59/T59-1)</f>
        <v/>
      </c>
      <c r="V59" s="85" t="n"/>
      <c r="W59" s="85" t="n"/>
      <c r="X59" s="52" t="n"/>
      <c r="Y59" s="52" t="n"/>
      <c r="Z59" s="52" t="n"/>
    </row>
    <row r="60" ht="15" customHeight="1" s="153">
      <c r="A60" s="111">
        <f>Bets!A58</f>
        <v/>
      </c>
      <c r="B60" s="112">
        <f>Bets!B58</f>
        <v/>
      </c>
      <c r="C60" s="108">
        <f>IF(Bets!H58="","TBC",Bets!H58)</f>
        <v/>
      </c>
      <c r="D60" s="101">
        <f>Bets!D58&amp;"  v  "&amp;Bets!E58</f>
        <v/>
      </c>
      <c r="E60" s="107" t="n">
        <v>1.9</v>
      </c>
      <c r="F60" s="107" t="n">
        <v>3.4</v>
      </c>
      <c r="G60" s="107" t="n">
        <v>4.2</v>
      </c>
      <c r="H60" s="98">
        <f>Bets!AD58</f>
        <v/>
      </c>
      <c r="I60" s="99">
        <f>Bets!AH58</f>
        <v/>
      </c>
      <c r="J60" s="100">
        <f>Bets!AJ58</f>
        <v/>
      </c>
      <c r="K60" s="101">
        <f>Bets!AT58</f>
        <v/>
      </c>
      <c r="L60" s="106" t="inlineStr">
        <is>
          <t>Y</t>
        </is>
      </c>
      <c r="M60" s="98">
        <f>IF(Bets!AH58="·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pauses.")),IF(Bets!AH58&lt;&gt;"BET",IF(OR(Bets!AF58&gt;Method!$B$87,IFERROR(INDEX(Bets!BC58:BE58,1,Bets!AB58)/INDEX(Bets!S58:U58,1,Bets!AB58),0)&gt;Method!$B$88),"🛑 NO BET — tail trap (EV "&amp;TEXT(Bets!AF58,"0.0%")&amp;" / model "&amp;TEXT(IFERROR(INDEX(Bets!BC58:BE58,1,Bets!AB58)/INDEX(Bets!S58:U58,1,Bets!AB58),0),"0.0")&amp;"× market)","❌ NO BET — price not good enough"),IF(Bets!AJ58=0,"❌ NO BET — stake under minimum",IF(L60="",IF(AND(Bets!AE58&gt;=6,Bets!AG58&gt;=0.15),"🟡 WAIT — long-shot review: odds "&amp;TEXT(Bets!AE58,"0.00")&amp;" + edge "&amp;TEXT(Bets!AG58,"0.0%")&amp;" — verify sharp-book + team news + stake comfort","🟡 WAIT — check team news first"),IF(L60="N","🔴 SKIP — team news concern",IF(L60="Y","🟢 PLACE £"&amp;Bets!AJ58&amp;" on "&amp;Bets!AD58,"")))))))</f>
        <v/>
      </c>
      <c r="N60" s="106" t="n"/>
      <c r="O60" s="106" t="n"/>
      <c r="P60" s="107" t="n"/>
      <c r="Q60" s="113" t="n"/>
      <c r="R60" s="106" t="inlineStr">
        <is>
          <t>D</t>
        </is>
      </c>
      <c r="S60" s="101">
        <f>Bets!AU58</f>
        <v/>
      </c>
      <c r="T60" s="107" t="n"/>
      <c r="U60" s="104">
        <f>IF(OR(T60="",P60=""),"",P60/T60-1)</f>
        <v/>
      </c>
      <c r="V60" s="85" t="n"/>
      <c r="W60" s="85" t="n"/>
      <c r="X60" s="52" t="n"/>
      <c r="Y60" s="52" t="n"/>
      <c r="Z60" s="52" t="n"/>
    </row>
    <row r="61" ht="15" customHeight="1" s="153">
      <c r="A61" s="111">
        <f>Bets!A59</f>
        <v/>
      </c>
      <c r="B61" s="112">
        <f>Bets!B59</f>
        <v/>
      </c>
      <c r="C61" s="108">
        <f>IF(Bets!H59="","TBC",Bets!H59)</f>
        <v/>
      </c>
      <c r="D61" s="101">
        <f>Bets!D59&amp;"  v  "&amp;Bets!E59</f>
        <v/>
      </c>
      <c r="E61" s="107" t="n">
        <v>21</v>
      </c>
      <c r="F61" s="107" t="n">
        <v>10</v>
      </c>
      <c r="G61" s="107" t="n">
        <v>1.1</v>
      </c>
      <c r="H61" s="98">
        <f>Bets!AD59</f>
        <v/>
      </c>
      <c r="I61" s="99">
        <f>Bets!AH59</f>
        <v/>
      </c>
      <c r="J61" s="100">
        <f>Bets!AJ59</f>
        <v/>
      </c>
      <c r="K61" s="101">
        <f>Bets!AT59</f>
        <v/>
      </c>
      <c r="L61" s="106" t="inlineStr">
        <is>
          <t>Y</t>
        </is>
      </c>
      <c r="M61" s="98">
        <f>IF(Bets!AH59="·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pauses.")),IF(Bets!AH59&lt;&gt;"BET",IF(OR(Bets!AF59&gt;Method!$B$87,IFERROR(INDEX(Bets!BC59:BE59,1,Bets!AB59)/INDEX(Bets!S59:U59,1,Bets!AB59),0)&gt;Method!$B$88),"🛑 NO BET — tail trap (EV "&amp;TEXT(Bets!AF59,"0.0%")&amp;" / model "&amp;TEXT(IFERROR(INDEX(Bets!BC59:BE59,1,Bets!AB59)/INDEX(Bets!S59:U59,1,Bets!AB59),0),"0.0")&amp;"× market)","❌ NO BET — price not good enough"),IF(Bets!AJ59=0,"❌ NO BET — stake under minimum",IF(L61="",IF(AND(Bets!AE59&gt;=6,Bets!AG59&gt;=0.15),"🟡 WAIT — long-shot review: odds "&amp;TEXT(Bets!AE59,"0.00")&amp;" + edge "&amp;TEXT(Bets!AG59,"0.0%")&amp;" — verify sharp-book + team news + stake comfort","🟡 WAIT — check team news first"),IF(L61="N","🔴 SKIP — team news concern",IF(L61="Y","🟢 PLACE £"&amp;Bets!AJ59&amp;" on "&amp;Bets!AD59,"")))))))</f>
        <v/>
      </c>
      <c r="N61" s="106" t="n"/>
      <c r="O61" s="106" t="n"/>
      <c r="P61" s="107" t="n"/>
      <c r="Q61" s="113" t="n"/>
      <c r="R61" s="106" t="inlineStr">
        <is>
          <t>A</t>
        </is>
      </c>
      <c r="S61" s="101">
        <f>Bets!AU59</f>
        <v/>
      </c>
      <c r="T61" s="107" t="n"/>
      <c r="U61" s="104">
        <f>IF(OR(T61="",P61=""),"",P61/T61-1)</f>
        <v/>
      </c>
      <c r="V61" s="85" t="n"/>
      <c r="W61" s="85" t="n"/>
      <c r="X61" s="52" t="n"/>
      <c r="Y61" s="52" t="n"/>
      <c r="Z61" s="52" t="n"/>
    </row>
    <row r="62" ht="15" customHeight="1" s="153">
      <c r="A62" s="111">
        <f>Bets!A60</f>
        <v/>
      </c>
      <c r="B62" s="112">
        <f>Bets!B60</f>
        <v/>
      </c>
      <c r="C62" s="108">
        <f>IF(Bets!H60="","TBC",Bets!H60)</f>
        <v/>
      </c>
      <c r="D62" s="101">
        <f>Bets!D60&amp;"  v  "&amp;Bets!E60</f>
        <v/>
      </c>
      <c r="E62" s="107" t="n">
        <v>3.7</v>
      </c>
      <c r="F62" s="107" t="n">
        <v>4</v>
      </c>
      <c r="G62" s="107" t="n">
        <v>1.87</v>
      </c>
      <c r="H62" s="98">
        <f>Bets!AD60</f>
        <v/>
      </c>
      <c r="I62" s="99">
        <f>Bets!AH60</f>
        <v/>
      </c>
      <c r="J62" s="100">
        <f>Bets!AJ60</f>
        <v/>
      </c>
      <c r="K62" s="101">
        <f>Bets!AT60</f>
        <v/>
      </c>
      <c r="L62" s="106" t="n"/>
      <c r="M62" s="98">
        <f>IF(Bets!AH60="·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pauses.")),IF(Bets!AH60&lt;&gt;"BET",IF(OR(Bets!AF60&gt;Method!$B$87,IFERROR(INDEX(Bets!BC60:BE60,1,Bets!AB60)/INDEX(Bets!S60:U60,1,Bets!AB60),0)&gt;Method!$B$88),"🛑 NO BET — tail trap (EV "&amp;TEXT(Bets!AF60,"0.0%")&amp;" / model "&amp;TEXT(IFERROR(INDEX(Bets!BC60:BE60,1,Bets!AB60)/INDEX(Bets!S60:U60,1,Bets!AB60),0),"0.0")&amp;"× market)","❌ NO BET — price not good enough"),IF(Bets!AJ60=0,"❌ NO BET — stake under minimum",IF(L62="",IF(AND(Bets!AE60&gt;=6,Bets!AG60&gt;=0.15),"🟡 WAIT — long-shot review: odds "&amp;TEXT(Bets!AE60,"0.00")&amp;" + edge "&amp;TEXT(Bets!AG60,"0.0%")&amp;" — verify sharp-book + team news + stake comfort","🟡 WAIT — check team news first"),IF(L62="N","🔴 SKIP — team news concern",IF(L62="Y","🟢 PLACE £"&amp;Bets!AJ60&amp;" on "&amp;Bets!AD60,"")))))))</f>
        <v/>
      </c>
      <c r="N62" s="106" t="n"/>
      <c r="O62" s="106" t="n"/>
      <c r="P62" s="107" t="n"/>
      <c r="Q62" s="113" t="n"/>
      <c r="R62" s="106" t="inlineStr">
        <is>
          <t>H</t>
        </is>
      </c>
      <c r="S62" s="101">
        <f>Bets!AU60</f>
        <v/>
      </c>
      <c r="T62" s="107" t="n"/>
      <c r="U62" s="104">
        <f>IF(OR(T62="",P62=""),"",P62/T62-1)</f>
        <v/>
      </c>
      <c r="V62" s="85" t="n"/>
      <c r="W62" s="85" t="n"/>
      <c r="X62" s="52" t="n"/>
      <c r="Y62" s="52" t="n"/>
      <c r="Z62" s="52" t="n"/>
    </row>
    <row r="63" ht="15" customHeight="1" s="153">
      <c r="A63" s="111">
        <f>Bets!A61</f>
        <v/>
      </c>
      <c r="B63" s="112">
        <f>Bets!B61</f>
        <v/>
      </c>
      <c r="C63" s="108">
        <f>IF(Bets!H61="","TBC",Bets!H61)</f>
        <v/>
      </c>
      <c r="D63" s="101">
        <f>Bets!D61&amp;"  v  "&amp;Bets!E61</f>
        <v/>
      </c>
      <c r="E63" s="107" t="n">
        <v>2.55</v>
      </c>
      <c r="F63" s="107" t="n">
        <v>2.25</v>
      </c>
      <c r="G63" s="107" t="n">
        <v>4.33</v>
      </c>
      <c r="H63" s="98">
        <f>Bets!AD61</f>
        <v/>
      </c>
      <c r="I63" s="99">
        <f>Bets!AH61</f>
        <v/>
      </c>
      <c r="J63" s="100">
        <f>Bets!AJ61</f>
        <v/>
      </c>
      <c r="K63" s="101">
        <f>Bets!AT61</f>
        <v/>
      </c>
      <c r="L63" s="106" t="n"/>
      <c r="M63" s="98">
        <f>IF(Bets!AH61="·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pauses.")),IF(Bets!AH61&lt;&gt;"BET",IF(OR(Bets!AF61&gt;Method!$B$87,IFERROR(INDEX(Bets!BC61:BE61,1,Bets!AB61)/INDEX(Bets!S61:U61,1,Bets!AB61),0)&gt;Method!$B$88),"🛑 NO BET — tail trap (EV "&amp;TEXT(Bets!AF61,"0.0%")&amp;" / model "&amp;TEXT(IFERROR(INDEX(Bets!BC61:BE61,1,Bets!AB61)/INDEX(Bets!S61:U61,1,Bets!AB61),0),"0.0")&amp;"× market)","❌ NO BET — price not good enough"),IF(Bets!AJ61=0,"❌ NO BET — stake under minimum",IF(L63="",IF(AND(Bets!AE61&gt;=6,Bets!AG61&gt;=0.15),"🟡 WAIT — long-shot review: odds "&amp;TEXT(Bets!AE61,"0.00")&amp;" + edge "&amp;TEXT(Bets!AG61,"0.0%")&amp;" — verify sharp-book + team news + stake comfort","🟡 WAIT — check team news first"),IF(L63="N","🔴 SKIP — team news concern",IF(L63="Y","🟢 PLACE £"&amp;Bets!AJ61&amp;" on "&amp;Bets!AD61,"")))))))</f>
        <v/>
      </c>
      <c r="N63" s="106" t="n"/>
      <c r="O63" s="106" t="n"/>
      <c r="P63" s="107" t="n"/>
      <c r="Q63" s="113" t="n"/>
      <c r="R63" s="106" t="inlineStr">
        <is>
          <t>D</t>
        </is>
      </c>
      <c r="S63" s="101">
        <f>Bets!AU61</f>
        <v/>
      </c>
      <c r="T63" s="107" t="n"/>
      <c r="U63" s="104">
        <f>IF(OR(T63="",P63=""),"",P63/T63-1)</f>
        <v/>
      </c>
      <c r="V63" s="85" t="n"/>
      <c r="W63" s="85" t="n"/>
      <c r="X63" s="52" t="n"/>
      <c r="Y63" s="52" t="n"/>
      <c r="Z63" s="52" t="n"/>
    </row>
    <row r="64" ht="15" customHeight="1" s="153">
      <c r="A64" s="111">
        <f>Bets!A62</f>
        <v/>
      </c>
      <c r="B64" s="112">
        <f>Bets!B62</f>
        <v/>
      </c>
      <c r="C64" s="110">
        <f>IF(Bets!H62="","TBC",Bets!H62)</f>
        <v/>
      </c>
      <c r="D64" s="101">
        <f>Bets!D62&amp;"  v  "&amp;Bets!E62</f>
        <v/>
      </c>
      <c r="E64" s="107" t="n">
        <v>4.75</v>
      </c>
      <c r="F64" s="107" t="n">
        <v>4.75</v>
      </c>
      <c r="G64" s="107" t="n">
        <v>1.61</v>
      </c>
      <c r="H64" s="98">
        <f>Bets!AD62</f>
        <v/>
      </c>
      <c r="I64" s="99">
        <f>Bets!AH62</f>
        <v/>
      </c>
      <c r="J64" s="100">
        <f>Bets!AJ62</f>
        <v/>
      </c>
      <c r="K64" s="101">
        <f>Bets!AT62</f>
        <v/>
      </c>
      <c r="L64" s="106" t="n"/>
      <c r="M64" s="98">
        <f>IF(Bets!AH62="·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pauses.")),IF(Bets!AH62&lt;&gt;"BET",IF(OR(Bets!AF62&gt;Method!$B$87,IFERROR(INDEX(Bets!BC62:BE62,1,Bets!AB62)/INDEX(Bets!S62:U62,1,Bets!AB62),0)&gt;Method!$B$88),"🛑 NO BET — tail trap (EV "&amp;TEXT(Bets!AF62,"0.0%")&amp;" / model "&amp;TEXT(IFERROR(INDEX(Bets!BC62:BE62,1,Bets!AB62)/INDEX(Bets!S62:U62,1,Bets!AB62),0),"0.0")&amp;"× market)","❌ NO BET — price not good enough"),IF(Bets!AJ62=0,"❌ NO BET — stake under minimum",IF(L64="",IF(AND(Bets!AE62&gt;=6,Bets!AG62&gt;=0.15),"🟡 WAIT — long-shot review: odds "&amp;TEXT(Bets!AE62,"0.00")&amp;" + edge "&amp;TEXT(Bets!AG62,"0.0%")&amp;" — verify sharp-book + team news + stake comfort","🟡 WAIT — check team news first"),IF(L64="N","🔴 SKIP — team news concern",IF(L64="Y","🟢 PLACE £"&amp;Bets!AJ62&amp;" on "&amp;Bets!AD62,"")))))))</f>
        <v/>
      </c>
      <c r="N64" s="106" t="n"/>
      <c r="O64" s="106" t="n"/>
      <c r="P64" s="107" t="n"/>
      <c r="Q64" s="113" t="n"/>
      <c r="R64" s="106" t="inlineStr">
        <is>
          <t>A</t>
        </is>
      </c>
      <c r="S64" s="101">
        <f>Bets!AU62</f>
        <v/>
      </c>
      <c r="T64" s="107" t="n"/>
      <c r="U64" s="104">
        <f>IF(OR(T64="",P64=""),"",P64/T64-1)</f>
        <v/>
      </c>
      <c r="V64" s="85" t="n"/>
      <c r="W64" s="85" t="n"/>
      <c r="X64" s="52" t="n"/>
      <c r="Y64" s="52" t="n"/>
      <c r="Z64" s="52" t="n"/>
    </row>
    <row r="65" ht="15" customHeight="1" s="153">
      <c r="A65" s="111">
        <f>Bets!A63</f>
        <v/>
      </c>
      <c r="B65" s="112">
        <f>Bets!B63</f>
        <v/>
      </c>
      <c r="C65" s="110">
        <f>IF(Bets!H63="","TBC",Bets!H63)</f>
        <v/>
      </c>
      <c r="D65" s="101">
        <f>Bets!D63&amp;"  v  "&amp;Bets!E63</f>
        <v/>
      </c>
      <c r="E65" s="107" t="n">
        <v>1.22</v>
      </c>
      <c r="F65" s="107" t="n">
        <v>7</v>
      </c>
      <c r="G65" s="107" t="n">
        <v>12</v>
      </c>
      <c r="H65" s="98">
        <f>Bets!AD63</f>
        <v/>
      </c>
      <c r="I65" s="99">
        <f>Bets!AH63</f>
        <v/>
      </c>
      <c r="J65" s="100">
        <f>Bets!AJ63</f>
        <v/>
      </c>
      <c r="K65" s="101">
        <f>Bets!AT63</f>
        <v/>
      </c>
      <c r="L65" s="106" t="n"/>
      <c r="M65" s="98">
        <f>IF(Bets!AH63="·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pauses.")),IF(Bets!AH63&lt;&gt;"BET",IF(OR(Bets!AF63&gt;Method!$B$87,IFERROR(INDEX(Bets!BC63:BE63,1,Bets!AB63)/INDEX(Bets!S63:U63,1,Bets!AB63),0)&gt;Method!$B$88),"🛑 NO BET — tail trap (EV "&amp;TEXT(Bets!AF63,"0.0%")&amp;" / model "&amp;TEXT(IFERROR(INDEX(Bets!BC63:BE63,1,Bets!AB63)/INDEX(Bets!S63:U63,1,Bets!AB63),0),"0.0")&amp;"× market)","❌ NO BET — price not good enough"),IF(Bets!AJ63=0,"❌ NO BET — stake under minimum",IF(L65="",IF(AND(Bets!AE63&gt;=6,Bets!AG63&gt;=0.15),"🟡 WAIT — long-shot review: odds "&amp;TEXT(Bets!AE63,"0.00")&amp;" + edge "&amp;TEXT(Bets!AG63,"0.0%")&amp;" — verify sharp-book + team news + stake comfort","🟡 WAIT — check team news first"),IF(L65="N","🔴 SKIP — team news concern",IF(L65="Y","🟢 PLACE £"&amp;Bets!AJ63&amp;" on "&amp;Bets!AD63,"")))))))</f>
        <v/>
      </c>
      <c r="N65" s="106" t="n"/>
      <c r="O65" s="106" t="n"/>
      <c r="P65" s="107" t="n"/>
      <c r="Q65" s="113" t="n"/>
      <c r="R65" s="106" t="inlineStr">
        <is>
          <t>H</t>
        </is>
      </c>
      <c r="S65" s="101">
        <f>Bets!AU63</f>
        <v/>
      </c>
      <c r="T65" s="107" t="n"/>
      <c r="U65" s="104">
        <f>IF(OR(T65="",P65=""),"",P65/T65-1)</f>
        <v/>
      </c>
      <c r="V65" s="85" t="n"/>
      <c r="W65" s="85" t="n"/>
      <c r="X65" s="52" t="n"/>
      <c r="Y65" s="52" t="n"/>
      <c r="Z65" s="52" t="n"/>
    </row>
    <row r="66" ht="15" customHeight="1" s="153">
      <c r="A66" s="111">
        <f>Bets!A64</f>
        <v/>
      </c>
      <c r="B66" s="112">
        <f>Bets!B64</f>
        <v/>
      </c>
      <c r="C66" s="108">
        <f>IF(Bets!H64="","TBC",Bets!H64)</f>
        <v/>
      </c>
      <c r="D66" s="101">
        <f>Bets!D64&amp;"  v  "&amp;Bets!E64</f>
        <v/>
      </c>
      <c r="E66" s="107" t="n">
        <v>6.5</v>
      </c>
      <c r="F66" s="107" t="n">
        <v>3.8</v>
      </c>
      <c r="G66" s="107" t="n">
        <v>1.61</v>
      </c>
      <c r="H66" s="98">
        <f>Bets!AD64</f>
        <v/>
      </c>
      <c r="I66" s="99">
        <f>Bets!AH64</f>
        <v/>
      </c>
      <c r="J66" s="100">
        <f>Bets!AJ64</f>
        <v/>
      </c>
      <c r="K66" s="101">
        <f>Bets!AT64</f>
        <v/>
      </c>
      <c r="L66" s="106" t="n"/>
      <c r="M66" s="98">
        <f>IF(Bets!AH64="·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pauses.")),IF(Bets!AH64&lt;&gt;"BET",IF(OR(Bets!AF64&gt;Method!$B$87,IFERROR(INDEX(Bets!BC64:BE64,1,Bets!AB64)/INDEX(Bets!S64:U64,1,Bets!AB64),0)&gt;Method!$B$88),"🛑 NO BET — tail trap (EV "&amp;TEXT(Bets!AF64,"0.0%")&amp;" / model "&amp;TEXT(IFERROR(INDEX(Bets!BC64:BE64,1,Bets!AB64)/INDEX(Bets!S64:U64,1,Bets!AB64),0),"0.0")&amp;"× market)","❌ NO BET — price not good enough"),IF(Bets!AJ64=0,"❌ NO BET — stake under minimum",IF(L66="",IF(AND(Bets!AE64&gt;=6,Bets!AG64&gt;=0.15),"🟡 WAIT — long-shot review: odds "&amp;TEXT(Bets!AE64,"0.00")&amp;" + edge "&amp;TEXT(Bets!AG64,"0.0%")&amp;" — verify sharp-book + team news + stake comfort","🟡 WAIT — check team news first"),IF(L66="N","🔴 SKIP — team news concern",IF(L66="Y","🟢 PLACE £"&amp;Bets!AJ64&amp;" on "&amp;Bets!AD64,"")))))))</f>
        <v/>
      </c>
      <c r="N66" s="106" t="n"/>
      <c r="O66" s="106" t="n"/>
      <c r="P66" s="107" t="n"/>
      <c r="Q66" s="113" t="n"/>
      <c r="R66" s="106" t="inlineStr">
        <is>
          <t>A</t>
        </is>
      </c>
      <c r="S66" s="101">
        <f>Bets!AU64</f>
        <v/>
      </c>
      <c r="T66" s="107" t="n"/>
      <c r="U66" s="104">
        <f>IF(OR(T66="",P66=""),"",P66/T66-1)</f>
        <v/>
      </c>
      <c r="V66" s="85" t="n"/>
      <c r="W66" s="85" t="n"/>
      <c r="X66" s="52" t="n"/>
      <c r="Y66" s="52" t="n"/>
      <c r="Z66" s="52" t="n"/>
    </row>
    <row r="67" ht="15" customHeight="1" s="153">
      <c r="A67" s="111">
        <f>Bets!A65</f>
        <v/>
      </c>
      <c r="B67" s="112">
        <f>Bets!B65</f>
        <v/>
      </c>
      <c r="C67" s="108">
        <f>IF(Bets!H65="","TBC",Bets!H65)</f>
        <v/>
      </c>
      <c r="D67" s="101">
        <f>Bets!D65&amp;"  v  "&amp;Bets!E65</f>
        <v/>
      </c>
      <c r="E67" s="107" t="n">
        <v>2.62</v>
      </c>
      <c r="F67" s="107" t="n">
        <v>3.3</v>
      </c>
      <c r="G67" s="107" t="n">
        <v>2.7</v>
      </c>
      <c r="H67" s="98">
        <f>Bets!AD65</f>
        <v/>
      </c>
      <c r="I67" s="99">
        <f>Bets!AH65</f>
        <v/>
      </c>
      <c r="J67" s="100">
        <f>Bets!AJ65</f>
        <v/>
      </c>
      <c r="K67" s="101">
        <f>Bets!AT65</f>
        <v/>
      </c>
      <c r="L67" s="106" t="n"/>
      <c r="M67" s="98">
        <f>IF(Bets!AH65="·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pauses.")),IF(Bets!AH65&lt;&gt;"BET",IF(OR(Bets!AF65&gt;Method!$B$87,IFERROR(INDEX(Bets!BC65:BE65,1,Bets!AB65)/INDEX(Bets!S65:U65,1,Bets!AB65),0)&gt;Method!$B$88),"🛑 NO BET — tail trap (EV "&amp;TEXT(Bets!AF65,"0.0%")&amp;" / model "&amp;TEXT(IFERROR(INDEX(Bets!BC65:BE65,1,Bets!AB65)/INDEX(Bets!S65:U65,1,Bets!AB65),0),"0.0")&amp;"× market)","❌ NO BET — price not good enough"),IF(Bets!AJ65=0,"❌ NO BET — stake under minimum",IF(L67="",IF(AND(Bets!AE65&gt;=6,Bets!AG65&gt;=0.15),"🟡 WAIT — long-shot review: odds "&amp;TEXT(Bets!AE65,"0.00")&amp;" + edge "&amp;TEXT(Bets!AG65,"0.0%")&amp;" — verify sharp-book + team news + stake comfort","🟡 WAIT — check team news first"),IF(L67="N","🔴 SKIP — team news concern",IF(L67="Y","🟢 PLACE £"&amp;Bets!AJ65&amp;" on "&amp;Bets!AD65,"")))))))</f>
        <v/>
      </c>
      <c r="N67" s="106" t="n"/>
      <c r="O67" s="106" t="n"/>
      <c r="P67" s="107" t="n"/>
      <c r="Q67" s="113" t="n"/>
      <c r="R67" s="106" t="inlineStr">
        <is>
          <t>D</t>
        </is>
      </c>
      <c r="S67" s="101">
        <f>Bets!AU65</f>
        <v/>
      </c>
      <c r="T67" s="107" t="n"/>
      <c r="U67" s="104">
        <f>IF(OR(T67="",P67=""),"",P67/T67-1)</f>
        <v/>
      </c>
      <c r="V67" s="85" t="n"/>
      <c r="W67" s="85" t="n"/>
      <c r="X67" s="52" t="n"/>
      <c r="Y67" s="52" t="n"/>
      <c r="Z67" s="52" t="n"/>
    </row>
    <row r="68" ht="15" customHeight="1" s="153">
      <c r="A68" s="111">
        <f>Bets!A66</f>
        <v/>
      </c>
      <c r="B68" s="112">
        <f>Bets!B66</f>
        <v/>
      </c>
      <c r="C68" s="108">
        <f>IF(Bets!H66="","TBC",Bets!H66)</f>
        <v/>
      </c>
      <c r="D68" s="101">
        <f>Bets!D66&amp;"  v  "&amp;Bets!E66</f>
        <v/>
      </c>
      <c r="E68" s="107" t="n">
        <v>2.5</v>
      </c>
      <c r="F68" s="107" t="n">
        <v>2.75</v>
      </c>
      <c r="G68" s="107" t="n">
        <v>3.75</v>
      </c>
      <c r="H68" s="98">
        <f>Bets!AD66</f>
        <v/>
      </c>
      <c r="I68" s="99">
        <f>Bets!AH66</f>
        <v/>
      </c>
      <c r="J68" s="100">
        <f>Bets!AJ66</f>
        <v/>
      </c>
      <c r="K68" s="101">
        <f>Bets!AT66</f>
        <v/>
      </c>
      <c r="L68" s="106" t="n"/>
      <c r="M68" s="98">
        <f>IF(Bets!AH66="·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pauses.")),IF(Bets!AH66&lt;&gt;"BET",IF(OR(Bets!AF66&gt;Method!$B$87,IFERROR(INDEX(Bets!BC66:BE66,1,Bets!AB66)/INDEX(Bets!S66:U66,1,Bets!AB66),0)&gt;Method!$B$88),"🛑 NO BET — tail trap (EV "&amp;TEXT(Bets!AF66,"0.0%")&amp;" / model "&amp;TEXT(IFERROR(INDEX(Bets!BC66:BE66,1,Bets!AB66)/INDEX(Bets!S66:U66,1,Bets!AB66),0),"0.0")&amp;"× market)","❌ NO BET — price not good enough"),IF(Bets!AJ66=0,"❌ NO BET — stake under minimum",IF(L68="",IF(AND(Bets!AE66&gt;=6,Bets!AG66&gt;=0.15),"🟡 WAIT — long-shot review: odds "&amp;TEXT(Bets!AE66,"0.00")&amp;" + edge "&amp;TEXT(Bets!AG66,"0.0%")&amp;" — verify sharp-book + team news + stake comfort","🟡 WAIT — check team news first"),IF(L68="N","🔴 SKIP — team news concern",IF(L68="Y","🟢 PLACE £"&amp;Bets!AJ66&amp;" on "&amp;Bets!AD66,"")))))))</f>
        <v/>
      </c>
      <c r="N68" s="106" t="n"/>
      <c r="O68" s="106" t="n"/>
      <c r="P68" s="107" t="n"/>
      <c r="Q68" s="113" t="n"/>
      <c r="R68" s="106" t="inlineStr">
        <is>
          <t>D</t>
        </is>
      </c>
      <c r="S68" s="101">
        <f>Bets!AU66</f>
        <v/>
      </c>
      <c r="T68" s="107" t="n"/>
      <c r="U68" s="104">
        <f>IF(OR(T68="",P68=""),"",P68/T68-1)</f>
        <v/>
      </c>
      <c r="V68" s="85" t="n"/>
      <c r="W68" s="85" t="n"/>
      <c r="X68" s="52" t="n"/>
      <c r="Y68" s="52" t="n"/>
      <c r="Z68" s="52" t="n"/>
    </row>
    <row r="69" ht="15" customHeight="1" s="153">
      <c r="A69" s="111">
        <f>Bets!A67</f>
        <v/>
      </c>
      <c r="B69" s="112">
        <f>Bets!B67</f>
        <v/>
      </c>
      <c r="C69" s="108">
        <f>IF(Bets!H67="","TBC",Bets!H67)</f>
        <v/>
      </c>
      <c r="D69" s="101">
        <f>Bets!D67&amp;"  v  "&amp;Bets!E67</f>
        <v/>
      </c>
      <c r="E69" s="107" t="n">
        <v>15</v>
      </c>
      <c r="F69" s="107" t="n">
        <v>8</v>
      </c>
      <c r="G69" s="107" t="n">
        <v>1.18</v>
      </c>
      <c r="H69" s="98">
        <f>Bets!AD67</f>
        <v/>
      </c>
      <c r="I69" s="99">
        <f>Bets!AH67</f>
        <v/>
      </c>
      <c r="J69" s="100">
        <f>Bets!AJ67</f>
        <v/>
      </c>
      <c r="K69" s="101">
        <f>Bets!AT67</f>
        <v/>
      </c>
      <c r="L69" s="106" t="n"/>
      <c r="M69" s="98">
        <f>IF(Bets!AH67="·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pauses.")),IF(Bets!AH67&lt;&gt;"BET",IF(OR(Bets!AF67&gt;Method!$B$87,IFERROR(INDEX(Bets!BC67:BE67,1,Bets!AB67)/INDEX(Bets!S67:U67,1,Bets!AB67),0)&gt;Method!$B$88),"🛑 NO BET — tail trap (EV "&amp;TEXT(Bets!AF67,"0.0%")&amp;" / model "&amp;TEXT(IFERROR(INDEX(Bets!BC67:BE67,1,Bets!AB67)/INDEX(Bets!S67:U67,1,Bets!AB67),0),"0.0")&amp;"× market)","❌ NO BET — price not good enough"),IF(Bets!AJ67=0,"❌ NO BET — stake under minimum",IF(L69="",IF(AND(Bets!AE67&gt;=6,Bets!AG67&gt;=0.15),"🟡 WAIT — long-shot review: odds "&amp;TEXT(Bets!AE67,"0.00")&amp;" + edge "&amp;TEXT(Bets!AG67,"0.0%")&amp;" — verify sharp-book + team news + stake comfort","🟡 WAIT — check team news first"),IF(L69="N","🔴 SKIP — team news concern",IF(L69="Y","🟢 PLACE £"&amp;Bets!AJ67&amp;" on "&amp;Bets!AD67,"")))))))</f>
        <v/>
      </c>
      <c r="N69" s="106" t="n"/>
      <c r="O69" s="106" t="n"/>
      <c r="P69" s="107" t="n"/>
      <c r="Q69" s="113" t="n"/>
      <c r="R69" s="106" t="inlineStr">
        <is>
          <t>A</t>
        </is>
      </c>
      <c r="S69" s="101">
        <f>Bets!AU67</f>
        <v/>
      </c>
      <c r="T69" s="107" t="n"/>
      <c r="U69" s="104">
        <f>IF(OR(T69="",P69=""),"",P69/T69-1)</f>
        <v/>
      </c>
      <c r="V69" s="85" t="n"/>
      <c r="W69" s="85" t="n"/>
      <c r="X69" s="52" t="n"/>
      <c r="Y69" s="52" t="n"/>
      <c r="Z69" s="52" t="n"/>
    </row>
    <row r="70" ht="15" customHeight="1" s="153">
      <c r="A70" s="111">
        <f>Bets!A68</f>
        <v/>
      </c>
      <c r="B70" s="112">
        <f>Bets!B68</f>
        <v/>
      </c>
      <c r="C70" s="110">
        <f>IF(Bets!H68="","TBC",Bets!H68)</f>
        <v/>
      </c>
      <c r="D70" s="101">
        <f>Bets!D68&amp;"  v  "&amp;Bets!E68</f>
        <v/>
      </c>
      <c r="E70" s="107" t="n">
        <v>17</v>
      </c>
      <c r="F70" s="107" t="n">
        <v>8</v>
      </c>
      <c r="G70" s="107" t="n">
        <v>1.16</v>
      </c>
      <c r="H70" s="98">
        <f>Bets!AD68</f>
        <v/>
      </c>
      <c r="I70" s="99">
        <f>Bets!AH68</f>
        <v/>
      </c>
      <c r="J70" s="100">
        <f>Bets!AJ68</f>
        <v/>
      </c>
      <c r="K70" s="101">
        <f>Bets!AT68</f>
        <v/>
      </c>
      <c r="L70" s="106" t="n"/>
      <c r="M70" s="98">
        <f>IF(Bets!AH68="·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pauses.")),IF(Bets!AH68&lt;&gt;"BET",IF(OR(Bets!AF68&gt;Method!$B$87,IFERROR(INDEX(Bets!BC68:BE68,1,Bets!AB68)/INDEX(Bets!S68:U68,1,Bets!AB68),0)&gt;Method!$B$88),"🛑 NO BET — tail trap (EV "&amp;TEXT(Bets!AF68,"0.0%")&amp;" / model "&amp;TEXT(IFERROR(INDEX(Bets!BC68:BE68,1,Bets!AB68)/INDEX(Bets!S68:U68,1,Bets!AB68),0),"0.0")&amp;"× market)","❌ NO BET — price not good enough"),IF(Bets!AJ68=0,"❌ NO BET — stake under minimum",IF(L70="",IF(AND(Bets!AE68&gt;=6,Bets!AG68&gt;=0.15),"🟡 WAIT — long-shot review: odds "&amp;TEXT(Bets!AE68,"0.00")&amp;" + edge "&amp;TEXT(Bets!AG68,"0.0%")&amp;" — verify sharp-book + team news + stake comfort","🟡 WAIT — check team news first"),IF(L70="N","🔴 SKIP — team news concern",IF(L70="Y","🟢 PLACE £"&amp;Bets!AJ68&amp;" on "&amp;Bets!AD68,"")))))))</f>
        <v/>
      </c>
      <c r="N70" s="106" t="n"/>
      <c r="O70" s="106" t="n"/>
      <c r="P70" s="107" t="n"/>
      <c r="Q70" s="113" t="n"/>
      <c r="R70" s="106" t="inlineStr">
        <is>
          <t>A</t>
        </is>
      </c>
      <c r="S70" s="101">
        <f>Bets!AU68</f>
        <v/>
      </c>
      <c r="T70" s="107" t="n"/>
      <c r="U70" s="104">
        <f>IF(OR(T70="",P70=""),"",P70/T70-1)</f>
        <v/>
      </c>
      <c r="V70" s="85" t="n"/>
      <c r="W70" s="85" t="n"/>
      <c r="X70" s="52" t="n"/>
      <c r="Y70" s="52" t="n"/>
      <c r="Z70" s="52" t="n"/>
    </row>
    <row r="71" ht="15" customHeight="1" s="153">
      <c r="A71" s="111">
        <f>Bets!A69</f>
        <v/>
      </c>
      <c r="B71" s="112">
        <f>Bets!B69</f>
        <v/>
      </c>
      <c r="C71" s="110">
        <f>IF(Bets!H69="","TBC",Bets!H69)</f>
        <v/>
      </c>
      <c r="D71" s="101">
        <f>Bets!D69&amp;"  v  "&amp;Bets!E69</f>
        <v/>
      </c>
      <c r="E71" s="107" t="n">
        <v>1.75</v>
      </c>
      <c r="F71" s="107" t="n">
        <v>3.3</v>
      </c>
      <c r="G71" s="107" t="n">
        <v>5.8</v>
      </c>
      <c r="H71" s="98">
        <f>Bets!AD69</f>
        <v/>
      </c>
      <c r="I71" s="99">
        <f>Bets!AH69</f>
        <v/>
      </c>
      <c r="J71" s="100">
        <f>Bets!AJ69</f>
        <v/>
      </c>
      <c r="K71" s="101">
        <f>Bets!AT69</f>
        <v/>
      </c>
      <c r="L71" s="106" t="n"/>
      <c r="M71" s="98">
        <f>IF(Bets!AH69="·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pauses.")),IF(Bets!AH69&lt;&gt;"BET",IF(OR(Bets!AF69&gt;Method!$B$87,IFERROR(INDEX(Bets!BC69:BE69,1,Bets!AB69)/INDEX(Bets!S69:U69,1,Bets!AB69),0)&gt;Method!$B$88),"🛑 NO BET — tail trap (EV "&amp;TEXT(Bets!AF69,"0.0%")&amp;" / model "&amp;TEXT(IFERROR(INDEX(Bets!BC69:BE69,1,Bets!AB69)/INDEX(Bets!S69:U69,1,Bets!AB69),0),"0.0")&amp;"× market)","❌ NO BET — price not good enough"),IF(Bets!AJ69=0,"❌ NO BET — stake under minimum",IF(L71="",IF(AND(Bets!AE69&gt;=6,Bets!AG69&gt;=0.15),"🟡 WAIT — long-shot review: odds "&amp;TEXT(Bets!AE69,"0.00")&amp;" + edge "&amp;TEXT(Bets!AG69,"0.0%")&amp;" — verify sharp-book + team news + stake comfort","🟡 WAIT — check team news first"),IF(L71="N","🔴 SKIP — team news concern",IF(L71="Y","🟢 PLACE £"&amp;Bets!AJ69&amp;" on "&amp;Bets!AD69,"")))))))</f>
        <v/>
      </c>
      <c r="N71" s="106" t="n"/>
      <c r="O71" s="106" t="n"/>
      <c r="P71" s="107" t="n"/>
      <c r="Q71" s="113" t="n"/>
      <c r="R71" s="106" t="inlineStr">
        <is>
          <t>H</t>
        </is>
      </c>
      <c r="S71" s="101">
        <f>Bets!AU69</f>
        <v/>
      </c>
      <c r="T71" s="107" t="n"/>
      <c r="U71" s="104">
        <f>IF(OR(T71="",P71=""),"",P71/T71-1)</f>
        <v/>
      </c>
      <c r="V71" s="85" t="n"/>
      <c r="W71" s="85" t="n"/>
      <c r="X71" s="52" t="n"/>
      <c r="Y71" s="52" t="n"/>
      <c r="Z71" s="52" t="n"/>
    </row>
    <row r="72" ht="15" customHeight="1" s="153">
      <c r="A72" s="111">
        <f>Bets!A70</f>
        <v/>
      </c>
      <c r="B72" s="112">
        <f>Bets!B70</f>
        <v/>
      </c>
      <c r="C72" s="108">
        <f>IF(Bets!H70="","TBC",Bets!H70)</f>
        <v/>
      </c>
      <c r="D72" s="101">
        <f>Bets!D70&amp;"  v  "&amp;Bets!E70</f>
        <v/>
      </c>
      <c r="E72" s="107" t="n">
        <v>3.5</v>
      </c>
      <c r="F72" s="107" t="n">
        <v>3.8</v>
      </c>
      <c r="G72" s="107" t="n">
        <v>2</v>
      </c>
      <c r="H72" s="98">
        <f>Bets!AD70</f>
        <v/>
      </c>
      <c r="I72" s="99">
        <f>Bets!AH70</f>
        <v/>
      </c>
      <c r="J72" s="100">
        <f>Bets!AJ70</f>
        <v/>
      </c>
      <c r="K72" s="101">
        <f>Bets!AT70</f>
        <v/>
      </c>
      <c r="L72" s="106" t="inlineStr">
        <is>
          <t>Y</t>
        </is>
      </c>
      <c r="M72" s="98">
        <f>IF(Bets!AH70="·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pauses.")),IF(Bets!AH70&lt;&gt;"BET",IF(OR(Bets!AF70&gt;Method!$B$87,IFERROR(INDEX(Bets!BC70:BE70,1,Bets!AB70)/INDEX(Bets!S70:U70,1,Bets!AB70),0)&gt;Method!$B$88),"🛑 NO BET — tail trap (EV "&amp;TEXT(Bets!AF70,"0.0%")&amp;" / model "&amp;TEXT(IFERROR(INDEX(Bets!BC70:BE70,1,Bets!AB70)/INDEX(Bets!S70:U70,1,Bets!AB70),0),"0.0")&amp;"× market)","❌ NO BET — price not good enough"),IF(Bets!AJ70=0,"❌ NO BET — stake under minimum",IF(L72="",IF(AND(Bets!AE70&gt;=6,Bets!AG70&gt;=0.15),"🟡 WAIT — long-shot review: odds "&amp;TEXT(Bets!AE70,"0.00")&amp;" + edge "&amp;TEXT(Bets!AG70,"0.0%")&amp;" — verify sharp-book + team news + stake comfort","🟡 WAIT — check team news first"),IF(L72="N","🔴 SKIP — team news concern",IF(L72="Y","🟢 PLACE £"&amp;Bets!AJ70&amp;" on "&amp;Bets!AD70,"")))))))</f>
        <v/>
      </c>
      <c r="N72" s="106" t="inlineStr">
        <is>
          <t>Y</t>
        </is>
      </c>
      <c r="O72" s="106" t="inlineStr">
        <is>
          <t>H</t>
        </is>
      </c>
      <c r="P72" s="107" t="n">
        <v>4.2</v>
      </c>
      <c r="Q72" s="113" t="n">
        <v>15</v>
      </c>
      <c r="R72" s="106" t="inlineStr">
        <is>
          <t>D</t>
        </is>
      </c>
      <c r="S72" s="101">
        <f>Bets!AU70</f>
        <v/>
      </c>
      <c r="T72" s="107" t="n"/>
      <c r="U72" s="104">
        <f>IF(OR(T72="",P72=""),"",P72/T72-1)</f>
        <v/>
      </c>
      <c r="V72" s="85" t="n"/>
      <c r="W72" s="85" t="n"/>
      <c r="X72" s="52" t="n"/>
      <c r="Y72" s="52" t="n"/>
      <c r="Z72" s="52" t="n"/>
    </row>
    <row r="73" ht="15" customHeight="1" s="153">
      <c r="A73" s="111">
        <f>Bets!A71</f>
        <v/>
      </c>
      <c r="B73" s="112">
        <f>Bets!B71</f>
        <v/>
      </c>
      <c r="C73" s="108">
        <f>IF(Bets!H71="","TBC",Bets!H71)</f>
        <v/>
      </c>
      <c r="D73" s="101">
        <f>Bets!D71&amp;"  v  "&amp;Bets!E71</f>
        <v/>
      </c>
      <c r="E73" s="107" t="n">
        <v>1.66</v>
      </c>
      <c r="F73" s="107" t="n">
        <v>4</v>
      </c>
      <c r="G73" s="107" t="n">
        <v>5</v>
      </c>
      <c r="H73" s="98">
        <f>Bets!AD71</f>
        <v/>
      </c>
      <c r="I73" s="99">
        <f>Bets!AH71</f>
        <v/>
      </c>
      <c r="J73" s="100">
        <f>Bets!AJ71</f>
        <v/>
      </c>
      <c r="K73" s="101">
        <f>Bets!AT71</f>
        <v/>
      </c>
      <c r="L73" s="106" t="inlineStr">
        <is>
          <t>Y</t>
        </is>
      </c>
      <c r="M73" s="98">
        <f>IF(Bets!AH71="·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pauses.")),IF(Bets!AH71&lt;&gt;"BET",IF(OR(Bets!AF71&gt;Method!$B$87,IFERROR(INDEX(Bets!BC71:BE71,1,Bets!AB71)/INDEX(Bets!S71:U71,1,Bets!AB71),0)&gt;Method!$B$88),"🛑 NO BET — tail trap (EV "&amp;TEXT(Bets!AF71,"0.0%")&amp;" / model "&amp;TEXT(IFERROR(INDEX(Bets!BC71:BE71,1,Bets!AB71)/INDEX(Bets!S71:U71,1,Bets!AB71),0),"0.0")&amp;"× market)","❌ NO BET — price not good enough"),IF(Bets!AJ71=0,"❌ NO BET — stake under minimum",IF(L73="",IF(AND(Bets!AE71&gt;=6,Bets!AG71&gt;=0.15),"🟡 WAIT — long-shot review: odds "&amp;TEXT(Bets!AE71,"0.00")&amp;" + edge "&amp;TEXT(Bets!AG71,"0.0%")&amp;" — verify sharp-book + team news + stake comfort","🟡 WAIT — check team news first"),IF(L73="N","🔴 SKIP — team news concern",IF(L73="Y","🟢 PLACE £"&amp;Bets!AJ71&amp;" on "&amp;Bets!AD71,"")))))))</f>
        <v/>
      </c>
      <c r="N73" s="106" t="inlineStr">
        <is>
          <t>Y</t>
        </is>
      </c>
      <c r="O73" s="106" t="inlineStr">
        <is>
          <t>A</t>
        </is>
      </c>
      <c r="P73" s="107" t="n">
        <v>5</v>
      </c>
      <c r="Q73" s="113" t="n">
        <v>16</v>
      </c>
      <c r="R73" s="106" t="inlineStr">
        <is>
          <t>H</t>
        </is>
      </c>
      <c r="S73" s="101">
        <f>Bets!AU71</f>
        <v/>
      </c>
      <c r="T73" s="107" t="n"/>
      <c r="U73" s="104">
        <f>IF(OR(T73="",P73=""),"",P73/T73-1)</f>
        <v/>
      </c>
      <c r="V73" s="85" t="n"/>
      <c r="W73" s="85" t="n"/>
      <c r="X73" s="52" t="n"/>
      <c r="Y73" s="52" t="n"/>
      <c r="Z73" s="52" t="n"/>
    </row>
    <row r="74" ht="15" customHeight="1" s="153">
      <c r="A74" s="111">
        <f>Bets!A72</f>
        <v/>
      </c>
      <c r="B74" s="112">
        <f>Bets!B72</f>
        <v/>
      </c>
      <c r="C74" s="108">
        <f>IF(Bets!H72="","TBC",Bets!H72)</f>
        <v/>
      </c>
      <c r="D74" s="101">
        <f>Bets!D72&amp;"  v  "&amp;Bets!E72</f>
        <v/>
      </c>
      <c r="E74" s="107" t="n">
        <v>4</v>
      </c>
      <c r="F74" s="107" t="n">
        <v>2.25</v>
      </c>
      <c r="G74" s="107" t="n">
        <v>3</v>
      </c>
      <c r="H74" s="98">
        <f>Bets!AD72</f>
        <v/>
      </c>
      <c r="I74" s="99">
        <f>Bets!AH72</f>
        <v/>
      </c>
      <c r="J74" s="100">
        <f>Bets!AJ72</f>
        <v/>
      </c>
      <c r="K74" s="101">
        <f>Bets!AT72</f>
        <v/>
      </c>
      <c r="L74" s="106" t="n"/>
      <c r="M74" s="98">
        <f>IF(Bets!AH72="·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pauses.")),IF(Bets!AH72&lt;&gt;"BET",IF(OR(Bets!AF72&gt;Method!$B$87,IFERROR(INDEX(Bets!BC72:BE72,1,Bets!AB72)/INDEX(Bets!S72:U72,1,Bets!AB72),0)&gt;Method!$B$88),"🛑 NO BET — tail trap (EV "&amp;TEXT(Bets!AF72,"0.0%")&amp;" / model "&amp;TEXT(IFERROR(INDEX(Bets!BC72:BE72,1,Bets!AB72)/INDEX(Bets!S72:U72,1,Bets!AB72),0),"0.0")&amp;"× market)","❌ NO BET — price not good enough"),IF(Bets!AJ72=0,"❌ NO BET — stake under minimum",IF(L74="",IF(AND(Bets!AE72&gt;=6,Bets!AG72&gt;=0.15),"🟡 WAIT — long-shot review: odds "&amp;TEXT(Bets!AE72,"0.00")&amp;" + edge "&amp;TEXT(Bets!AG72,"0.0%")&amp;" — verify sharp-book + team news + stake comfort","🟡 WAIT — check team news first"),IF(L74="N","🔴 SKIP — team news concern",IF(L74="Y","🟢 PLACE £"&amp;Bets!AJ72&amp;" on "&amp;Bets!AD72,"")))))))</f>
        <v/>
      </c>
      <c r="N74" s="106" t="n"/>
      <c r="O74" s="106" t="n"/>
      <c r="P74" s="107" t="n"/>
      <c r="Q74" s="113" t="n"/>
      <c r="R74" s="106" t="inlineStr">
        <is>
          <t>D</t>
        </is>
      </c>
      <c r="S74" s="101">
        <f>Bets!AU72</f>
        <v/>
      </c>
      <c r="T74" s="107" t="n"/>
      <c r="U74" s="104">
        <f>IF(OR(T74="",P74=""),"",P74/T74-1)</f>
        <v/>
      </c>
      <c r="V74" s="85" t="n"/>
      <c r="W74" s="85" t="n"/>
      <c r="X74" s="52" t="n"/>
      <c r="Y74" s="52" t="n"/>
      <c r="Z74" s="52" t="n"/>
    </row>
    <row r="75" ht="15" customHeight="1" s="153">
      <c r="A75" s="111">
        <f>Bets!A73</f>
        <v/>
      </c>
      <c r="B75" s="112">
        <f>Bets!B73</f>
        <v/>
      </c>
      <c r="C75" s="108">
        <f>IF(Bets!H73="","TBC",Bets!H73)</f>
        <v/>
      </c>
      <c r="D75" s="101">
        <f>Bets!D73&amp;"  v  "&amp;Bets!E73</f>
        <v/>
      </c>
      <c r="E75" s="107" t="n">
        <v>15</v>
      </c>
      <c r="F75" s="107" t="n">
        <v>8</v>
      </c>
      <c r="G75" s="107" t="n">
        <v>1.18</v>
      </c>
      <c r="H75" s="98">
        <f>Bets!AD73</f>
        <v/>
      </c>
      <c r="I75" s="99">
        <f>Bets!AH73</f>
        <v/>
      </c>
      <c r="J75" s="100">
        <f>Bets!AJ73</f>
        <v/>
      </c>
      <c r="K75" s="101">
        <f>Bets!AT73</f>
        <v/>
      </c>
      <c r="L75" s="106" t="n"/>
      <c r="M75" s="98">
        <f>IF(Bets!AH73="·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pauses.")),IF(Bets!AH73&lt;&gt;"BET",IF(OR(Bets!AF73&gt;Method!$B$87,IFERROR(INDEX(Bets!BC73:BE73,1,Bets!AB73)/INDEX(Bets!S73:U73,1,Bets!AB73),0)&gt;Method!$B$88),"🛑 NO BET — tail trap (EV "&amp;TEXT(Bets!AF73,"0.0%")&amp;" / model "&amp;TEXT(IFERROR(INDEX(Bets!BC73:BE73,1,Bets!AB73)/INDEX(Bets!S73:U73,1,Bets!AB73),0),"0.0")&amp;"× market)","❌ NO BET — price not good enough"),IF(Bets!AJ73=0,"❌ NO BET — stake under minimum",IF(L75="",IF(AND(Bets!AE73&gt;=6,Bets!AG73&gt;=0.15),"🟡 WAIT — long-shot review: odds "&amp;TEXT(Bets!AE73,"0.00")&amp;" + edge "&amp;TEXT(Bets!AG73,"0.0%")&amp;" — verify sharp-book + team news + stake comfort","🟡 WAIT — check team news first"),IF(L75="N","🔴 SKIP — team news concern",IF(L75="Y","🟢 PLACE £"&amp;Bets!AJ73&amp;" on "&amp;Bets!AD73,"")))))))</f>
        <v/>
      </c>
      <c r="N75" s="106" t="n"/>
      <c r="O75" s="106" t="n"/>
      <c r="P75" s="107" t="n"/>
      <c r="Q75" s="113" t="n"/>
      <c r="R75" s="106" t="inlineStr">
        <is>
          <t>A</t>
        </is>
      </c>
      <c r="S75" s="101">
        <f>Bets!AU73</f>
        <v/>
      </c>
      <c r="T75" s="107" t="n"/>
      <c r="U75" s="104">
        <f>IF(OR(T75="",P75=""),"",P75/T75-1)</f>
        <v/>
      </c>
      <c r="V75" s="85" t="n"/>
      <c r="W75" s="85" t="n"/>
      <c r="X75" s="52" t="n"/>
      <c r="Y75" s="52" t="n"/>
      <c r="Z75" s="52" t="n"/>
    </row>
    <row r="76" ht="15" customHeight="1" s="153">
      <c r="A76" s="111">
        <f>Bets!A74</f>
        <v/>
      </c>
      <c r="B76" s="112">
        <f>Bets!B74</f>
        <v/>
      </c>
      <c r="C76" s="110">
        <f>IF(Bets!H74="","TBC",Bets!H74)</f>
        <v/>
      </c>
      <c r="D76" s="101">
        <f>Bets!D74&amp;"  v  "&amp;Bets!E74</f>
        <v/>
      </c>
      <c r="E76" s="107">
        <f>41/10</f>
        <v/>
      </c>
      <c r="F76" s="107">
        <f>5/2</f>
        <v/>
      </c>
      <c r="G76" s="107">
        <f>17/20</f>
        <v/>
      </c>
      <c r="H76" s="98">
        <f>Bets!AD74</f>
        <v/>
      </c>
      <c r="I76" s="99">
        <f>Bets!AH74</f>
        <v/>
      </c>
      <c r="J76" s="100">
        <f>Bets!AJ74</f>
        <v/>
      </c>
      <c r="K76" s="101">
        <f>Bets!AT74</f>
        <v/>
      </c>
      <c r="L76" s="106" t="n"/>
      <c r="M76" s="98">
        <f>IF(Bets!AH74="·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pauses.")),IF(Bets!AH74&lt;&gt;"BET",IF(OR(Bets!AF74&gt;Method!$B$87,IFERROR(INDEX(Bets!BC74:BE74,1,Bets!AB74)/INDEX(Bets!S74:U74,1,Bets!AB74),0)&gt;Method!$B$88),"🛑 NO BET — tail trap (EV "&amp;TEXT(Bets!AF74,"0.0%")&amp;" / model "&amp;TEXT(IFERROR(INDEX(Bets!BC74:BE74,1,Bets!AB74)/INDEX(Bets!S74:U74,1,Bets!AB74),0),"0.0")&amp;"× market)","❌ NO BET — price not good enough"),IF(Bets!AJ74=0,"❌ NO BET — stake under minimum",IF(L76="",IF(AND(Bets!AE74&gt;=6,Bets!AG74&gt;=0.15),"🟡 WAIT — long-shot review: odds "&amp;TEXT(Bets!AE74,"0.00")&amp;" + edge "&amp;TEXT(Bets!AG74,"0.0%")&amp;" — verify sharp-book + team news + stake comfort","🟡 WAIT — check team news first"),IF(L76="N","🔴 SKIP — team news concern",IF(L76="Y","🟢 PLACE £"&amp;Bets!AJ74&amp;" on "&amp;Bets!AD74,"")))))))</f>
        <v/>
      </c>
      <c r="N76" s="106" t="n"/>
      <c r="O76" s="106" t="n"/>
      <c r="P76" s="107" t="n"/>
      <c r="Q76" s="113" t="n"/>
      <c r="R76" s="106" t="inlineStr">
        <is>
          <t>A</t>
        </is>
      </c>
      <c r="S76" s="101">
        <f>Bets!AU74</f>
        <v/>
      </c>
      <c r="T76" s="107" t="n"/>
      <c r="U76" s="104">
        <f>IF(OR(T76="",P76=""),"",P76/T76-1)</f>
        <v/>
      </c>
      <c r="V76" s="85" t="n"/>
      <c r="W76" s="85" t="n"/>
      <c r="X76" s="52" t="n"/>
      <c r="Y76" s="52" t="n"/>
      <c r="Z76" s="52" t="n"/>
    </row>
    <row r="77" ht="15" customHeight="1" s="153">
      <c r="A77" s="111">
        <f>Bets!A75</f>
        <v/>
      </c>
      <c r="B77" s="112">
        <f>Bets!B75</f>
        <v/>
      </c>
      <c r="C77" s="110">
        <f>IF(Bets!H75="","TBC",Bets!H75)</f>
        <v/>
      </c>
      <c r="D77" s="101">
        <f>Bets!D75&amp;"  v  "&amp;Bets!E75</f>
        <v/>
      </c>
      <c r="E77" s="107" t="n">
        <v>1.37</v>
      </c>
      <c r="F77" s="107" t="n">
        <v>5.33</v>
      </c>
      <c r="G77" s="107" t="n">
        <v>10</v>
      </c>
      <c r="H77" s="98">
        <f>Bets!AD75</f>
        <v/>
      </c>
      <c r="I77" s="99">
        <f>Bets!AH75</f>
        <v/>
      </c>
      <c r="J77" s="100">
        <f>Bets!AJ75</f>
        <v/>
      </c>
      <c r="K77" s="101">
        <f>Bets!AT75</f>
        <v/>
      </c>
      <c r="L77" s="106" t="n"/>
      <c r="M77" s="98">
        <f>IF(Bets!AH75="·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pauses.")),IF(Bets!AH75&lt;&gt;"BET",IF(OR(Bets!AF75&gt;Method!$B$87,IFERROR(INDEX(Bets!BC75:BE75,1,Bets!AB75)/INDEX(Bets!S75:U75,1,Bets!AB75),0)&gt;Method!$B$88),"🛑 NO BET — tail trap (EV "&amp;TEXT(Bets!AF75,"0.0%")&amp;" / model "&amp;TEXT(IFERROR(INDEX(Bets!BC75:BE75,1,Bets!AB75)/INDEX(Bets!S75:U75,1,Bets!AB75),0),"0.0")&amp;"× market)","❌ NO BET — price not good enough"),IF(Bets!AJ75=0,"❌ NO BET — stake under minimum",IF(L77="",IF(AND(Bets!AE75&gt;=6,Bets!AG75&gt;=0.15),"🟡 WAIT — long-shot review: odds "&amp;TEXT(Bets!AE75,"0.00")&amp;" + edge "&amp;TEXT(Bets!AG75,"0.0%")&amp;" — verify sharp-book + team news + stake comfort","🟡 WAIT — check team news first"),IF(L77="N","🔴 SKIP — team news concern",IF(L77="Y","🟢 PLACE £"&amp;Bets!AJ75&amp;" on "&amp;Bets!AD75,"")))))))</f>
        <v/>
      </c>
      <c r="N77" s="106" t="n"/>
      <c r="O77" s="106" t="n"/>
      <c r="P77" s="107" t="n"/>
      <c r="Q77" s="113" t="n"/>
      <c r="R77" s="106" t="inlineStr">
        <is>
          <t>D</t>
        </is>
      </c>
      <c r="S77" s="101">
        <f>Bets!AU75</f>
        <v/>
      </c>
      <c r="T77" s="107" t="n"/>
      <c r="U77" s="104">
        <f>IF(OR(T77="",P77=""),"",P77/T77-1)</f>
        <v/>
      </c>
      <c r="V77" s="85" t="n"/>
      <c r="W77" s="85" t="n"/>
      <c r="X77" s="52" t="n"/>
      <c r="Y77" s="52" t="n"/>
      <c r="Z77" s="52" t="n"/>
    </row>
    <row r="78" ht="15" customHeight="1" s="153">
      <c r="A78" s="111">
        <f>Bets!A76</f>
        <v/>
      </c>
      <c r="B78" s="112">
        <f>Bets!B76</f>
        <v/>
      </c>
      <c r="C78" s="108">
        <f>IF(Bets!H76="","TBC",Bets!H76)</f>
        <v/>
      </c>
      <c r="D78" s="101">
        <f>Bets!D76&amp;"  v  "&amp;Bets!E76</f>
        <v/>
      </c>
      <c r="E78" s="107" t="n">
        <v>2.35</v>
      </c>
      <c r="F78" s="107" t="n">
        <v>3.25</v>
      </c>
      <c r="G78" s="107" t="n">
        <v>3.5</v>
      </c>
      <c r="H78" s="98">
        <f>Bets!AD76</f>
        <v/>
      </c>
      <c r="I78" s="99">
        <f>Bets!AH76</f>
        <v/>
      </c>
      <c r="J78" s="100">
        <f>Bets!AJ76</f>
        <v/>
      </c>
      <c r="K78" s="101">
        <f>Bets!AT76</f>
        <v/>
      </c>
      <c r="L78" s="106" t="n"/>
      <c r="M78" s="98">
        <f>IF(Bets!AH76="·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pauses.")),IF(Bets!AH76&lt;&gt;"BET",IF(OR(Bets!AF76&gt;Method!$B$87,IFERROR(INDEX(Bets!BC76:BE76,1,Bets!AB76)/INDEX(Bets!S76:U76,1,Bets!AB76),0)&gt;Method!$B$88),"🛑 NO BET — tail trap (EV "&amp;TEXT(Bets!AF76,"0.0%")&amp;" / model "&amp;TEXT(IFERROR(INDEX(Bets!BC76:BE76,1,Bets!AB76)/INDEX(Bets!S76:U76,1,Bets!AB76),0),"0.0")&amp;"× market)","❌ NO BET — price not good enough"),IF(Bets!AJ76=0,"❌ NO BET — stake under minimum",IF(L78="",IF(AND(Bets!AE76&gt;=6,Bets!AG76&gt;=0.15),"🟡 WAIT — long-shot review: odds "&amp;TEXT(Bets!AE76,"0.00")&amp;" + edge "&amp;TEXT(Bets!AG76,"0.0%")&amp;" — verify sharp-book + team news + stake comfort","🟡 WAIT — check team news first"),IF(L78="N","🔴 SKIP — team news concern",IF(L78="Y","🟢 PLACE £"&amp;Bets!AJ76&amp;" on "&amp;Bets!AD76,"")))))))</f>
        <v/>
      </c>
      <c r="N78" s="106" t="n"/>
      <c r="O78" s="106" t="n"/>
      <c r="P78" s="107" t="n"/>
      <c r="Q78" s="113" t="n"/>
      <c r="R78" s="106" t="inlineStr">
        <is>
          <t>D</t>
        </is>
      </c>
      <c r="S78" s="101">
        <f>Bets!AU76</f>
        <v/>
      </c>
      <c r="T78" s="107" t="n"/>
      <c r="U78" s="104">
        <f>IF(OR(T78="",P78=""),"",P78/T78-1)</f>
        <v/>
      </c>
      <c r="V78" s="85" t="n"/>
      <c r="W78" s="85" t="n"/>
      <c r="X78" s="52" t="n"/>
      <c r="Y78" s="52" t="n"/>
      <c r="Z78" s="52" t="n"/>
    </row>
    <row r="79" ht="15" customHeight="1" s="153">
      <c r="A79" s="111">
        <f>Bets!A77</f>
        <v/>
      </c>
      <c r="B79" s="112">
        <f>Bets!B77</f>
        <v/>
      </c>
      <c r="C79" s="108">
        <f>IF(Bets!H77="","TBC",Bets!H77)</f>
        <v/>
      </c>
      <c r="D79" s="101">
        <f>Bets!D77&amp;"  v  "&amp;Bets!E77</f>
        <v/>
      </c>
      <c r="E79" s="107" t="n">
        <v>1.73</v>
      </c>
      <c r="F79" s="107" t="n">
        <v>3.75</v>
      </c>
      <c r="G79" s="107" t="n">
        <v>5.6</v>
      </c>
      <c r="H79" s="98">
        <f>Bets!AD77</f>
        <v/>
      </c>
      <c r="I79" s="99">
        <f>Bets!AH77</f>
        <v/>
      </c>
      <c r="J79" s="100">
        <f>Bets!AJ77</f>
        <v/>
      </c>
      <c r="K79" s="101">
        <f>Bets!AT77</f>
        <v/>
      </c>
      <c r="L79" s="106" t="n"/>
      <c r="M79" s="98">
        <f>IF(Bets!AH77="·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pauses.")),IF(Bets!AH77&lt;&gt;"BET",IF(OR(Bets!AF77&gt;Method!$B$87,IFERROR(INDEX(Bets!BC77:BE77,1,Bets!AB77)/INDEX(Bets!S77:U77,1,Bets!AB77),0)&gt;Method!$B$88),"🛑 NO BET — tail trap (EV "&amp;TEXT(Bets!AF77,"0.0%")&amp;" / model "&amp;TEXT(IFERROR(INDEX(Bets!BC77:BE77,1,Bets!AB77)/INDEX(Bets!S77:U77,1,Bets!AB77),0),"0.0")&amp;"× market)","❌ NO BET — price not good enough"),IF(Bets!AJ77=0,"❌ NO BET — stake under minimum",IF(L79="",IF(AND(Bets!AE77&gt;=6,Bets!AG77&gt;=0.15),"🟡 WAIT — long-shot review: odds "&amp;TEXT(Bets!AE77,"0.00")&amp;" + edge "&amp;TEXT(Bets!AG77,"0.0%")&amp;" — verify sharp-book + team news + stake comfort","🟡 WAIT — check team news first"),IF(L79="N","🔴 SKIP — team news concern",IF(L79="Y","🟢 PLACE £"&amp;Bets!AJ77&amp;" on "&amp;Bets!AD77,"")))))))</f>
        <v/>
      </c>
      <c r="N79" s="106" t="n"/>
      <c r="O79" s="106" t="n"/>
      <c r="P79" s="107" t="n"/>
      <c r="Q79" s="113" t="n"/>
      <c r="R79" s="106" t="inlineStr">
        <is>
          <t>H</t>
        </is>
      </c>
      <c r="S79" s="101">
        <f>Bets!AU77</f>
        <v/>
      </c>
      <c r="T79" s="107" t="n"/>
      <c r="U79" s="104">
        <f>IF(OR(T79="",P79=""),"",P79/T79-1)</f>
        <v/>
      </c>
      <c r="V79" s="85" t="n"/>
      <c r="W79" s="85" t="n"/>
      <c r="X79" s="52" t="n"/>
      <c r="Y79" s="52" t="n"/>
      <c r="Z79" s="52" t="n"/>
    </row>
    <row r="80" ht="15" customHeight="1" s="153">
      <c r="A80" s="111">
        <f>Bets!A78</f>
        <v/>
      </c>
      <c r="B80" s="112">
        <f>Bets!B78</f>
        <v/>
      </c>
      <c r="C80" s="108">
        <f>IF(Bets!H78="","TBC",Bets!H78)</f>
        <v/>
      </c>
      <c r="D80" s="101">
        <f>Bets!D78&amp;"  v  "&amp;Bets!E78</f>
        <v/>
      </c>
      <c r="E80" s="107" t="n">
        <v>1.29</v>
      </c>
      <c r="F80" s="107" t="n">
        <v>6</v>
      </c>
      <c r="G80" s="107" t="n">
        <v>11.5</v>
      </c>
      <c r="H80" s="98">
        <f>Bets!AD78</f>
        <v/>
      </c>
      <c r="I80" s="99">
        <f>Bets!AH78</f>
        <v/>
      </c>
      <c r="J80" s="100">
        <f>Bets!AJ78</f>
        <v/>
      </c>
      <c r="K80" s="101">
        <f>Bets!AT78</f>
        <v/>
      </c>
      <c r="L80" s="106" t="n"/>
      <c r="M80" s="98">
        <f>IF(Bets!AH78="·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pauses.")),IF(Bets!AH78&lt;&gt;"BET",IF(OR(Bets!AF78&gt;Method!$B$87,IFERROR(INDEX(Bets!BC78:BE78,1,Bets!AB78)/INDEX(Bets!S78:U78,1,Bets!AB78),0)&gt;Method!$B$88),"🛑 NO BET — tail trap (EV "&amp;TEXT(Bets!AF78,"0.0%")&amp;" / model "&amp;TEXT(IFERROR(INDEX(Bets!BC78:BE78,1,Bets!AB78)/INDEX(Bets!S78:U78,1,Bets!AB78),0),"0.0")&amp;"× market)","❌ NO BET — price not good enough"),IF(Bets!AJ78=0,"❌ NO BET — stake under minimum",IF(L80="",IF(AND(Bets!AE78&gt;=6,Bets!AG78&gt;=0.15),"🟡 WAIT — long-shot review: odds "&amp;TEXT(Bets!AE78,"0.00")&amp;" + edge "&amp;TEXT(Bets!AG78,"0.0%")&amp;" — verify sharp-book + team news + stake comfort","🟡 WAIT — check team news first"),IF(L80="N","🔴 SKIP — team news concern",IF(L80="Y","🟢 PLACE £"&amp;Bets!AJ78&amp;" on "&amp;Bets!AD78,"")))))))</f>
        <v/>
      </c>
      <c r="N80" s="106" t="n"/>
      <c r="O80" s="106" t="n"/>
      <c r="P80" s="107" t="n"/>
      <c r="Q80" s="113" t="n"/>
      <c r="R80" s="106" t="inlineStr">
        <is>
          <t>H</t>
        </is>
      </c>
      <c r="S80" s="101">
        <f>Bets!AU78</f>
        <v/>
      </c>
      <c r="T80" s="107" t="n"/>
      <c r="U80" s="104">
        <f>IF(OR(T80="",P80=""),"",P80/T80-1)</f>
        <v/>
      </c>
      <c r="V80" s="85" t="n"/>
      <c r="W80" s="85" t="n"/>
      <c r="X80" s="52" t="n"/>
      <c r="Y80" s="52" t="n"/>
      <c r="Z80" s="52" t="n"/>
    </row>
    <row r="81" ht="15" customHeight="1" s="153">
      <c r="A81" s="111">
        <f>Bets!A79</f>
        <v/>
      </c>
      <c r="B81" s="112">
        <f>Bets!B79</f>
        <v/>
      </c>
      <c r="C81" s="108">
        <f>IF(Bets!H79="","TBC",Bets!H79)</f>
        <v/>
      </c>
      <c r="D81" s="101">
        <f>Bets!D79&amp;"  v  "&amp;Bets!E79</f>
        <v/>
      </c>
      <c r="E81" s="107" t="n">
        <v>3.75</v>
      </c>
      <c r="F81" s="107" t="n">
        <v>3.65</v>
      </c>
      <c r="G81" s="107" t="n">
        <v>2.05</v>
      </c>
      <c r="H81" s="98">
        <f>Bets!AD79</f>
        <v/>
      </c>
      <c r="I81" s="99">
        <f>Bets!AH79</f>
        <v/>
      </c>
      <c r="J81" s="100">
        <f>Bets!AJ79</f>
        <v/>
      </c>
      <c r="K81" s="101">
        <f>Bets!AT79</f>
        <v/>
      </c>
      <c r="L81" s="106" t="n"/>
      <c r="M81" s="98">
        <f>IF(Bets!AH79="·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pauses.")),IF(Bets!AH79&lt;&gt;"BET",IF(OR(Bets!AF79&gt;Method!$B$87,IFERROR(INDEX(Bets!BC79:BE79,1,Bets!AB79)/INDEX(Bets!S79:U79,1,Bets!AB79),0)&gt;Method!$B$88),"🛑 NO BET — tail trap (EV "&amp;TEXT(Bets!AF79,"0.0%")&amp;" / model "&amp;TEXT(IFERROR(INDEX(Bets!BC79:BE79,1,Bets!AB79)/INDEX(Bets!S79:U79,1,Bets!AB79),0),"0.0")&amp;"× market)","❌ NO BET — price not good enough"),IF(Bets!AJ79=0,"❌ NO BET — stake under minimum",IF(L81="",IF(AND(Bets!AE79&gt;=6,Bets!AG79&gt;=0.15),"🟡 WAIT — long-shot review: odds "&amp;TEXT(Bets!AE79,"0.00")&amp;" + edge "&amp;TEXT(Bets!AG79,"0.0%")&amp;" — verify sharp-book + team news + stake comfort","🟡 WAIT — check team news first"),IF(L81="N","🔴 SKIP — team news concern",IF(L81="Y","🟢 PLACE £"&amp;Bets!AJ79&amp;" on "&amp;Bets!AD79,"")))))))</f>
        <v/>
      </c>
      <c r="N81" s="106" t="n"/>
      <c r="O81" s="106" t="n"/>
      <c r="P81" s="107" t="n"/>
      <c r="Q81" s="113" t="n"/>
      <c r="R81" s="106" t="inlineStr">
        <is>
          <t>A</t>
        </is>
      </c>
      <c r="S81" s="101">
        <f>Bets!AU79</f>
        <v/>
      </c>
      <c r="T81" s="107" t="n"/>
      <c r="U81" s="104">
        <f>IF(OR(T81="",P81=""),"",P81/T81-1)</f>
        <v/>
      </c>
      <c r="V81" s="85" t="n"/>
      <c r="W81" s="85" t="n"/>
      <c r="X81" s="52" t="n"/>
      <c r="Y81" s="52" t="n"/>
      <c r="Z81" s="52" t="n"/>
    </row>
    <row r="82" ht="15" customHeight="1" s="153">
      <c r="A82" s="111">
        <f>Bets!A80</f>
        <v/>
      </c>
      <c r="B82" s="112">
        <f>Bets!B80</f>
        <v/>
      </c>
      <c r="C82" s="110">
        <f>IF(Bets!H80="","TBC",Bets!H80)</f>
        <v/>
      </c>
      <c r="D82" s="101">
        <f>Bets!D80&amp;"  v  "&amp;Bets!E80</f>
        <v/>
      </c>
      <c r="E82" s="107" t="n">
        <v>2.25</v>
      </c>
      <c r="F82" s="107" t="n">
        <v>3</v>
      </c>
      <c r="G82" s="107" t="n">
        <v>4</v>
      </c>
      <c r="H82" s="98">
        <f>Bets!AD80</f>
        <v/>
      </c>
      <c r="I82" s="99">
        <f>Bets!AH80</f>
        <v/>
      </c>
      <c r="J82" s="100">
        <f>Bets!AJ80</f>
        <v/>
      </c>
      <c r="K82" s="101">
        <f>Bets!AT80</f>
        <v/>
      </c>
      <c r="L82" s="106" t="n"/>
      <c r="M82" s="98">
        <f>IF(Bets!AH80="·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pauses.")),IF(Bets!AH80&lt;&gt;"BET",IF(OR(Bets!AF80&gt;Method!$B$87,IFERROR(INDEX(Bets!BC80:BE80,1,Bets!AB80)/INDEX(Bets!S80:U80,1,Bets!AB80),0)&gt;Method!$B$88),"🛑 NO BET — tail trap (EV "&amp;TEXT(Bets!AF80,"0.0%")&amp;" / model "&amp;TEXT(IFERROR(INDEX(Bets!BC80:BE80,1,Bets!AB80)/INDEX(Bets!S80:U80,1,Bets!AB80),0),"0.0")&amp;"× market)","❌ NO BET — price not good enough"),IF(Bets!AJ80=0,"❌ NO BET — stake under minimum",IF(L82="",IF(AND(Bets!AE80&gt;=6,Bets!AG80&gt;=0.15),"🟡 WAIT — long-shot review: odds "&amp;TEXT(Bets!AE80,"0.00")&amp;" + edge "&amp;TEXT(Bets!AG80,"0.0%")&amp;" — verify sharp-book + team news + stake comfort","🟡 WAIT — check team news first"),IF(L82="N","🔴 SKIP — team news concern",IF(L82="Y","🟢 PLACE £"&amp;Bets!AJ80&amp;" on "&amp;Bets!AD80,"")))))))</f>
        <v/>
      </c>
      <c r="N82" s="106" t="n"/>
      <c r="O82" s="106" t="n"/>
      <c r="P82" s="107" t="n"/>
      <c r="Q82" s="113" t="n"/>
      <c r="R82" s="106" t="inlineStr">
        <is>
          <t>H</t>
        </is>
      </c>
      <c r="S82" s="101">
        <f>Bets!AU80</f>
        <v/>
      </c>
      <c r="T82" s="107" t="n"/>
      <c r="U82" s="104">
        <f>IF(OR(T82="",P82=""),"",P82/T82-1)</f>
        <v/>
      </c>
      <c r="V82" s="85" t="n"/>
      <c r="W82" s="85" t="n"/>
      <c r="X82" s="52" t="n"/>
      <c r="Y82" s="52" t="n"/>
      <c r="Z82" s="52" t="n"/>
    </row>
    <row r="83" ht="15" customHeight="1" s="153">
      <c r="A83" s="111">
        <f>Bets!A81</f>
        <v/>
      </c>
      <c r="B83" s="112">
        <f>Bets!B81</f>
        <v/>
      </c>
      <c r="C83" s="110">
        <f>IF(Bets!H81="","TBC",Bets!H81)</f>
        <v/>
      </c>
      <c r="D83" s="101">
        <f>Bets!D81&amp;"  v  "&amp;Bets!E81</f>
        <v/>
      </c>
      <c r="E83" s="107" t="n">
        <v>1.29</v>
      </c>
      <c r="F83" s="107" t="n">
        <v>5.75</v>
      </c>
      <c r="G83" s="107" t="n">
        <v>14.5</v>
      </c>
      <c r="H83" s="98">
        <f>Bets!AD81</f>
        <v/>
      </c>
      <c r="I83" s="99">
        <f>Bets!AH81</f>
        <v/>
      </c>
      <c r="J83" s="100">
        <f>Bets!AJ81</f>
        <v/>
      </c>
      <c r="K83" s="101">
        <f>Bets!AT81</f>
        <v/>
      </c>
      <c r="L83" s="106" t="n"/>
      <c r="M83" s="98">
        <f>IF(Bets!AH81="·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pauses.")),IF(Bets!AH81&lt;&gt;"BET",IF(OR(Bets!AF81&gt;Method!$B$87,IFERROR(INDEX(Bets!BC81:BE81,1,Bets!AB81)/INDEX(Bets!S81:U81,1,Bets!AB81),0)&gt;Method!$B$88),"🛑 NO BET — tail trap (EV "&amp;TEXT(Bets!AF81,"0.0%")&amp;" / model "&amp;TEXT(IFERROR(INDEX(Bets!BC81:BE81,1,Bets!AB81)/INDEX(Bets!S81:U81,1,Bets!AB81),0),"0.0")&amp;"× market)","❌ NO BET — price not good enough"),IF(Bets!AJ81=0,"❌ NO BET — stake under minimum",IF(L83="",IF(AND(Bets!AE81&gt;=6,Bets!AG81&gt;=0.15),"🟡 WAIT — long-shot review: odds "&amp;TEXT(Bets!AE81,"0.00")&amp;" + edge "&amp;TEXT(Bets!AG81,"0.0%")&amp;" — verify sharp-book + team news + stake comfort","🟡 WAIT — check team news first"),IF(L83="N","🔴 SKIP — team news concern",IF(L83="Y","🟢 PLACE £"&amp;Bets!AJ81&amp;" on "&amp;Bets!AD81,"")))))))</f>
        <v/>
      </c>
      <c r="N83" s="106" t="n"/>
      <c r="O83" s="106" t="n"/>
      <c r="P83" s="107" t="n"/>
      <c r="Q83" s="113" t="n"/>
      <c r="R83" s="106" t="inlineStr">
        <is>
          <t>H</t>
        </is>
      </c>
      <c r="S83" s="101">
        <f>Bets!AU81</f>
        <v/>
      </c>
      <c r="T83" s="107" t="n"/>
      <c r="U83" s="104">
        <f>IF(OR(T83="",P83=""),"",P83/T83-1)</f>
        <v/>
      </c>
      <c r="V83" s="85" t="n"/>
      <c r="W83" s="85" t="n"/>
      <c r="X83" s="52" t="n"/>
      <c r="Y83" s="52" t="n"/>
      <c r="Z83" s="52" t="n"/>
    </row>
    <row r="84" ht="15" customHeight="1" s="153">
      <c r="A84" s="111">
        <f>Bets!A82</f>
        <v/>
      </c>
      <c r="B84" s="112">
        <f>Bets!B82</f>
        <v/>
      </c>
      <c r="C84" s="108">
        <f>IF(Bets!H82="","TBC",Bets!H82)</f>
        <v/>
      </c>
      <c r="D84" s="101">
        <f>Bets!D82&amp;"  v  "&amp;Bets!E82</f>
        <v/>
      </c>
      <c r="E84" s="107" t="n">
        <v>1.36</v>
      </c>
      <c r="F84" s="107" t="n">
        <v>4.75</v>
      </c>
      <c r="G84" s="107" t="n">
        <v>8.5</v>
      </c>
      <c r="H84" s="98">
        <f>Bets!AD82</f>
        <v/>
      </c>
      <c r="I84" s="99">
        <f>Bets!AH82</f>
        <v/>
      </c>
      <c r="J84" s="100">
        <f>Bets!AJ82</f>
        <v/>
      </c>
      <c r="K84" s="101">
        <f>Bets!AT82</f>
        <v/>
      </c>
      <c r="L84" s="106" t="n"/>
      <c r="M84" s="98">
        <f>IF(Bets!AH82="·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pauses.")),IF(Bets!AH82&lt;&gt;"BET",IF(OR(Bets!AF82&gt;Method!$B$87,IFERROR(INDEX(Bets!BC82:BE82,1,Bets!AB82)/INDEX(Bets!S82:U82,1,Bets!AB82),0)&gt;Method!$B$88),"🛑 NO BET — tail trap (EV "&amp;TEXT(Bets!AF82,"0.0%")&amp;" / model "&amp;TEXT(IFERROR(INDEX(Bets!BC82:BE82,1,Bets!AB82)/INDEX(Bets!S82:U82,1,Bets!AB82),0),"0.0")&amp;"× market)","❌ NO BET — price not good enough"),IF(Bets!AJ82=0,"❌ NO BET — stake under minimum",IF(L84="",IF(AND(Bets!AE82&gt;=6,Bets!AG82&gt;=0.15),"🟡 WAIT — long-shot review: odds "&amp;TEXT(Bets!AE82,"0.00")&amp;" + edge "&amp;TEXT(Bets!AG82,"0.0%")&amp;" — verify sharp-book + team news + stake comfort","🟡 WAIT — check team news first"),IF(L84="N","🔴 SKIP — team news concern",IF(L84="Y","🟢 PLACE £"&amp;Bets!AJ82&amp;" on "&amp;Bets!AD82,"")))))))</f>
        <v/>
      </c>
      <c r="N84" s="106" t="n"/>
      <c r="O84" s="106" t="n"/>
      <c r="P84" s="107" t="n"/>
      <c r="Q84" s="113" t="n"/>
      <c r="R84" s="106" t="inlineStr">
        <is>
          <t>H</t>
        </is>
      </c>
      <c r="S84" s="101">
        <f>Bets!AU82</f>
        <v/>
      </c>
      <c r="T84" s="107" t="n"/>
      <c r="U84" s="104">
        <f>IF(OR(T84="",P84=""),"",P84/T84-1)</f>
        <v/>
      </c>
      <c r="V84" s="85" t="n"/>
      <c r="W84" s="85" t="n"/>
      <c r="X84" s="52" t="n"/>
      <c r="Y84" s="52" t="n"/>
      <c r="Z84" s="52" t="n"/>
    </row>
    <row r="85" ht="15" customHeight="1" s="153">
      <c r="A85" s="111">
        <f>Bets!A83</f>
        <v/>
      </c>
      <c r="B85" s="112">
        <f>Bets!B83</f>
        <v/>
      </c>
      <c r="C85" s="108">
        <f>IF(Bets!H83="","TBC",Bets!H83)</f>
        <v/>
      </c>
      <c r="D85" s="101">
        <f>Bets!D83&amp;"  v  "&amp;Bets!E83</f>
        <v/>
      </c>
      <c r="E85" s="107" t="n">
        <v>2.2</v>
      </c>
      <c r="F85" s="107" t="n">
        <v>3.25</v>
      </c>
      <c r="G85" s="107" t="n">
        <v>3.5</v>
      </c>
      <c r="H85" s="98">
        <f>Bets!AD83</f>
        <v/>
      </c>
      <c r="I85" s="99">
        <f>Bets!AH83</f>
        <v/>
      </c>
      <c r="J85" s="100">
        <f>Bets!AJ83</f>
        <v/>
      </c>
      <c r="K85" s="101">
        <f>Bets!AT83</f>
        <v/>
      </c>
      <c r="L85" s="106" t="n"/>
      <c r="M85" s="98">
        <f>IF(Bets!AH83="·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pauses.")),IF(Bets!AH83&lt;&gt;"BET",IF(OR(Bets!AF83&gt;Method!$B$87,IFERROR(INDEX(Bets!BC83:BE83,1,Bets!AB83)/INDEX(Bets!S83:U83,1,Bets!AB83),0)&gt;Method!$B$88),"🛑 NO BET — tail trap (EV "&amp;TEXT(Bets!AF83,"0.0%")&amp;" / model "&amp;TEXT(IFERROR(INDEX(Bets!BC83:BE83,1,Bets!AB83)/INDEX(Bets!S83:U83,1,Bets!AB83),0),"0.0")&amp;"× market)","❌ NO BET — price not good enough"),IF(Bets!AJ83=0,"❌ NO BET — stake under minimum",IF(L85="",IF(AND(Bets!AE83&gt;=6,Bets!AG83&gt;=0.15),"🟡 WAIT — long-shot review: odds "&amp;TEXT(Bets!AE83,"0.00")&amp;" + edge "&amp;TEXT(Bets!AG83,"0.0%")&amp;" — verify sharp-book + team news + stake comfort","🟡 WAIT — check team news first"),IF(L85="N","🔴 SKIP — team news concern",IF(L85="Y","🟢 PLACE £"&amp;Bets!AJ83&amp;" on "&amp;Bets!AD83,"")))))))</f>
        <v/>
      </c>
      <c r="N85" s="106" t="n"/>
      <c r="O85" s="106" t="n"/>
      <c r="P85" s="107" t="n"/>
      <c r="Q85" s="113" t="n"/>
      <c r="R85" s="106" t="inlineStr">
        <is>
          <t>H</t>
        </is>
      </c>
      <c r="S85" s="101">
        <f>Bets!AU83</f>
        <v/>
      </c>
      <c r="T85" s="107" t="n"/>
      <c r="U85" s="104">
        <f>IF(OR(T85="",P85=""),"",P85/T85-1)</f>
        <v/>
      </c>
      <c r="V85" s="85" t="n"/>
      <c r="W85" s="85" t="n"/>
      <c r="X85" s="52" t="n"/>
      <c r="Y85" s="52" t="n"/>
      <c r="Z85" s="52" t="n"/>
    </row>
    <row r="86" ht="15" customHeight="1" s="153">
      <c r="A86" s="111">
        <f>Bets!A84</f>
        <v/>
      </c>
      <c r="B86" s="112">
        <f>Bets!B84</f>
        <v/>
      </c>
      <c r="C86" s="108">
        <f>IF(Bets!H84="","TBC",Bets!H84)</f>
        <v/>
      </c>
      <c r="D86" s="101">
        <f>Bets!D84&amp;"  v  "&amp;Bets!E84</f>
        <v/>
      </c>
      <c r="E86" s="107" t="n">
        <v>1.75</v>
      </c>
      <c r="F86" s="107" t="n">
        <v>3.6</v>
      </c>
      <c r="G86" s="107" t="n">
        <v>4.75</v>
      </c>
      <c r="H86" s="98">
        <f>Bets!AD84</f>
        <v/>
      </c>
      <c r="I86" s="99">
        <f>Bets!AH84</f>
        <v/>
      </c>
      <c r="J86" s="100">
        <f>Bets!AJ84</f>
        <v/>
      </c>
      <c r="K86" s="101">
        <f>Bets!AT84</f>
        <v/>
      </c>
      <c r="L86" s="106" t="n"/>
      <c r="M86" s="98">
        <f>IF(Bets!AH84="·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pauses.")),IF(Bets!AH84&lt;&gt;"BET",IF(OR(Bets!AF84&gt;Method!$B$87,IFERROR(INDEX(Bets!BC84:BE84,1,Bets!AB84)/INDEX(Bets!S84:U84,1,Bets!AB84),0)&gt;Method!$B$88),"🛑 NO BET — tail trap (EV "&amp;TEXT(Bets!AF84,"0.0%")&amp;" / model "&amp;TEXT(IFERROR(INDEX(Bets!BC84:BE84,1,Bets!AB84)/INDEX(Bets!S84:U84,1,Bets!AB84),0),"0.0")&amp;"× market)","❌ NO BET — price not good enough"),IF(Bets!AJ84=0,"❌ NO BET — stake under minimum",IF(L86="",IF(AND(Bets!AE84&gt;=6,Bets!AG84&gt;=0.15),"🟡 WAIT — long-shot review: odds "&amp;TEXT(Bets!AE84,"0.00")&amp;" + edge "&amp;TEXT(Bets!AG84,"0.0%")&amp;" — verify sharp-book + team news + stake comfort","🟡 WAIT — check team news first"),IF(L86="N","🔴 SKIP — team news concern",IF(L86="Y","🟢 PLACE £"&amp;Bets!AJ84&amp;" on "&amp;Bets!AD84,"")))))))</f>
        <v/>
      </c>
      <c r="N86" s="106" t="n"/>
      <c r="O86" s="106" t="n"/>
      <c r="P86" s="107" t="n"/>
      <c r="Q86" s="113" t="n"/>
      <c r="R86" s="106" t="inlineStr">
        <is>
          <t>H</t>
        </is>
      </c>
      <c r="S86" s="101">
        <f>Bets!AU84</f>
        <v/>
      </c>
      <c r="T86" s="107" t="n"/>
      <c r="U86" s="104">
        <f>IF(OR(T86="",P86=""),"",P86/T86-1)</f>
        <v/>
      </c>
      <c r="V86" s="85" t="n"/>
      <c r="W86" s="85" t="n"/>
      <c r="X86" s="52" t="n"/>
      <c r="Y86" s="52" t="n"/>
      <c r="Z86" s="52" t="n"/>
    </row>
    <row r="87" ht="15" customHeight="1" s="153">
      <c r="A87" s="111">
        <f>Bets!A85</f>
        <v/>
      </c>
      <c r="B87" s="112">
        <f>Bets!B85</f>
        <v/>
      </c>
      <c r="C87" s="108">
        <f>IF(Bets!H85="","TBC",Bets!H85)</f>
        <v/>
      </c>
      <c r="D87" s="101">
        <f>Bets!D85&amp;"  v  "&amp;Bets!E85</f>
        <v/>
      </c>
      <c r="E87" s="107" t="n">
        <v>1.3</v>
      </c>
      <c r="F87" s="107" t="n">
        <v>5</v>
      </c>
      <c r="G87" s="107" t="n">
        <v>9.5</v>
      </c>
      <c r="H87" s="98">
        <f>Bets!AD85</f>
        <v/>
      </c>
      <c r="I87" s="99">
        <f>Bets!AH85</f>
        <v/>
      </c>
      <c r="J87" s="100">
        <f>Bets!AJ85</f>
        <v/>
      </c>
      <c r="K87" s="101">
        <f>Bets!AT85</f>
        <v/>
      </c>
      <c r="L87" s="106" t="n"/>
      <c r="M87" s="98">
        <f>IF(Bets!AH85="·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pauses.")),IF(Bets!AH85&lt;&gt;"BET",IF(OR(Bets!AF85&gt;Method!$B$87,IFERROR(INDEX(Bets!BC85:BE85,1,Bets!AB85)/INDEX(Bets!S85:U85,1,Bets!AB85),0)&gt;Method!$B$88),"🛑 NO BET — tail trap (EV "&amp;TEXT(Bets!AF85,"0.0%")&amp;" / model "&amp;TEXT(IFERROR(INDEX(Bets!BC85:BE85,1,Bets!AB85)/INDEX(Bets!S85:U85,1,Bets!AB85),0),"0.0")&amp;"× market)","❌ NO BET — price not good enough"),IF(Bets!AJ85=0,"❌ NO BET — stake under minimum",IF(L87="",IF(AND(Bets!AE85&gt;=6,Bets!AG85&gt;=0.15),"🟡 WAIT — long-shot review: odds "&amp;TEXT(Bets!AE85,"0.00")&amp;" + edge "&amp;TEXT(Bets!AG85,"0.0%")&amp;" — verify sharp-book + team news + stake comfort","🟡 WAIT — check team news first"),IF(L87="N","🔴 SKIP — team news concern",IF(L87="Y","🟢 PLACE £"&amp;Bets!AJ85&amp;" on "&amp;Bets!AD85,"")))))))</f>
        <v/>
      </c>
      <c r="N87" s="106" t="n"/>
      <c r="O87" s="106" t="n"/>
      <c r="P87" s="107" t="n"/>
      <c r="Q87" s="113" t="n"/>
      <c r="R87" s="106" t="inlineStr">
        <is>
          <t>H</t>
        </is>
      </c>
      <c r="S87" s="101">
        <f>Bets!AU85</f>
        <v/>
      </c>
      <c r="T87" s="107" t="n"/>
      <c r="U87" s="104">
        <f>IF(OR(T87="",P87=""),"",P87/T87-1)</f>
        <v/>
      </c>
      <c r="V87" s="85" t="n"/>
      <c r="W87" s="85" t="n"/>
      <c r="X87" s="52" t="n"/>
      <c r="Y87" s="52" t="n"/>
      <c r="Z87" s="52" t="n"/>
    </row>
    <row r="88" ht="15" customHeight="1" s="153">
      <c r="A88" s="111">
        <f>Bets!A86</f>
        <v/>
      </c>
      <c r="B88" s="112">
        <f>Bets!B86</f>
        <v/>
      </c>
      <c r="C88" s="108">
        <f>IF(Bets!H86="","TBC",Bets!H86)</f>
        <v/>
      </c>
      <c r="D88" s="101">
        <f>Bets!D86&amp;"  v  "&amp;Bets!E86</f>
        <v/>
      </c>
      <c r="E88" s="107" t="n">
        <v>2.05</v>
      </c>
      <c r="F88" s="107" t="n">
        <v>3.2</v>
      </c>
      <c r="G88" s="107" t="n">
        <v>3.9</v>
      </c>
      <c r="H88" s="98">
        <f>Bets!AD86</f>
        <v/>
      </c>
      <c r="I88" s="99">
        <f>Bets!AH86</f>
        <v/>
      </c>
      <c r="J88" s="100">
        <f>Bets!AJ86</f>
        <v/>
      </c>
      <c r="K88" s="101">
        <f>Bets!AT86</f>
        <v/>
      </c>
      <c r="L88" s="106" t="n"/>
      <c r="M88" s="98">
        <f>IF(Bets!AH86="·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pauses.")),IF(Bets!AH86&lt;&gt;"BET",IF(OR(Bets!AF86&gt;Method!$B$87,IFERROR(INDEX(Bets!BC86:BE86,1,Bets!AB86)/INDEX(Bets!S86:U86,1,Bets!AB86),0)&gt;Method!$B$88),"🛑 NO BET — tail trap (EV "&amp;TEXT(Bets!AF86,"0.0%")&amp;" / model "&amp;TEXT(IFERROR(INDEX(Bets!BC86:BE86,1,Bets!AB86)/INDEX(Bets!S86:U86,1,Bets!AB86),0),"0.0")&amp;"× market)","❌ NO BET — price not good enough"),IF(Bets!AJ86=0,"❌ NO BET — stake under minimum",IF(L88="",IF(AND(Bets!AE86&gt;=6,Bets!AG86&gt;=0.15),"🟡 WAIT — long-shot review: odds "&amp;TEXT(Bets!AE86,"0.00")&amp;" + edge "&amp;TEXT(Bets!AG86,"0.0%")&amp;" — verify sharp-book + team news + stake comfort","🟡 WAIT — check team news first"),IF(L88="N","🔴 SKIP — team news concern",IF(L88="Y","🟢 PLACE £"&amp;Bets!AJ86&amp;" on "&amp;Bets!AD86,"")))))))</f>
        <v/>
      </c>
      <c r="N88" s="106" t="n"/>
      <c r="O88" s="106" t="n"/>
      <c r="P88" s="107" t="n"/>
      <c r="Q88" s="113" t="n"/>
      <c r="R88" s="106" t="inlineStr">
        <is>
          <t>H</t>
        </is>
      </c>
      <c r="S88" s="101">
        <f>Bets!AU86</f>
        <v/>
      </c>
      <c r="T88" s="107" t="n"/>
      <c r="U88" s="104">
        <f>IF(OR(T88="",P88=""),"",P88/T88-1)</f>
        <v/>
      </c>
      <c r="V88" s="85" t="n"/>
      <c r="W88" s="85" t="n"/>
      <c r="X88" s="52" t="n"/>
      <c r="Y88" s="52" t="n"/>
      <c r="Z88" s="52" t="n"/>
    </row>
    <row r="89" ht="15" customHeight="1" s="153">
      <c r="A89" s="111">
        <f>Bets!A87</f>
        <v/>
      </c>
      <c r="B89" s="112">
        <f>Bets!B87</f>
        <v/>
      </c>
      <c r="C89" s="108">
        <f>IF(Bets!H87="","TBC",Bets!H87)</f>
        <v/>
      </c>
      <c r="D89" s="101">
        <f>Bets!D87&amp;"  v  "&amp;Bets!E87</f>
        <v/>
      </c>
      <c r="E89" s="107" t="n">
        <v>1.15</v>
      </c>
      <c r="F89" s="107" t="n">
        <v>7.5</v>
      </c>
      <c r="G89" s="107" t="n">
        <v>15</v>
      </c>
      <c r="H89" s="98">
        <f>Bets!AD87</f>
        <v/>
      </c>
      <c r="I89" s="99">
        <f>Bets!AH87</f>
        <v/>
      </c>
      <c r="J89" s="100">
        <f>Bets!AJ87</f>
        <v/>
      </c>
      <c r="K89" s="101">
        <f>Bets!AT87</f>
        <v/>
      </c>
      <c r="L89" s="106" t="n"/>
      <c r="M89" s="98">
        <f>IF(Bets!AH87="·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pauses.")),IF(Bets!AH87&lt;&gt;"BET",IF(OR(Bets!AF87&gt;Method!$B$87,IFERROR(INDEX(Bets!BC87:BE87,1,Bets!AB87)/INDEX(Bets!S87:U87,1,Bets!AB87),0)&gt;Method!$B$88),"🛑 NO BET — tail trap (EV "&amp;TEXT(Bets!AF87,"0.0%")&amp;" / model "&amp;TEXT(IFERROR(INDEX(Bets!BC87:BE87,1,Bets!AB87)/INDEX(Bets!S87:U87,1,Bets!AB87),0),"0.0")&amp;"× market)","❌ NO BET — price not good enough"),IF(Bets!AJ87=0,"❌ NO BET — stake under minimum",IF(L89="",IF(AND(Bets!AE87&gt;=6,Bets!AG87&gt;=0.15),"🟡 WAIT — long-shot review: odds "&amp;TEXT(Bets!AE87,"0.00")&amp;" + edge "&amp;TEXT(Bets!AG87,"0.0%")&amp;" — verify sharp-book + team news + stake comfort","🟡 WAIT — check team news first"),IF(L89="N","🔴 SKIP — team news concern",IF(L89="Y","🟢 PLACE £"&amp;Bets!AJ87&amp;" on "&amp;Bets!AD87,"")))))))</f>
        <v/>
      </c>
      <c r="N89" s="106" t="n"/>
      <c r="O89" s="106" t="n"/>
      <c r="P89" s="107" t="n"/>
      <c r="Q89" s="113" t="n"/>
      <c r="R89" s="106" t="n"/>
      <c r="S89" s="101">
        <f>Bets!AU87</f>
        <v/>
      </c>
      <c r="T89" s="107" t="n"/>
      <c r="U89" s="104">
        <f>IF(OR(T89="",P89=""),"",P89/T89-1)</f>
        <v/>
      </c>
      <c r="V89" s="85" t="n"/>
      <c r="W89" s="85" t="n"/>
      <c r="X89" s="52" t="n"/>
      <c r="Y89" s="52" t="n"/>
      <c r="Z89" s="52" t="n"/>
    </row>
    <row r="90" ht="15" customHeight="1" s="153">
      <c r="A90" s="111">
        <f>Bets!A88</f>
        <v/>
      </c>
      <c r="B90" s="112">
        <f>Bets!B88</f>
        <v/>
      </c>
      <c r="C90" s="108">
        <f>IF(Bets!H88="","TBC",Bets!H88)</f>
        <v/>
      </c>
      <c r="D90" s="101">
        <f>Bets!D88&amp;"  v  "&amp;Bets!E88</f>
        <v/>
      </c>
      <c r="E90" s="107" t="n">
        <v>1.5</v>
      </c>
      <c r="F90" s="107" t="n">
        <v>3.9</v>
      </c>
      <c r="G90" s="107" t="n">
        <v>7</v>
      </c>
      <c r="H90" s="98">
        <f>Bets!AD88</f>
        <v/>
      </c>
      <c r="I90" s="99">
        <f>Bets!AH88</f>
        <v/>
      </c>
      <c r="J90" s="100">
        <f>Bets!AJ88</f>
        <v/>
      </c>
      <c r="K90" s="101">
        <f>Bets!AT88</f>
        <v/>
      </c>
      <c r="L90" s="106" t="n"/>
      <c r="M90" s="98">
        <f>IF(Bets!AH88="·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pauses.")),IF(Bets!AH88&lt;&gt;"BET",IF(OR(Bets!AF88&gt;Method!$B$87,IFERROR(INDEX(Bets!BC88:BE88,1,Bets!AB88)/INDEX(Bets!S88:U88,1,Bets!AB88),0)&gt;Method!$B$88),"🛑 NO BET — tail trap (EV "&amp;TEXT(Bets!AF88,"0.0%")&amp;" / model "&amp;TEXT(IFERROR(INDEX(Bets!BC88:BE88,1,Bets!AB88)/INDEX(Bets!S88:U88,1,Bets!AB88),0),"0.0")&amp;"× market)","❌ NO BET — price not good enough"),IF(Bets!AJ88=0,"❌ NO BET — stake under minimum",IF(L90="",IF(AND(Bets!AE88&gt;=6,Bets!AG88&gt;=0.15),"🟡 WAIT — long-shot review: odds "&amp;TEXT(Bets!AE88,"0.00")&amp;" + edge "&amp;TEXT(Bets!AG88,"0.0%")&amp;" — verify sharp-book + team news + stake comfort","🟡 WAIT — check team news first"),IF(L90="N","🔴 SKIP — team news concern",IF(L90="Y","🟢 PLACE £"&amp;Bets!AJ88&amp;" on "&amp;Bets!AD88,"")))))))</f>
        <v/>
      </c>
      <c r="N90" s="106" t="n"/>
      <c r="O90" s="106" t="n"/>
      <c r="P90" s="107" t="n"/>
      <c r="Q90" s="113" t="n"/>
      <c r="R90" s="106" t="n"/>
      <c r="S90" s="101">
        <f>Bets!AU88</f>
        <v/>
      </c>
      <c r="T90" s="107" t="n"/>
      <c r="U90" s="104">
        <f>IF(OR(T90="",P90=""),"",P90/T90-1)</f>
        <v/>
      </c>
      <c r="V90" s="85" t="n"/>
      <c r="W90" s="85" t="n"/>
      <c r="X90" s="52" t="n"/>
      <c r="Y90" s="52" t="n"/>
      <c r="Z90" s="52" t="n"/>
    </row>
    <row r="91" ht="15" customHeight="1" s="153">
      <c r="A91" s="111">
        <f>Bets!A89</f>
        <v/>
      </c>
      <c r="B91" s="112">
        <f>Bets!B89</f>
        <v/>
      </c>
      <c r="C91" s="110">
        <f>IF(Bets!H89="","TBC",Bets!H89)</f>
        <v/>
      </c>
      <c r="D91" s="101">
        <f>Bets!D89&amp;"  v  "&amp;Bets!E89</f>
        <v/>
      </c>
      <c r="E91" s="107" t="n">
        <v>3.4</v>
      </c>
      <c r="F91" s="107" t="n">
        <v>2.8</v>
      </c>
      <c r="G91" s="107" t="n">
        <v>2.45</v>
      </c>
      <c r="H91" s="98">
        <f>Bets!AD89</f>
        <v/>
      </c>
      <c r="I91" s="99">
        <f>Bets!AH89</f>
        <v/>
      </c>
      <c r="J91" s="100">
        <f>Bets!AJ89</f>
        <v/>
      </c>
      <c r="K91" s="101">
        <f>Bets!AT89</f>
        <v/>
      </c>
      <c r="L91" s="106" t="n"/>
      <c r="M91" s="98">
        <f>IF(Bets!AH89="·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pauses.")),IF(Bets!AH89&lt;&gt;"BET",IF(OR(Bets!AF89&gt;Method!$B$87,IFERROR(INDEX(Bets!BC89:BE89,1,Bets!AB89)/INDEX(Bets!S89:U89,1,Bets!AB89),0)&gt;Method!$B$88),"🛑 NO BET — tail trap (EV "&amp;TEXT(Bets!AF89,"0.0%")&amp;" / model "&amp;TEXT(IFERROR(INDEX(Bets!BC89:BE89,1,Bets!AB89)/INDEX(Bets!S89:U89,1,Bets!AB89),0),"0.0")&amp;"× market)","❌ NO BET — price not good enough"),IF(Bets!AJ89=0,"❌ NO BET — stake under minimum",IF(L91="",IF(AND(Bets!AE89&gt;=6,Bets!AG89&gt;=0.15),"🟡 WAIT — long-shot review: odds "&amp;TEXT(Bets!AE89,"0.00")&amp;" + edge "&amp;TEXT(Bets!AG89,"0.0%")&amp;" — verify sharp-book + team news + stake comfort","🟡 WAIT — check team news first"),IF(L91="N","🔴 SKIP — team news concern",IF(L91="Y","🟢 PLACE £"&amp;Bets!AJ89&amp;" on "&amp;Bets!AD89,"")))))))</f>
        <v/>
      </c>
      <c r="N91" s="106" t="n"/>
      <c r="O91" s="106" t="n"/>
      <c r="P91" s="107" t="n"/>
      <c r="Q91" s="113" t="n"/>
      <c r="R91" s="106" t="n"/>
      <c r="S91" s="101">
        <f>Bets!AU89</f>
        <v/>
      </c>
      <c r="T91" s="107" t="n"/>
      <c r="U91" s="104">
        <f>IF(OR(T91="",P91=""),"",P91/T91-1)</f>
        <v/>
      </c>
      <c r="V91" s="85" t="n"/>
      <c r="W91" s="85" t="n"/>
      <c r="X91" s="52" t="n"/>
      <c r="Y91" s="52" t="n"/>
      <c r="Z91" s="52" t="n"/>
    </row>
    <row r="92" ht="15" customHeight="1" s="153">
      <c r="A92" s="111">
        <f>Bets!A90</f>
        <v/>
      </c>
      <c r="B92" s="112">
        <f>Bets!B90</f>
        <v/>
      </c>
      <c r="C92" s="110">
        <f>IF(Bets!H90="","TBC",Bets!H90)</f>
        <v/>
      </c>
      <c r="D92" s="101">
        <f>Bets!D90&amp;"  v  "&amp;Bets!E90</f>
        <v/>
      </c>
      <c r="E92" s="107" t="n"/>
      <c r="F92" s="107" t="n"/>
      <c r="G92" s="107" t="n"/>
      <c r="H92" s="98">
        <f>Bets!AD90</f>
        <v/>
      </c>
      <c r="I92" s="99">
        <f>Bets!AH90</f>
        <v/>
      </c>
      <c r="J92" s="100">
        <f>Bets!AJ90</f>
        <v/>
      </c>
      <c r="K92" s="101">
        <f>Bets!AT90</f>
        <v/>
      </c>
      <c r="L92" s="106" t="n"/>
      <c r="M92" s="98">
        <f>IF(Bets!AH90="·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pauses.")),IF(Bets!AH90&lt;&gt;"BET",IF(OR(Bets!AF90&gt;Method!$B$87,IFERROR(INDEX(Bets!BC90:BE90,1,Bets!AB90)/INDEX(Bets!S90:U90,1,Bets!AB90),0)&gt;Method!$B$88),"🛑 NO BET — tail trap (EV "&amp;TEXT(Bets!AF90,"0.0%")&amp;" / model "&amp;TEXT(IFERROR(INDEX(Bets!BC90:BE90,1,Bets!AB90)/INDEX(Bets!S90:U90,1,Bets!AB90),0),"0.0")&amp;"× market)","❌ NO BET — price not good enough"),IF(Bets!AJ90=0,"❌ NO BET — stake under minimum",IF(L92="",IF(AND(Bets!AE90&gt;=6,Bets!AG90&gt;=0.15),"🟡 WAIT — long-shot review: odds "&amp;TEXT(Bets!AE90,"0.00")&amp;" + edge "&amp;TEXT(Bets!AG90,"0.0%")&amp;" — verify sharp-book + team news + stake comfort","🟡 WAIT — check team news first"),IF(L92="N","🔴 SKIP — team news concern",IF(L92="Y","🟢 PLACE £"&amp;Bets!AJ90&amp;" on "&amp;Bets!AD90,"")))))))</f>
        <v/>
      </c>
      <c r="N92" s="106" t="n"/>
      <c r="O92" s="106" t="n"/>
      <c r="P92" s="107" t="n"/>
      <c r="Q92" s="113" t="n"/>
      <c r="R92" s="106" t="n"/>
      <c r="S92" s="101">
        <f>Bets!AU90</f>
        <v/>
      </c>
      <c r="T92" s="107" t="n"/>
      <c r="U92" s="104">
        <f>IF(OR(T92="",P92=""),"",P92/T92-1)</f>
        <v/>
      </c>
      <c r="V92" s="85" t="n"/>
      <c r="W92" s="85" t="n"/>
      <c r="X92" s="52" t="n"/>
      <c r="Y92" s="52" t="n"/>
      <c r="Z92" s="52" t="n"/>
    </row>
    <row r="93" ht="15" customHeight="1" s="153">
      <c r="A93" s="111">
        <f>Bets!A91</f>
        <v/>
      </c>
      <c r="B93" s="112">
        <f>Bets!B91</f>
        <v/>
      </c>
      <c r="C93" s="108">
        <f>IF(Bets!H91="","TBC",Bets!H91)</f>
        <v/>
      </c>
      <c r="D93" s="101">
        <f>Bets!D91&amp;"  v  "&amp;Bets!E91</f>
        <v/>
      </c>
      <c r="E93" s="107" t="n"/>
      <c r="F93" s="107" t="n"/>
      <c r="G93" s="107" t="n"/>
      <c r="H93" s="98">
        <f>Bets!AD91</f>
        <v/>
      </c>
      <c r="I93" s="99">
        <f>Bets!AH91</f>
        <v/>
      </c>
      <c r="J93" s="100">
        <f>Bets!AJ91</f>
        <v/>
      </c>
      <c r="K93" s="101">
        <f>Bets!AT91</f>
        <v/>
      </c>
      <c r="L93" s="106" t="n"/>
      <c r="M93" s="98">
        <f>IF(Bets!AH91="·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pauses.")),IF(Bets!AH91&lt;&gt;"BET",IF(OR(Bets!AF91&gt;Method!$B$87,IFERROR(INDEX(Bets!BC91:BE91,1,Bets!AB91)/INDEX(Bets!S91:U91,1,Bets!AB91),0)&gt;Method!$B$88),"🛑 NO BET — tail trap (EV "&amp;TEXT(Bets!AF91,"0.0%")&amp;" / model "&amp;TEXT(IFERROR(INDEX(Bets!BC91:BE91,1,Bets!AB91)/INDEX(Bets!S91:U91,1,Bets!AB91),0),"0.0")&amp;"× market)","❌ NO BET — price not good enough"),IF(Bets!AJ91=0,"❌ NO BET — stake under minimum",IF(L93="",IF(AND(Bets!AE91&gt;=6,Bets!AG91&gt;=0.15),"🟡 WAIT — long-shot review: odds "&amp;TEXT(Bets!AE91,"0.00")&amp;" + edge "&amp;TEXT(Bets!AG91,"0.0%")&amp;" — verify sharp-book + team news + stake comfort","🟡 WAIT — check team news first"),IF(L93="N","🔴 SKIP — team news concern",IF(L93="Y","🟢 PLACE £"&amp;Bets!AJ91&amp;" on "&amp;Bets!AD91,"")))))))</f>
        <v/>
      </c>
      <c r="N93" s="106" t="n"/>
      <c r="O93" s="106" t="n"/>
      <c r="P93" s="107" t="n"/>
      <c r="Q93" s="113" t="n"/>
      <c r="R93" s="106" t="n"/>
      <c r="S93" s="101">
        <f>Bets!AU91</f>
        <v/>
      </c>
      <c r="T93" s="107" t="n"/>
      <c r="U93" s="104">
        <f>IF(OR(T93="",P93=""),"",P93/T93-1)</f>
        <v/>
      </c>
      <c r="V93" s="85" t="n"/>
      <c r="W93" s="85" t="n"/>
      <c r="X93" s="52" t="n"/>
      <c r="Y93" s="52" t="n"/>
      <c r="Z93" s="52" t="n"/>
    </row>
    <row r="94" ht="15" customHeight="1" s="153">
      <c r="A94" s="111">
        <f>Bets!A92</f>
        <v/>
      </c>
      <c r="B94" s="112">
        <f>Bets!B92</f>
        <v/>
      </c>
      <c r="C94" s="108">
        <f>IF(Bets!H92="","TBC",Bets!H92)</f>
        <v/>
      </c>
      <c r="D94" s="101">
        <f>Bets!D92&amp;"  v  "&amp;Bets!E92</f>
        <v/>
      </c>
      <c r="E94" s="107" t="n"/>
      <c r="F94" s="107" t="n"/>
      <c r="G94" s="107" t="n"/>
      <c r="H94" s="98">
        <f>Bets!AD92</f>
        <v/>
      </c>
      <c r="I94" s="99">
        <f>Bets!AH92</f>
        <v/>
      </c>
      <c r="J94" s="100">
        <f>Bets!AJ92</f>
        <v/>
      </c>
      <c r="K94" s="101">
        <f>Bets!AT92</f>
        <v/>
      </c>
      <c r="L94" s="106" t="n"/>
      <c r="M94" s="98">
        <f>IF(Bets!AH92="·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pauses.")),IF(Bets!AH92&lt;&gt;"BET",IF(OR(Bets!AF92&gt;Method!$B$87,IFERROR(INDEX(Bets!BC92:BE92,1,Bets!AB92)/INDEX(Bets!S92:U92,1,Bets!AB92),0)&gt;Method!$B$88),"🛑 NO BET — tail trap (EV "&amp;TEXT(Bets!AF92,"0.0%")&amp;" / model "&amp;TEXT(IFERROR(INDEX(Bets!BC92:BE92,1,Bets!AB92)/INDEX(Bets!S92:U92,1,Bets!AB92),0),"0.0")&amp;"× market)","❌ NO BET — price not good enough"),IF(Bets!AJ92=0,"❌ NO BET — stake under minimum",IF(L94="",IF(AND(Bets!AE92&gt;=6,Bets!AG92&gt;=0.15),"🟡 WAIT — long-shot review: odds "&amp;TEXT(Bets!AE92,"0.00")&amp;" + edge "&amp;TEXT(Bets!AG92,"0.0%")&amp;" — verify sharp-book + team news + stake comfort","🟡 WAIT — check team news first"),IF(L94="N","🔴 SKIP — team news concern",IF(L94="Y","🟢 PLACE £"&amp;Bets!AJ92&amp;" on "&amp;Bets!AD92,"")))))))</f>
        <v/>
      </c>
      <c r="N94" s="106" t="n"/>
      <c r="O94" s="106" t="n"/>
      <c r="P94" s="107" t="n"/>
      <c r="Q94" s="113" t="n"/>
      <c r="R94" s="106" t="n"/>
      <c r="S94" s="101">
        <f>Bets!AU92</f>
        <v/>
      </c>
      <c r="T94" s="107" t="n"/>
      <c r="U94" s="104">
        <f>IF(OR(T94="",P94=""),"",P94/T94-1)</f>
        <v/>
      </c>
      <c r="V94" s="85" t="n"/>
      <c r="W94" s="85" t="n"/>
      <c r="X94" s="52" t="n"/>
      <c r="Y94" s="52" t="n"/>
      <c r="Z94" s="52" t="n"/>
    </row>
    <row r="95" ht="15" customHeight="1" s="153">
      <c r="A95" s="111">
        <f>Bets!A93</f>
        <v/>
      </c>
      <c r="B95" s="112">
        <f>Bets!B93</f>
        <v/>
      </c>
      <c r="C95" s="108">
        <f>IF(Bets!H93="","TBC",Bets!H93)</f>
        <v/>
      </c>
      <c r="D95" s="101">
        <f>Bets!D93&amp;"  v  "&amp;Bets!E93</f>
        <v/>
      </c>
      <c r="E95" s="107" t="n"/>
      <c r="F95" s="107" t="n"/>
      <c r="G95" s="107" t="n"/>
      <c r="H95" s="98">
        <f>Bets!AD93</f>
        <v/>
      </c>
      <c r="I95" s="99">
        <f>Bets!AH93</f>
        <v/>
      </c>
      <c r="J95" s="100">
        <f>Bets!AJ93</f>
        <v/>
      </c>
      <c r="K95" s="101">
        <f>Bets!AT93</f>
        <v/>
      </c>
      <c r="L95" s="106" t="n"/>
      <c r="M95" s="98">
        <f>IF(Bets!AH93="·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pauses.")),IF(Bets!AH93&lt;&gt;"BET",IF(OR(Bets!AF93&gt;Method!$B$87,IFERROR(INDEX(Bets!BC93:BE93,1,Bets!AB93)/INDEX(Bets!S93:U93,1,Bets!AB93),0)&gt;Method!$B$88),"🛑 NO BET — tail trap (EV "&amp;TEXT(Bets!AF93,"0.0%")&amp;" / model "&amp;TEXT(IFERROR(INDEX(Bets!BC93:BE93,1,Bets!AB93)/INDEX(Bets!S93:U93,1,Bets!AB93),0),"0.0")&amp;"× market)","❌ NO BET — price not good enough"),IF(Bets!AJ93=0,"❌ NO BET — stake under minimum",IF(L95="",IF(AND(Bets!AE93&gt;=6,Bets!AG93&gt;=0.15),"🟡 WAIT — long-shot review: odds "&amp;TEXT(Bets!AE93,"0.00")&amp;" + edge "&amp;TEXT(Bets!AG93,"0.0%")&amp;" — verify sharp-book + team news + stake comfort","🟡 WAIT — check team news first"),IF(L95="N","🔴 SKIP — team news concern",IF(L95="Y","🟢 PLACE £"&amp;Bets!AJ93&amp;" on "&amp;Bets!AD93,"")))))))</f>
        <v/>
      </c>
      <c r="N95" s="106" t="n"/>
      <c r="O95" s="106" t="n"/>
      <c r="P95" s="107" t="n"/>
      <c r="Q95" s="113" t="n"/>
      <c r="R95" s="106" t="n"/>
      <c r="S95" s="101">
        <f>Bets!AU93</f>
        <v/>
      </c>
      <c r="T95" s="107" t="n"/>
      <c r="U95" s="104">
        <f>IF(OR(T95="",P95=""),"",P95/T95-1)</f>
        <v/>
      </c>
      <c r="V95" s="85" t="n"/>
      <c r="W95" s="85" t="n"/>
      <c r="X95" s="52" t="n"/>
      <c r="Y95" s="52" t="n"/>
      <c r="Z95" s="52" t="n"/>
    </row>
    <row r="96" ht="15" customHeight="1" s="153">
      <c r="A96" s="111">
        <f>Bets!A94</f>
        <v/>
      </c>
      <c r="B96" s="112">
        <f>Bets!B94</f>
        <v/>
      </c>
      <c r="C96" s="108">
        <f>IF(Bets!H94="","TBC",Bets!H94)</f>
        <v/>
      </c>
      <c r="D96" s="101">
        <f>Bets!D94&amp;"  v  "&amp;Bets!E94</f>
        <v/>
      </c>
      <c r="E96" s="107" t="n"/>
      <c r="F96" s="107" t="n"/>
      <c r="G96" s="107" t="n"/>
      <c r="H96" s="98">
        <f>Bets!AD94</f>
        <v/>
      </c>
      <c r="I96" s="99">
        <f>Bets!AH94</f>
        <v/>
      </c>
      <c r="J96" s="100">
        <f>Bets!AJ94</f>
        <v/>
      </c>
      <c r="K96" s="101">
        <f>Bets!AT94</f>
        <v/>
      </c>
      <c r="L96" s="106" t="n"/>
      <c r="M96" s="98">
        <f>IF(Bets!AH94="·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pauses.")),IF(Bets!AH94&lt;&gt;"BET",IF(OR(Bets!AF94&gt;Method!$B$87,IFERROR(INDEX(Bets!BC94:BE94,1,Bets!AB94)/INDEX(Bets!S94:U94,1,Bets!AB94),0)&gt;Method!$B$88),"🛑 NO BET — tail trap (EV "&amp;TEXT(Bets!AF94,"0.0%")&amp;" / model "&amp;TEXT(IFERROR(INDEX(Bets!BC94:BE94,1,Bets!AB94)/INDEX(Bets!S94:U94,1,Bets!AB94),0),"0.0")&amp;"× market)","❌ NO BET — price not good enough"),IF(Bets!AJ94=0,"❌ NO BET — stake under minimum",IF(L96="",IF(AND(Bets!AE94&gt;=6,Bets!AG94&gt;=0.15),"🟡 WAIT — long-shot review: odds "&amp;TEXT(Bets!AE94,"0.00")&amp;" + edge "&amp;TEXT(Bets!AG94,"0.0%")&amp;" — verify sharp-book + team news + stake comfort","🟡 WAIT — check team news first"),IF(L96="N","🔴 SKIP — team news concern",IF(L96="Y","🟢 PLACE £"&amp;Bets!AJ94&amp;" on "&amp;Bets!AD94,"")))))))</f>
        <v/>
      </c>
      <c r="N96" s="106" t="n"/>
      <c r="O96" s="106" t="n"/>
      <c r="P96" s="107" t="n"/>
      <c r="Q96" s="113" t="n"/>
      <c r="R96" s="106" t="n"/>
      <c r="S96" s="101">
        <f>Bets!AU94</f>
        <v/>
      </c>
      <c r="T96" s="107" t="n"/>
      <c r="U96" s="104">
        <f>IF(OR(T96="",P96=""),"",P96/T96-1)</f>
        <v/>
      </c>
      <c r="V96" s="85" t="n"/>
      <c r="W96" s="85" t="n"/>
      <c r="X96" s="52" t="n"/>
      <c r="Y96" s="52" t="n"/>
      <c r="Z96" s="52" t="n"/>
    </row>
    <row r="97" ht="15" customHeight="1" s="153">
      <c r="A97" s="111">
        <f>Bets!A95</f>
        <v/>
      </c>
      <c r="B97" s="112">
        <f>Bets!B95</f>
        <v/>
      </c>
      <c r="C97" s="110">
        <f>IF(Bets!H95="","TBC",Bets!H95)</f>
        <v/>
      </c>
      <c r="D97" s="101">
        <f>Bets!D95&amp;"  v  "&amp;Bets!E95</f>
        <v/>
      </c>
      <c r="E97" s="107" t="n"/>
      <c r="F97" s="107" t="n"/>
      <c r="G97" s="107" t="n"/>
      <c r="H97" s="98">
        <f>Bets!AD95</f>
        <v/>
      </c>
      <c r="I97" s="99">
        <f>Bets!AH95</f>
        <v/>
      </c>
      <c r="J97" s="100">
        <f>Bets!AJ95</f>
        <v/>
      </c>
      <c r="K97" s="101">
        <f>Bets!AT95</f>
        <v/>
      </c>
      <c r="L97" s="106" t="n"/>
      <c r="M97" s="98">
        <f>IF(Bets!AH95="·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pauses.")),IF(Bets!AH95&lt;&gt;"BET",IF(OR(Bets!AF95&gt;Method!$B$87,IFERROR(INDEX(Bets!BC95:BE95,1,Bets!AB95)/INDEX(Bets!S95:U95,1,Bets!AB95),0)&gt;Method!$B$88),"🛑 NO BET — tail trap (EV "&amp;TEXT(Bets!AF95,"0.0%")&amp;" / model "&amp;TEXT(IFERROR(INDEX(Bets!BC95:BE95,1,Bets!AB95)/INDEX(Bets!S95:U95,1,Bets!AB95),0),"0.0")&amp;"× market)","❌ NO BET — price not good enough"),IF(Bets!AJ95=0,"❌ NO BET — stake under minimum",IF(L97="",IF(AND(Bets!AE95&gt;=6,Bets!AG95&gt;=0.15),"🟡 WAIT — long-shot review: odds "&amp;TEXT(Bets!AE95,"0.00")&amp;" + edge "&amp;TEXT(Bets!AG95,"0.0%")&amp;" — verify sharp-book + team news + stake comfort","🟡 WAIT — check team news first"),IF(L97="N","🔴 SKIP — team news concern",IF(L97="Y","🟢 PLACE £"&amp;Bets!AJ95&amp;" on "&amp;Bets!AD95,"")))))))</f>
        <v/>
      </c>
      <c r="N97" s="106" t="n"/>
      <c r="O97" s="106" t="n"/>
      <c r="P97" s="107" t="n"/>
      <c r="Q97" s="113" t="n"/>
      <c r="R97" s="106" t="n"/>
      <c r="S97" s="101">
        <f>Bets!AU95</f>
        <v/>
      </c>
      <c r="T97" s="107" t="n"/>
      <c r="U97" s="104">
        <f>IF(OR(T97="",P97=""),"",P97/T97-1)</f>
        <v/>
      </c>
      <c r="V97" s="85" t="n"/>
      <c r="W97" s="85" t="n"/>
      <c r="X97" s="52" t="n"/>
      <c r="Y97" s="52" t="n"/>
      <c r="Z97" s="52" t="n"/>
    </row>
    <row r="98" ht="15" customHeight="1" s="153">
      <c r="A98" s="111">
        <f>Bets!A96</f>
        <v/>
      </c>
      <c r="B98" s="112">
        <f>Bets!B96</f>
        <v/>
      </c>
      <c r="C98" s="110">
        <f>IF(Bets!H96="","TBC",Bets!H96)</f>
        <v/>
      </c>
      <c r="D98" s="101">
        <f>Bets!D96&amp;"  v  "&amp;Bets!E96</f>
        <v/>
      </c>
      <c r="E98" s="107" t="n"/>
      <c r="F98" s="107" t="n"/>
      <c r="G98" s="107" t="n"/>
      <c r="H98" s="98">
        <f>Bets!AD96</f>
        <v/>
      </c>
      <c r="I98" s="99">
        <f>Bets!AH96</f>
        <v/>
      </c>
      <c r="J98" s="100">
        <f>Bets!AJ96</f>
        <v/>
      </c>
      <c r="K98" s="101">
        <f>Bets!AT96</f>
        <v/>
      </c>
      <c r="L98" s="106" t="n"/>
      <c r="M98" s="98">
        <f>IF(Bets!AH96="·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pauses.")),IF(Bets!AH96&lt;&gt;"BET",IF(OR(Bets!AF96&gt;Method!$B$87,IFERROR(INDEX(Bets!BC96:BE96,1,Bets!AB96)/INDEX(Bets!S96:U96,1,Bets!AB96),0)&gt;Method!$B$88),"🛑 NO BET — tail trap (EV "&amp;TEXT(Bets!AF96,"0.0%")&amp;" / model "&amp;TEXT(IFERROR(INDEX(Bets!BC96:BE96,1,Bets!AB96)/INDEX(Bets!S96:U96,1,Bets!AB96),0),"0.0")&amp;"× market)","❌ NO BET — price not good enough"),IF(Bets!AJ96=0,"❌ NO BET — stake under minimum",IF(L98="",IF(AND(Bets!AE96&gt;=6,Bets!AG96&gt;=0.15),"🟡 WAIT — long-shot review: odds "&amp;TEXT(Bets!AE96,"0.00")&amp;" + edge "&amp;TEXT(Bets!AG96,"0.0%")&amp;" — verify sharp-book + team news + stake comfort","🟡 WAIT — check team news first"),IF(L98="N","🔴 SKIP — team news concern",IF(L98="Y","🟢 PLACE £"&amp;Bets!AJ96&amp;" on "&amp;Bets!AD96,"")))))))</f>
        <v/>
      </c>
      <c r="N98" s="106" t="n"/>
      <c r="O98" s="106" t="n"/>
      <c r="P98" s="107" t="n"/>
      <c r="Q98" s="113" t="n"/>
      <c r="R98" s="106" t="n"/>
      <c r="S98" s="101">
        <f>Bets!AU96</f>
        <v/>
      </c>
      <c r="T98" s="107" t="n"/>
      <c r="U98" s="104">
        <f>IF(OR(T98="",P98=""),"",P98/T98-1)</f>
        <v/>
      </c>
      <c r="V98" s="85" t="n"/>
      <c r="W98" s="85" t="n"/>
      <c r="X98" s="52" t="n"/>
      <c r="Y98" s="52" t="n"/>
      <c r="Z98" s="52" t="n"/>
    </row>
    <row r="99" ht="15" customHeight="1" s="153">
      <c r="A99" s="111">
        <f>Bets!A97</f>
        <v/>
      </c>
      <c r="B99" s="112">
        <f>Bets!B97</f>
        <v/>
      </c>
      <c r="C99" s="108">
        <f>IF(Bets!H97="","TBC",Bets!H97)</f>
        <v/>
      </c>
      <c r="D99" s="101">
        <f>Bets!D97&amp;"  v  "&amp;Bets!E97</f>
        <v/>
      </c>
      <c r="E99" s="107" t="n"/>
      <c r="F99" s="107" t="n"/>
      <c r="G99" s="107" t="n"/>
      <c r="H99" s="98">
        <f>Bets!AD97</f>
        <v/>
      </c>
      <c r="I99" s="99">
        <f>Bets!AH97</f>
        <v/>
      </c>
      <c r="J99" s="100">
        <f>Bets!AJ97</f>
        <v/>
      </c>
      <c r="K99" s="101">
        <f>Bets!AT97</f>
        <v/>
      </c>
      <c r="L99" s="106" t="n"/>
      <c r="M99" s="98">
        <f>IF(Bets!AH97="·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pauses.")),IF(Bets!AH97&lt;&gt;"BET",IF(OR(Bets!AF97&gt;Method!$B$87,IFERROR(INDEX(Bets!BC97:BE97,1,Bets!AB97)/INDEX(Bets!S97:U97,1,Bets!AB97),0)&gt;Method!$B$88),"🛑 NO BET — tail trap (EV "&amp;TEXT(Bets!AF97,"0.0%")&amp;" / model "&amp;TEXT(IFERROR(INDEX(Bets!BC97:BE97,1,Bets!AB97)/INDEX(Bets!S97:U97,1,Bets!AB97),0),"0.0")&amp;"× market)","❌ NO BET — price not good enough"),IF(Bets!AJ97=0,"❌ NO BET — stake under minimum",IF(L99="",IF(AND(Bets!AE97&gt;=6,Bets!AG97&gt;=0.15),"🟡 WAIT — long-shot review: odds "&amp;TEXT(Bets!AE97,"0.00")&amp;" + edge "&amp;TEXT(Bets!AG97,"0.0%")&amp;" — verify sharp-book + team news + stake comfort","🟡 WAIT — check team news first"),IF(L99="N","🔴 SKIP — team news concern",IF(L99="Y","🟢 PLACE £"&amp;Bets!AJ97&amp;" on "&amp;Bets!AD97,"")))))))</f>
        <v/>
      </c>
      <c r="N99" s="106" t="n"/>
      <c r="O99" s="106" t="n"/>
      <c r="P99" s="107" t="n"/>
      <c r="Q99" s="113" t="n"/>
      <c r="R99" s="106" t="n"/>
      <c r="S99" s="101">
        <f>Bets!AU97</f>
        <v/>
      </c>
      <c r="T99" s="107" t="n"/>
      <c r="U99" s="104">
        <f>IF(OR(T99="",P99=""),"",P99/T99-1)</f>
        <v/>
      </c>
      <c r="V99" s="85" t="n"/>
      <c r="W99" s="85" t="n"/>
      <c r="X99" s="52" t="n"/>
      <c r="Y99" s="52" t="n"/>
      <c r="Z99" s="52" t="n"/>
    </row>
    <row r="100" ht="15" customHeight="1" s="153">
      <c r="A100" s="111">
        <f>Bets!A98</f>
        <v/>
      </c>
      <c r="B100" s="112">
        <f>Bets!B98</f>
        <v/>
      </c>
      <c r="C100" s="108">
        <f>IF(Bets!H98="","TBC",Bets!H98)</f>
        <v/>
      </c>
      <c r="D100" s="101">
        <f>Bets!D98&amp;"  v  "&amp;Bets!E98</f>
        <v/>
      </c>
      <c r="E100" s="107" t="n"/>
      <c r="F100" s="107" t="n"/>
      <c r="G100" s="107" t="n"/>
      <c r="H100" s="98">
        <f>Bets!AD98</f>
        <v/>
      </c>
      <c r="I100" s="99">
        <f>Bets!AH98</f>
        <v/>
      </c>
      <c r="J100" s="100">
        <f>Bets!AJ98</f>
        <v/>
      </c>
      <c r="K100" s="101">
        <f>Bets!AT98</f>
        <v/>
      </c>
      <c r="L100" s="106" t="n"/>
      <c r="M100" s="98">
        <f>IF(Bets!AH98="·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pauses.")),IF(Bets!AH98&lt;&gt;"BET",IF(OR(Bets!AF98&gt;Method!$B$87,IFERROR(INDEX(Bets!BC98:BE98,1,Bets!AB98)/INDEX(Bets!S98:U98,1,Bets!AB98),0)&gt;Method!$B$88),"🛑 NO BET — tail trap (EV "&amp;TEXT(Bets!AF98,"0.0%")&amp;" / model "&amp;TEXT(IFERROR(INDEX(Bets!BC98:BE98,1,Bets!AB98)/INDEX(Bets!S98:U98,1,Bets!AB98),0),"0.0")&amp;"× market)","❌ NO BET — price not good enough"),IF(Bets!AJ98=0,"❌ NO BET — stake under minimum",IF(L100="",IF(AND(Bets!AE98&gt;=6,Bets!AG98&gt;=0.15),"🟡 WAIT — long-shot review: odds "&amp;TEXT(Bets!AE98,"0.00")&amp;" + edge "&amp;TEXT(Bets!AG98,"0.0%")&amp;" — verify sharp-book + team news + stake comfort","🟡 WAIT — check team news first"),IF(L100="N","🔴 SKIP — team news concern",IF(L100="Y","🟢 PLACE £"&amp;Bets!AJ98&amp;" on "&amp;Bets!AD98,"")))))))</f>
        <v/>
      </c>
      <c r="N100" s="106" t="n"/>
      <c r="O100" s="106" t="n"/>
      <c r="P100" s="107" t="n"/>
      <c r="Q100" s="113" t="n"/>
      <c r="R100" s="106" t="n"/>
      <c r="S100" s="101">
        <f>Bets!AU98</f>
        <v/>
      </c>
      <c r="T100" s="107" t="n"/>
      <c r="U100" s="104">
        <f>IF(OR(T100="",P100=""),"",P100/T100-1)</f>
        <v/>
      </c>
      <c r="V100" s="85" t="n"/>
      <c r="W100" s="85" t="n"/>
      <c r="X100" s="52" t="n"/>
      <c r="Y100" s="52" t="n"/>
      <c r="Z100" s="52" t="n"/>
    </row>
    <row r="101" ht="15" customHeight="1" s="153">
      <c r="A101" s="111">
        <f>Bets!A99</f>
        <v/>
      </c>
      <c r="B101" s="112">
        <f>Bets!B99</f>
        <v/>
      </c>
      <c r="C101" s="108">
        <f>IF(Bets!H99="","TBC",Bets!H99)</f>
        <v/>
      </c>
      <c r="D101" s="101">
        <f>Bets!D99&amp;"  v  "&amp;Bets!E99</f>
        <v/>
      </c>
      <c r="E101" s="107" t="n"/>
      <c r="F101" s="107" t="n"/>
      <c r="G101" s="107" t="n"/>
      <c r="H101" s="98">
        <f>Bets!AD99</f>
        <v/>
      </c>
      <c r="I101" s="99">
        <f>Bets!AH99</f>
        <v/>
      </c>
      <c r="J101" s="100">
        <f>Bets!AJ99</f>
        <v/>
      </c>
      <c r="K101" s="101">
        <f>Bets!AT99</f>
        <v/>
      </c>
      <c r="L101" s="106" t="n"/>
      <c r="M101" s="98">
        <f>IF(Bets!AH99="·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pauses.")),IF(Bets!AH99&lt;&gt;"BET",IF(OR(Bets!AF99&gt;Method!$B$87,IFERROR(INDEX(Bets!BC99:BE99,1,Bets!AB99)/INDEX(Bets!S99:U99,1,Bets!AB99),0)&gt;Method!$B$88),"🛑 NO BET — tail trap (EV "&amp;TEXT(Bets!AF99,"0.0%")&amp;" / model "&amp;TEXT(IFERROR(INDEX(Bets!BC99:BE99,1,Bets!AB99)/INDEX(Bets!S99:U99,1,Bets!AB99),0),"0.0")&amp;"× market)","❌ NO BET — price not good enough"),IF(Bets!AJ99=0,"❌ NO BET — stake under minimum",IF(L101="",IF(AND(Bets!AE99&gt;=6,Bets!AG99&gt;=0.15),"🟡 WAIT — long-shot review: odds "&amp;TEXT(Bets!AE99,"0.00")&amp;" + edge "&amp;TEXT(Bets!AG99,"0.0%")&amp;" — verify sharp-book + team news + stake comfort","🟡 WAIT — check team news first"),IF(L101="N","🔴 SKIP — team news concern",IF(L101="Y","🟢 PLACE £"&amp;Bets!AJ99&amp;" on "&amp;Bets!AD99,"")))))))</f>
        <v/>
      </c>
      <c r="N101" s="106" t="n"/>
      <c r="O101" s="106" t="n"/>
      <c r="P101" s="107" t="n"/>
      <c r="Q101" s="113" t="n"/>
      <c r="R101" s="106" t="n"/>
      <c r="S101" s="101">
        <f>Bets!AU99</f>
        <v/>
      </c>
      <c r="T101" s="107" t="n"/>
      <c r="U101" s="104">
        <f>IF(OR(T101="",P101=""),"",P101/T101-1)</f>
        <v/>
      </c>
      <c r="V101" s="85" t="n"/>
      <c r="W101" s="85" t="n"/>
      <c r="X101" s="52" t="n"/>
      <c r="Y101" s="52" t="n"/>
      <c r="Z101" s="52" t="n"/>
    </row>
    <row r="102" ht="15" customHeight="1" s="153">
      <c r="A102" s="111">
        <f>Bets!A100</f>
        <v/>
      </c>
      <c r="B102" s="112">
        <f>Bets!B100</f>
        <v/>
      </c>
      <c r="C102" s="108">
        <f>IF(Bets!H100="","TBC",Bets!H100)</f>
        <v/>
      </c>
      <c r="D102" s="101">
        <f>Bets!D100&amp;"  v  "&amp;Bets!E100</f>
        <v/>
      </c>
      <c r="E102" s="107" t="n"/>
      <c r="F102" s="107" t="n"/>
      <c r="G102" s="107" t="n"/>
      <c r="H102" s="98">
        <f>Bets!AD100</f>
        <v/>
      </c>
      <c r="I102" s="99">
        <f>Bets!AH100</f>
        <v/>
      </c>
      <c r="J102" s="100">
        <f>Bets!AJ100</f>
        <v/>
      </c>
      <c r="K102" s="101">
        <f>Bets!AT100</f>
        <v/>
      </c>
      <c r="L102" s="106" t="n"/>
      <c r="M102" s="98">
        <f>IF(Bets!AH100="·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pauses.")),IF(Bets!AH100&lt;&gt;"BET",IF(OR(Bets!AF100&gt;Method!$B$87,IFERROR(INDEX(Bets!BC100:BE100,1,Bets!AB100)/INDEX(Bets!S100:U100,1,Bets!AB100),0)&gt;Method!$B$88),"🛑 NO BET — tail trap (EV "&amp;TEXT(Bets!AF100,"0.0%")&amp;" / model "&amp;TEXT(IFERROR(INDEX(Bets!BC100:BE100,1,Bets!AB100)/INDEX(Bets!S100:U100,1,Bets!AB100),0),"0.0")&amp;"× market)","❌ NO BET — price not good enough"),IF(Bets!AJ100=0,"❌ NO BET — stake under minimum",IF(L102="",IF(AND(Bets!AE100&gt;=6,Bets!AG100&gt;=0.15),"🟡 WAIT — long-shot review: odds "&amp;TEXT(Bets!AE100,"0.00")&amp;" + edge "&amp;TEXT(Bets!AG100,"0.0%")&amp;" — verify sharp-book + team news + stake comfort","🟡 WAIT — check team news first"),IF(L102="N","🔴 SKIP — team news concern",IF(L102="Y","🟢 PLACE £"&amp;Bets!AJ100&amp;" on "&amp;Bets!AD100,"")))))))</f>
        <v/>
      </c>
      <c r="N102" s="106" t="n"/>
      <c r="O102" s="106" t="n"/>
      <c r="P102" s="107" t="n"/>
      <c r="Q102" s="113" t="n"/>
      <c r="R102" s="106" t="n"/>
      <c r="S102" s="101">
        <f>Bets!AU100</f>
        <v/>
      </c>
      <c r="T102" s="107" t="n"/>
      <c r="U102" s="104">
        <f>IF(OR(T102="",P102=""),"",P102/T102-1)</f>
        <v/>
      </c>
      <c r="V102" s="85" t="n"/>
      <c r="W102" s="85" t="n"/>
      <c r="X102" s="52" t="n"/>
      <c r="Y102" s="52" t="n"/>
      <c r="Z102" s="52" t="n"/>
    </row>
    <row r="103" ht="15" customHeight="1" s="153">
      <c r="A103" s="111">
        <f>Bets!A101</f>
        <v/>
      </c>
      <c r="B103" s="112">
        <f>Bets!B101</f>
        <v/>
      </c>
      <c r="C103" s="110">
        <f>IF(Bets!H101="","TBC",Bets!H101)</f>
        <v/>
      </c>
      <c r="D103" s="101">
        <f>Bets!D101&amp;"  v  "&amp;Bets!E101</f>
        <v/>
      </c>
      <c r="E103" s="107" t="n"/>
      <c r="F103" s="107" t="n"/>
      <c r="G103" s="107" t="n"/>
      <c r="H103" s="98">
        <f>Bets!AD101</f>
        <v/>
      </c>
      <c r="I103" s="99">
        <f>Bets!AH101</f>
        <v/>
      </c>
      <c r="J103" s="100">
        <f>Bets!AJ101</f>
        <v/>
      </c>
      <c r="K103" s="101">
        <f>Bets!AT101</f>
        <v/>
      </c>
      <c r="L103" s="106" t="n"/>
      <c r="M103" s="98">
        <f>IF(Bets!AH101="·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pauses.")),IF(Bets!AH101&lt;&gt;"BET",IF(OR(Bets!AF101&gt;Method!$B$87,IFERROR(INDEX(Bets!BC101:BE101,1,Bets!AB101)/INDEX(Bets!S101:U101,1,Bets!AB101),0)&gt;Method!$B$88),"🛑 NO BET — tail trap (EV "&amp;TEXT(Bets!AF101,"0.0%")&amp;" / model "&amp;TEXT(IFERROR(INDEX(Bets!BC101:BE101,1,Bets!AB101)/INDEX(Bets!S101:U101,1,Bets!AB101),0),"0.0")&amp;"× market)","❌ NO BET — price not good enough"),IF(Bets!AJ101=0,"❌ NO BET — stake under minimum",IF(L103="",IF(AND(Bets!AE101&gt;=6,Bets!AG101&gt;=0.15),"🟡 WAIT — long-shot review: odds "&amp;TEXT(Bets!AE101,"0.00")&amp;" + edge "&amp;TEXT(Bets!AG101,"0.0%")&amp;" — verify sharp-book + team news + stake comfort","🟡 WAIT — check team news first"),IF(L103="N","🔴 SKIP — team news concern",IF(L103="Y","🟢 PLACE £"&amp;Bets!AJ101&amp;" on "&amp;Bets!AD101,"")))))))</f>
        <v/>
      </c>
      <c r="N103" s="106" t="n"/>
      <c r="O103" s="106" t="n"/>
      <c r="P103" s="107" t="n"/>
      <c r="Q103" s="113" t="n"/>
      <c r="R103" s="106" t="n"/>
      <c r="S103" s="101">
        <f>Bets!AU101</f>
        <v/>
      </c>
      <c r="T103" s="107" t="n"/>
      <c r="U103" s="104">
        <f>IF(OR(T103="",P103=""),"",P103/T103-1)</f>
        <v/>
      </c>
      <c r="V103" s="85" t="n"/>
      <c r="W103" s="85" t="n"/>
      <c r="X103" s="52" t="n"/>
      <c r="Y103" s="52" t="n"/>
      <c r="Z103" s="52" t="n"/>
    </row>
    <row r="104" ht="15" customHeight="1" s="153">
      <c r="A104" s="111">
        <f>Bets!A102</f>
        <v/>
      </c>
      <c r="B104" s="112">
        <f>Bets!B102</f>
        <v/>
      </c>
      <c r="C104" s="108">
        <f>IF(Bets!H102="","TBC",Bets!H102)</f>
        <v/>
      </c>
      <c r="D104" s="101">
        <f>Bets!D102&amp;"  v  "&amp;Bets!E102</f>
        <v/>
      </c>
      <c r="E104" s="107" t="n"/>
      <c r="F104" s="107" t="n"/>
      <c r="G104" s="107" t="n"/>
      <c r="H104" s="98">
        <f>Bets!AD102</f>
        <v/>
      </c>
      <c r="I104" s="99">
        <f>Bets!AH102</f>
        <v/>
      </c>
      <c r="J104" s="100">
        <f>Bets!AJ102</f>
        <v/>
      </c>
      <c r="K104" s="101">
        <f>Bets!AT102</f>
        <v/>
      </c>
      <c r="L104" s="106" t="n"/>
      <c r="M104" s="98">
        <f>IF(Bets!AH102="·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pauses.")),IF(Bets!AH102&lt;&gt;"BET",IF(OR(Bets!AF102&gt;Method!$B$87,IFERROR(INDEX(Bets!BC102:BE102,1,Bets!AB102)/INDEX(Bets!S102:U102,1,Bets!AB102),0)&gt;Method!$B$88),"🛑 NO BET — tail trap (EV "&amp;TEXT(Bets!AF102,"0.0%")&amp;" / model "&amp;TEXT(IFERROR(INDEX(Bets!BC102:BE102,1,Bets!AB102)/INDEX(Bets!S102:U102,1,Bets!AB102),0),"0.0")&amp;"× market)","❌ NO BET — price not good enough"),IF(Bets!AJ102=0,"❌ NO BET — stake under minimum",IF(L104="",IF(AND(Bets!AE102&gt;=6,Bets!AG102&gt;=0.15),"🟡 WAIT — long-shot review: odds "&amp;TEXT(Bets!AE102,"0.00")&amp;" + edge "&amp;TEXT(Bets!AG102,"0.0%")&amp;" — verify sharp-book + team news + stake comfort","🟡 WAIT — check team news first"),IF(L104="N","🔴 SKIP — team news concern",IF(L104="Y","🟢 PLACE £"&amp;Bets!AJ102&amp;" on "&amp;Bets!AD102,"")))))))</f>
        <v/>
      </c>
      <c r="N104" s="106" t="n"/>
      <c r="O104" s="106" t="n"/>
      <c r="P104" s="107" t="n"/>
      <c r="Q104" s="113" t="n"/>
      <c r="R104" s="106" t="n"/>
      <c r="S104" s="101">
        <f>Bets!AU102</f>
        <v/>
      </c>
      <c r="T104" s="107" t="n"/>
      <c r="U104" s="104">
        <f>IF(OR(T104="",P104=""),"",P104/T104-1)</f>
        <v/>
      </c>
      <c r="V104" s="85" t="n"/>
      <c r="W104" s="85" t="n"/>
      <c r="X104" s="52" t="n"/>
      <c r="Y104" s="52" t="n"/>
      <c r="Z104" s="52" t="n"/>
    </row>
    <row r="105" ht="15" customHeight="1" s="153">
      <c r="A105" s="111">
        <f>Bets!A103</f>
        <v/>
      </c>
      <c r="B105" s="112">
        <f>Bets!B103</f>
        <v/>
      </c>
      <c r="C105" s="108">
        <f>IF(Bets!H103="","TBC",Bets!H103)</f>
        <v/>
      </c>
      <c r="D105" s="101">
        <f>Bets!D103&amp;"  v  "&amp;Bets!E103</f>
        <v/>
      </c>
      <c r="E105" s="107" t="n"/>
      <c r="F105" s="107" t="n"/>
      <c r="G105" s="107" t="n"/>
      <c r="H105" s="98">
        <f>Bets!AD103</f>
        <v/>
      </c>
      <c r="I105" s="99">
        <f>Bets!AH103</f>
        <v/>
      </c>
      <c r="J105" s="100">
        <f>Bets!AJ103</f>
        <v/>
      </c>
      <c r="K105" s="101">
        <f>Bets!AT103</f>
        <v/>
      </c>
      <c r="L105" s="106" t="n"/>
      <c r="M105" s="98">
        <f>IF(Bets!AH103="·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pauses.")),IF(Bets!AH103&lt;&gt;"BET",IF(OR(Bets!AF103&gt;Method!$B$87,IFERROR(INDEX(Bets!BC103:BE103,1,Bets!AB103)/INDEX(Bets!S103:U103,1,Bets!AB103),0)&gt;Method!$B$88),"🛑 NO BET — tail trap (EV "&amp;TEXT(Bets!AF103,"0.0%")&amp;" / model "&amp;TEXT(IFERROR(INDEX(Bets!BC103:BE103,1,Bets!AB103)/INDEX(Bets!S103:U103,1,Bets!AB103),0),"0.0")&amp;"× market)","❌ NO BET — price not good enough"),IF(Bets!AJ103=0,"❌ NO BET — stake under minimum",IF(L105="",IF(AND(Bets!AE103&gt;=6,Bets!AG103&gt;=0.15),"🟡 WAIT — long-shot review: odds "&amp;TEXT(Bets!AE103,"0.00")&amp;" + edge "&amp;TEXT(Bets!AG103,"0.0%")&amp;" — verify sharp-book + team news + stake comfort","🟡 WAIT — check team news first"),IF(L105="N","🔴 SKIP — team news concern",IF(L105="Y","🟢 PLACE £"&amp;Bets!AJ103&amp;" on "&amp;Bets!AD103,"")))))))</f>
        <v/>
      </c>
      <c r="N105" s="106" t="n"/>
      <c r="O105" s="106" t="n"/>
      <c r="P105" s="107" t="n"/>
      <c r="Q105" s="113" t="n"/>
      <c r="R105" s="106" t="n"/>
      <c r="S105" s="101">
        <f>Bets!AU103</f>
        <v/>
      </c>
      <c r="T105" s="107" t="n"/>
      <c r="U105" s="104">
        <f>IF(OR(T105="",P105=""),"",P105/T105-1)</f>
        <v/>
      </c>
      <c r="V105" s="85" t="n"/>
      <c r="W105" s="85" t="n"/>
      <c r="X105" s="52" t="n"/>
      <c r="Y105" s="52" t="n"/>
      <c r="Z105" s="52" t="n"/>
    </row>
    <row r="106" ht="15" customHeight="1" s="153">
      <c r="A106" s="111">
        <f>Bets!A104</f>
        <v/>
      </c>
      <c r="B106" s="112">
        <f>Bets!B104</f>
        <v/>
      </c>
      <c r="C106" s="108">
        <f>IF(Bets!H104="","TBC",Bets!H104)</f>
        <v/>
      </c>
      <c r="D106" s="101">
        <f>Bets!D104&amp;"  v  "&amp;Bets!E104</f>
        <v/>
      </c>
      <c r="E106" s="107" t="n"/>
      <c r="F106" s="107" t="n"/>
      <c r="G106" s="107" t="n"/>
      <c r="H106" s="98">
        <f>Bets!AD104</f>
        <v/>
      </c>
      <c r="I106" s="99">
        <f>Bets!AH104</f>
        <v/>
      </c>
      <c r="J106" s="100">
        <f>Bets!AJ104</f>
        <v/>
      </c>
      <c r="K106" s="101">
        <f>Bets!AT104</f>
        <v/>
      </c>
      <c r="L106" s="106" t="n"/>
      <c r="M106" s="98">
        <f>IF(Bets!AH104="·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pauses.")),IF(Bets!AH104&lt;&gt;"BET",IF(OR(Bets!AF104&gt;Method!$B$87,IFERROR(INDEX(Bets!BC104:BE104,1,Bets!AB104)/INDEX(Bets!S104:U104,1,Bets!AB104),0)&gt;Method!$B$88),"🛑 NO BET — tail trap (EV "&amp;TEXT(Bets!AF104,"0.0%")&amp;" / model "&amp;TEXT(IFERROR(INDEX(Bets!BC104:BE104,1,Bets!AB104)/INDEX(Bets!S104:U104,1,Bets!AB104),0),"0.0")&amp;"× market)","❌ NO BET — price not good enough"),IF(Bets!AJ104=0,"❌ NO BET — stake under minimum",IF(L106="",IF(AND(Bets!AE104&gt;=6,Bets!AG104&gt;=0.15),"🟡 WAIT — long-shot review: odds "&amp;TEXT(Bets!AE104,"0.00")&amp;" + edge "&amp;TEXT(Bets!AG104,"0.0%")&amp;" — verify sharp-book + team news + stake comfort","🟡 WAIT — check team news first"),IF(L106="N","🔴 SKIP — team news concern",IF(L106="Y","🟢 PLACE £"&amp;Bets!AJ104&amp;" on "&amp;Bets!AD104,"")))))))</f>
        <v/>
      </c>
      <c r="N106" s="106" t="n"/>
      <c r="O106" s="106" t="n"/>
      <c r="P106" s="107" t="n"/>
      <c r="Q106" s="113" t="n"/>
      <c r="R106" s="106" t="n"/>
      <c r="S106" s="101">
        <f>Bets!AU104</f>
        <v/>
      </c>
      <c r="T106" s="107" t="n"/>
      <c r="U106" s="104">
        <f>IF(OR(T106="",P106=""),"",P106/T106-1)</f>
        <v/>
      </c>
      <c r="V106" s="85" t="n"/>
      <c r="W106" s="85" t="n"/>
      <c r="X106" s="52" t="n"/>
      <c r="Y106" s="52" t="n"/>
      <c r="Z106" s="52" t="n"/>
    </row>
    <row r="107" ht="15" customHeight="1" s="153">
      <c r="A107" s="111">
        <f>Bets!A105</f>
        <v/>
      </c>
      <c r="B107" s="112">
        <f>Bets!B105</f>
        <v/>
      </c>
      <c r="C107" s="108">
        <f>IF(Bets!H105="","TBC",Bets!H105)</f>
        <v/>
      </c>
      <c r="D107" s="101">
        <f>Bets!D105&amp;"  v  "&amp;Bets!E105</f>
        <v/>
      </c>
      <c r="E107" s="107" t="n"/>
      <c r="F107" s="107" t="n"/>
      <c r="G107" s="107" t="n"/>
      <c r="H107" s="98">
        <f>Bets!AD105</f>
        <v/>
      </c>
      <c r="I107" s="99">
        <f>Bets!AH105</f>
        <v/>
      </c>
      <c r="J107" s="100">
        <f>Bets!AJ105</f>
        <v/>
      </c>
      <c r="K107" s="101">
        <f>Bets!AT105</f>
        <v/>
      </c>
      <c r="L107" s="106" t="n"/>
      <c r="M107" s="98">
        <f>IF(Bets!AH105="· enter odds","",IF(Method!$B$55=TRUE(),IF(Method!$B$81=TRUE(),"🛑 PAUSED — feed stale (&gt;25 min); refresh feed before betting.",IF(Method!$B$51&gt;=Method!$B$52,"🛑 PAUSED — drawdown "&amp;TEXT(Method!$B$51,"0.0%")&amp;" ≥ "&amp;TEXT(Method!$B$52,"0.0%")&amp;". Set Method!B54=Y to override.","🛑 PAUSED — see Method!B49/B63 for cause; do not override stale/circuit-breaker pauses.")),IF(Bets!AH105&lt;&gt;"BET",IF(OR(Bets!AF105&gt;Method!$B$87,IFERROR(INDEX(Bets!BC105:BE105,1,Bets!AB105)/INDEX(Bets!S105:U105,1,Bets!AB105),0)&gt;Method!$B$88),"🛑 NO BET — tail trap (EV "&amp;TEXT(Bets!AF105,"0.0%")&amp;" / model "&amp;TEXT(IFERROR(INDEX(Bets!BC105:BE105,1,Bets!AB105)/INDEX(Bets!S105:U105,1,Bets!AB105),0),"0.0")&amp;"× market)","❌ NO BET — price not good enough"),IF(Bets!AJ105=0,"❌ NO BET — stake under minimum",IF(L107="",IF(AND(Bets!AE105&gt;=6,Bets!AG105&gt;=0.15),"🟡 WAIT — long-shot review: odds "&amp;TEXT(Bets!AE105,"0.00")&amp;" + edge "&amp;TEXT(Bets!AG105,"0.0%")&amp;" — verify sharp-book + team news + stake comfort","🟡 WAIT — check team news first"),IF(L107="N","🔴 SKIP — team news concern",IF(L107="Y","🟢 PLACE £"&amp;Bets!AJ105&amp;" on "&amp;Bets!AD105,"")))))))</f>
        <v/>
      </c>
      <c r="N107" s="106" t="n"/>
      <c r="O107" s="106" t="n"/>
      <c r="P107" s="107" t="n"/>
      <c r="Q107" s="113" t="n"/>
      <c r="R107" s="106" t="n"/>
      <c r="S107" s="101">
        <f>Bets!AU105</f>
        <v/>
      </c>
      <c r="T107" s="107" t="n"/>
      <c r="U107" s="104">
        <f>IF(OR(T107="",P107=""),"",P107/T107-1)</f>
        <v/>
      </c>
      <c r="V107" s="85" t="n"/>
      <c r="W107" s="85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4" t="n"/>
      <c r="K108" s="54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54" t="n"/>
      <c r="V108" s="85" t="n"/>
      <c r="W108" s="85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54" t="n"/>
      <c r="L109" s="54" t="n"/>
      <c r="M109" s="54" t="n"/>
      <c r="N109" s="54" t="n"/>
      <c r="O109" s="54" t="n"/>
      <c r="P109" s="54" t="n"/>
      <c r="Q109" s="54" t="n"/>
      <c r="R109" s="54" t="n"/>
      <c r="S109" s="54" t="n"/>
      <c r="T109" s="54" t="n"/>
      <c r="U109" s="54" t="n"/>
      <c r="V109" s="85" t="n"/>
      <c r="W109" s="85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4" t="n"/>
      <c r="K110" s="54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54" t="n"/>
      <c r="V110" s="85" t="n"/>
      <c r="W110" s="85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4" t="n"/>
      <c r="L111" s="54" t="n"/>
      <c r="M111" s="54" t="n"/>
      <c r="N111" s="54" t="n"/>
      <c r="O111" s="54" t="n"/>
      <c r="P111" s="54" t="n"/>
      <c r="Q111" s="54" t="n"/>
      <c r="R111" s="54" t="n"/>
      <c r="S111" s="54" t="n"/>
      <c r="T111" s="54" t="n"/>
      <c r="U111" s="54" t="n"/>
      <c r="V111" s="85" t="n"/>
      <c r="W111" s="85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4" t="n"/>
      <c r="O112" s="54" t="n"/>
      <c r="P112" s="54" t="n"/>
      <c r="Q112" s="54" t="n"/>
      <c r="R112" s="54" t="n"/>
      <c r="S112" s="54" t="n"/>
      <c r="T112" s="54" t="n"/>
      <c r="U112" s="54" t="n"/>
      <c r="V112" s="85" t="n"/>
      <c r="W112" s="85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4" t="n"/>
      <c r="K113" s="54" t="n"/>
      <c r="L113" s="54" t="n"/>
      <c r="M113" s="54" t="n"/>
      <c r="N113" s="54" t="n"/>
      <c r="O113" s="54" t="n"/>
      <c r="P113" s="54" t="n"/>
      <c r="Q113" s="54" t="n"/>
      <c r="R113" s="54" t="n"/>
      <c r="S113" s="54" t="n"/>
      <c r="T113" s="54" t="n"/>
      <c r="U113" s="54" t="n"/>
      <c r="V113" s="85" t="n"/>
      <c r="W113" s="85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4" t="n"/>
      <c r="L114" s="54" t="n"/>
      <c r="M114" s="54" t="n"/>
      <c r="N114" s="54" t="n"/>
      <c r="O114" s="54" t="n"/>
      <c r="P114" s="54" t="n"/>
      <c r="Q114" s="54" t="n"/>
      <c r="R114" s="54" t="n"/>
      <c r="S114" s="54" t="n"/>
      <c r="T114" s="54" t="n"/>
      <c r="U114" s="54" t="n"/>
      <c r="V114" s="85" t="n"/>
      <c r="W114" s="85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4" t="n"/>
      <c r="K115" s="54" t="n"/>
      <c r="L115" s="54" t="n"/>
      <c r="M115" s="54" t="n"/>
      <c r="N115" s="54" t="n"/>
      <c r="O115" s="54" t="n"/>
      <c r="P115" s="54" t="n"/>
      <c r="Q115" s="54" t="n"/>
      <c r="R115" s="54" t="n"/>
      <c r="S115" s="54" t="n"/>
      <c r="T115" s="54" t="n"/>
      <c r="U115" s="54" t="n"/>
      <c r="V115" s="85" t="n"/>
      <c r="W115" s="85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4" t="n"/>
      <c r="K116" s="54" t="n"/>
      <c r="L116" s="54" t="n"/>
      <c r="M116" s="54" t="n"/>
      <c r="N116" s="54" t="n"/>
      <c r="O116" s="54" t="n"/>
      <c r="P116" s="54" t="n"/>
      <c r="Q116" s="54" t="n"/>
      <c r="R116" s="54" t="n"/>
      <c r="S116" s="54" t="n"/>
      <c r="T116" s="54" t="n"/>
      <c r="U116" s="54" t="n"/>
      <c r="V116" s="85" t="n"/>
      <c r="W116" s="85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  <c r="K117" s="54" t="n"/>
      <c r="L117" s="54" t="n"/>
      <c r="M117" s="54" t="n"/>
      <c r="N117" s="54" t="n"/>
      <c r="O117" s="54" t="n"/>
      <c r="P117" s="54" t="n"/>
      <c r="Q117" s="54" t="n"/>
      <c r="R117" s="54" t="n"/>
      <c r="S117" s="54" t="n"/>
      <c r="T117" s="54" t="n"/>
      <c r="U117" s="54" t="n"/>
      <c r="V117" s="85" t="n"/>
      <c r="W117" s="85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4" t="n"/>
      <c r="K118" s="54" t="n"/>
      <c r="L118" s="54" t="n"/>
      <c r="M118" s="54" t="n"/>
      <c r="N118" s="54" t="n"/>
      <c r="O118" s="54" t="n"/>
      <c r="P118" s="54" t="n"/>
      <c r="Q118" s="54" t="n"/>
      <c r="R118" s="54" t="n"/>
      <c r="S118" s="54" t="n"/>
      <c r="T118" s="54" t="n"/>
      <c r="U118" s="54" t="n"/>
      <c r="V118" s="85" t="n"/>
      <c r="W118" s="85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4" t="n"/>
      <c r="K119" s="54" t="n"/>
      <c r="L119" s="54" t="n"/>
      <c r="M119" s="54" t="n"/>
      <c r="N119" s="54" t="n"/>
      <c r="O119" s="54" t="n"/>
      <c r="P119" s="54" t="n"/>
      <c r="Q119" s="54" t="n"/>
      <c r="R119" s="54" t="n"/>
      <c r="S119" s="54" t="n"/>
      <c r="T119" s="54" t="n"/>
      <c r="U119" s="54" t="n"/>
      <c r="V119" s="85" t="n"/>
      <c r="W119" s="85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4" t="n"/>
      <c r="L120" s="54" t="n"/>
      <c r="M120" s="54" t="n"/>
      <c r="N120" s="54" t="n"/>
      <c r="O120" s="54" t="n"/>
      <c r="P120" s="54" t="n"/>
      <c r="Q120" s="54" t="n"/>
      <c r="R120" s="54" t="n"/>
      <c r="S120" s="54" t="n"/>
      <c r="T120" s="54" t="n"/>
      <c r="U120" s="54" t="n"/>
      <c r="V120" s="85" t="n"/>
      <c r="W120" s="85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4" t="n"/>
      <c r="K121" s="54" t="n"/>
      <c r="L121" s="54" t="n"/>
      <c r="M121" s="54" t="n"/>
      <c r="N121" s="54" t="n"/>
      <c r="O121" s="54" t="n"/>
      <c r="P121" s="54" t="n"/>
      <c r="Q121" s="54" t="n"/>
      <c r="R121" s="54" t="n"/>
      <c r="S121" s="54" t="n"/>
      <c r="T121" s="54" t="n"/>
      <c r="U121" s="54" t="n"/>
      <c r="V121" s="85" t="n"/>
      <c r="W121" s="85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4" t="n"/>
      <c r="K122" s="54" t="n"/>
      <c r="L122" s="54" t="n"/>
      <c r="M122" s="54" t="n"/>
      <c r="N122" s="54" t="n"/>
      <c r="O122" s="54" t="n"/>
      <c r="P122" s="54" t="n"/>
      <c r="Q122" s="54" t="n"/>
      <c r="R122" s="54" t="n"/>
      <c r="S122" s="54" t="n"/>
      <c r="T122" s="54" t="n"/>
      <c r="U122" s="54" t="n"/>
      <c r="V122" s="85" t="n"/>
      <c r="W122" s="85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4" t="n"/>
      <c r="U123" s="54" t="n"/>
      <c r="V123" s="85" t="n"/>
      <c r="W123" s="85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4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85" t="n"/>
      <c r="W124" s="85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4" t="n"/>
      <c r="K125" s="54" t="n"/>
      <c r="L125" s="54" t="n"/>
      <c r="M125" s="54" t="n"/>
      <c r="N125" s="54" t="n"/>
      <c r="O125" s="54" t="n"/>
      <c r="P125" s="54" t="n"/>
      <c r="Q125" s="54" t="n"/>
      <c r="R125" s="54" t="n"/>
      <c r="S125" s="54" t="n"/>
      <c r="T125" s="54" t="n"/>
      <c r="U125" s="54" t="n"/>
      <c r="V125" s="85" t="n"/>
      <c r="W125" s="85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85" t="n"/>
      <c r="W126" s="85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4" t="n"/>
      <c r="K127" s="54" t="n"/>
      <c r="L127" s="54" t="n"/>
      <c r="M127" s="54" t="n"/>
      <c r="N127" s="54" t="n"/>
      <c r="O127" s="54" t="n"/>
      <c r="P127" s="54" t="n"/>
      <c r="Q127" s="54" t="n"/>
      <c r="R127" s="54" t="n"/>
      <c r="S127" s="54" t="n"/>
      <c r="T127" s="54" t="n"/>
      <c r="U127" s="54" t="n"/>
      <c r="V127" s="85" t="n"/>
      <c r="W127" s="85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4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85" t="n"/>
      <c r="W128" s="85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4" t="n"/>
      <c r="K129" s="54" t="n"/>
      <c r="L129" s="54" t="n"/>
      <c r="M129" s="54" t="n"/>
      <c r="N129" s="54" t="n"/>
      <c r="O129" s="54" t="n"/>
      <c r="P129" s="54" t="n"/>
      <c r="Q129" s="54" t="n"/>
      <c r="R129" s="54" t="n"/>
      <c r="S129" s="54" t="n"/>
      <c r="T129" s="54" t="n"/>
      <c r="U129" s="54" t="n"/>
      <c r="V129" s="85" t="n"/>
      <c r="W129" s="85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4" t="n"/>
      <c r="K130" s="54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54" t="n"/>
      <c r="V130" s="85" t="n"/>
      <c r="W130" s="85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4" t="n"/>
      <c r="K131" s="54" t="n"/>
      <c r="L131" s="54" t="n"/>
      <c r="M131" s="54" t="n"/>
      <c r="N131" s="54" t="n"/>
      <c r="O131" s="54" t="n"/>
      <c r="P131" s="54" t="n"/>
      <c r="Q131" s="54" t="n"/>
      <c r="R131" s="54" t="n"/>
      <c r="S131" s="54" t="n"/>
      <c r="T131" s="54" t="n"/>
      <c r="U131" s="54" t="n"/>
      <c r="V131" s="85" t="n"/>
      <c r="W131" s="85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4" t="n"/>
      <c r="K132" s="54" t="n"/>
      <c r="L132" s="54" t="n"/>
      <c r="M132" s="54" t="n"/>
      <c r="N132" s="54" t="n"/>
      <c r="O132" s="54" t="n"/>
      <c r="P132" s="54" t="n"/>
      <c r="Q132" s="54" t="n"/>
      <c r="R132" s="54" t="n"/>
      <c r="S132" s="54" t="n"/>
      <c r="T132" s="54" t="n"/>
      <c r="U132" s="54" t="n"/>
      <c r="V132" s="85" t="n"/>
      <c r="W132" s="85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4" t="n"/>
      <c r="L133" s="54" t="n"/>
      <c r="M133" s="54" t="n"/>
      <c r="N133" s="54" t="n"/>
      <c r="O133" s="54" t="n"/>
      <c r="P133" s="54" t="n"/>
      <c r="Q133" s="54" t="n"/>
      <c r="R133" s="54" t="n"/>
      <c r="S133" s="54" t="n"/>
      <c r="T133" s="54" t="n"/>
      <c r="U133" s="54" t="n"/>
      <c r="V133" s="85" t="n"/>
      <c r="W133" s="85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  <c r="K134" s="54" t="n"/>
      <c r="L134" s="54" t="n"/>
      <c r="M134" s="54" t="n"/>
      <c r="N134" s="54" t="n"/>
      <c r="O134" s="54" t="n"/>
      <c r="P134" s="54" t="n"/>
      <c r="Q134" s="54" t="n"/>
      <c r="R134" s="54" t="n"/>
      <c r="S134" s="54" t="n"/>
      <c r="T134" s="54" t="n"/>
      <c r="U134" s="54" t="n"/>
      <c r="V134" s="85" t="n"/>
      <c r="W134" s="85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4" t="n"/>
      <c r="K135" s="54" t="n"/>
      <c r="L135" s="54" t="n"/>
      <c r="M135" s="54" t="n"/>
      <c r="N135" s="54" t="n"/>
      <c r="O135" s="54" t="n"/>
      <c r="P135" s="54" t="n"/>
      <c r="Q135" s="54" t="n"/>
      <c r="R135" s="54" t="n"/>
      <c r="S135" s="54" t="n"/>
      <c r="T135" s="54" t="n"/>
      <c r="U135" s="54" t="n"/>
      <c r="V135" s="85" t="n"/>
      <c r="W135" s="85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4" t="n"/>
      <c r="K136" s="54" t="n"/>
      <c r="L136" s="54" t="n"/>
      <c r="M136" s="54" t="n"/>
      <c r="N136" s="54" t="n"/>
      <c r="O136" s="54" t="n"/>
      <c r="P136" s="54" t="n"/>
      <c r="Q136" s="54" t="n"/>
      <c r="R136" s="54" t="n"/>
      <c r="S136" s="54" t="n"/>
      <c r="T136" s="54" t="n"/>
      <c r="U136" s="54" t="n"/>
      <c r="V136" s="85" t="n"/>
      <c r="W136" s="85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4" t="n"/>
      <c r="K137" s="54" t="n"/>
      <c r="L137" s="54" t="n"/>
      <c r="M137" s="54" t="n"/>
      <c r="N137" s="54" t="n"/>
      <c r="O137" s="54" t="n"/>
      <c r="P137" s="54" t="n"/>
      <c r="Q137" s="54" t="n"/>
      <c r="R137" s="54" t="n"/>
      <c r="S137" s="54" t="n"/>
      <c r="T137" s="54" t="n"/>
      <c r="U137" s="54" t="n"/>
      <c r="V137" s="85" t="n"/>
      <c r="W137" s="85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4" t="n"/>
      <c r="K138" s="54" t="n"/>
      <c r="L138" s="54" t="n"/>
      <c r="M138" s="54" t="n"/>
      <c r="N138" s="54" t="n"/>
      <c r="O138" s="54" t="n"/>
      <c r="P138" s="54" t="n"/>
      <c r="Q138" s="54" t="n"/>
      <c r="R138" s="54" t="n"/>
      <c r="S138" s="54" t="n"/>
      <c r="T138" s="54" t="n"/>
      <c r="U138" s="54" t="n"/>
      <c r="V138" s="85" t="n"/>
      <c r="W138" s="85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4" t="n"/>
      <c r="K139" s="54" t="n"/>
      <c r="L139" s="54" t="n"/>
      <c r="M139" s="54" t="n"/>
      <c r="N139" s="54" t="n"/>
      <c r="O139" s="54" t="n"/>
      <c r="P139" s="54" t="n"/>
      <c r="Q139" s="54" t="n"/>
      <c r="R139" s="54" t="n"/>
      <c r="S139" s="54" t="n"/>
      <c r="T139" s="54" t="n"/>
      <c r="U139" s="54" t="n"/>
      <c r="V139" s="85" t="n"/>
      <c r="W139" s="85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  <c r="K140" s="54" t="n"/>
      <c r="L140" s="54" t="n"/>
      <c r="M140" s="54" t="n"/>
      <c r="N140" s="54" t="n"/>
      <c r="O140" s="54" t="n"/>
      <c r="P140" s="54" t="n"/>
      <c r="Q140" s="54" t="n"/>
      <c r="R140" s="54" t="n"/>
      <c r="S140" s="54" t="n"/>
      <c r="T140" s="54" t="n"/>
      <c r="U140" s="54" t="n"/>
      <c r="V140" s="85" t="n"/>
      <c r="W140" s="85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4" t="n"/>
      <c r="K141" s="54" t="n"/>
      <c r="L141" s="54" t="n"/>
      <c r="M141" s="54" t="n"/>
      <c r="N141" s="54" t="n"/>
      <c r="O141" s="54" t="n"/>
      <c r="P141" s="54" t="n"/>
      <c r="Q141" s="54" t="n"/>
      <c r="R141" s="54" t="n"/>
      <c r="S141" s="54" t="n"/>
      <c r="T141" s="54" t="n"/>
      <c r="U141" s="54" t="n"/>
      <c r="V141" s="85" t="n"/>
      <c r="W141" s="85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  <c r="O142" s="54" t="n"/>
      <c r="P142" s="54" t="n"/>
      <c r="Q142" s="54" t="n"/>
      <c r="R142" s="54" t="n"/>
      <c r="S142" s="54" t="n"/>
      <c r="T142" s="54" t="n"/>
      <c r="U142" s="54" t="n"/>
      <c r="V142" s="85" t="n"/>
      <c r="W142" s="85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4" t="n"/>
      <c r="K143" s="54" t="n"/>
      <c r="L143" s="54" t="n"/>
      <c r="M143" s="54" t="n"/>
      <c r="N143" s="54" t="n"/>
      <c r="O143" s="54" t="n"/>
      <c r="P143" s="54" t="n"/>
      <c r="Q143" s="54" t="n"/>
      <c r="R143" s="54" t="n"/>
      <c r="S143" s="54" t="n"/>
      <c r="T143" s="54" t="n"/>
      <c r="U143" s="54" t="n"/>
      <c r="V143" s="85" t="n"/>
      <c r="W143" s="85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4" t="n"/>
      <c r="K144" s="54" t="n"/>
      <c r="L144" s="54" t="n"/>
      <c r="M144" s="54" t="n"/>
      <c r="N144" s="54" t="n"/>
      <c r="O144" s="54" t="n"/>
      <c r="P144" s="54" t="n"/>
      <c r="Q144" s="54" t="n"/>
      <c r="R144" s="54" t="n"/>
      <c r="S144" s="54" t="n"/>
      <c r="T144" s="54" t="n"/>
      <c r="U144" s="54" t="n"/>
      <c r="V144" s="85" t="n"/>
      <c r="W144" s="85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4" t="n"/>
      <c r="K145" s="54" t="n"/>
      <c r="L145" s="54" t="n"/>
      <c r="M145" s="54" t="n"/>
      <c r="N145" s="54" t="n"/>
      <c r="O145" s="54" t="n"/>
      <c r="P145" s="54" t="n"/>
      <c r="Q145" s="54" t="n"/>
      <c r="R145" s="54" t="n"/>
      <c r="S145" s="54" t="n"/>
      <c r="T145" s="54" t="n"/>
      <c r="U145" s="54" t="n"/>
      <c r="V145" s="85" t="n"/>
      <c r="W145" s="85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4" t="n"/>
      <c r="K146" s="54" t="n"/>
      <c r="L146" s="54" t="n"/>
      <c r="M146" s="54" t="n"/>
      <c r="N146" s="54" t="n"/>
      <c r="O146" s="54" t="n"/>
      <c r="P146" s="54" t="n"/>
      <c r="Q146" s="54" t="n"/>
      <c r="R146" s="54" t="n"/>
      <c r="S146" s="54" t="n"/>
      <c r="T146" s="54" t="n"/>
      <c r="U146" s="54" t="n"/>
      <c r="V146" s="85" t="n"/>
      <c r="W146" s="85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4" t="n"/>
      <c r="K147" s="54" t="n"/>
      <c r="L147" s="54" t="n"/>
      <c r="M147" s="54" t="n"/>
      <c r="N147" s="54" t="n"/>
      <c r="O147" s="54" t="n"/>
      <c r="P147" s="54" t="n"/>
      <c r="Q147" s="54" t="n"/>
      <c r="R147" s="54" t="n"/>
      <c r="S147" s="54" t="n"/>
      <c r="T147" s="54" t="n"/>
      <c r="U147" s="54" t="n"/>
      <c r="V147" s="85" t="n"/>
      <c r="W147" s="85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4" t="n"/>
      <c r="K148" s="54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54" t="n"/>
      <c r="V148" s="85" t="n"/>
      <c r="W148" s="85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4" t="n"/>
      <c r="K149" s="54" t="n"/>
      <c r="L149" s="54" t="n"/>
      <c r="M149" s="54" t="n"/>
      <c r="N149" s="54" t="n"/>
      <c r="O149" s="54" t="n"/>
      <c r="P149" s="54" t="n"/>
      <c r="Q149" s="54" t="n"/>
      <c r="R149" s="54" t="n"/>
      <c r="S149" s="54" t="n"/>
      <c r="T149" s="54" t="n"/>
      <c r="U149" s="54" t="n"/>
      <c r="V149" s="85" t="n"/>
      <c r="W149" s="85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4" t="n"/>
      <c r="K150" s="54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54" t="n"/>
      <c r="V150" s="85" t="n"/>
      <c r="W150" s="85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4" t="n"/>
      <c r="L151" s="54" t="n"/>
      <c r="M151" s="54" t="n"/>
      <c r="N151" s="54" t="n"/>
      <c r="O151" s="54" t="n"/>
      <c r="P151" s="54" t="n"/>
      <c r="Q151" s="54" t="n"/>
      <c r="R151" s="54" t="n"/>
      <c r="S151" s="54" t="n"/>
      <c r="T151" s="54" t="n"/>
      <c r="U151" s="54" t="n"/>
      <c r="V151" s="85" t="n"/>
      <c r="W151" s="85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4" t="n"/>
      <c r="K152" s="54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85" t="n"/>
      <c r="W152" s="85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4" t="n"/>
      <c r="K153" s="54" t="n"/>
      <c r="L153" s="54" t="n"/>
      <c r="M153" s="54" t="n"/>
      <c r="N153" s="54" t="n"/>
      <c r="O153" s="54" t="n"/>
      <c r="P153" s="54" t="n"/>
      <c r="Q153" s="54" t="n"/>
      <c r="R153" s="54" t="n"/>
      <c r="S153" s="54" t="n"/>
      <c r="T153" s="54" t="n"/>
      <c r="U153" s="54" t="n"/>
      <c r="V153" s="85" t="n"/>
      <c r="W153" s="85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4" t="n"/>
      <c r="K154" s="54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85" t="n"/>
      <c r="W154" s="85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4" t="n"/>
      <c r="K155" s="54" t="n"/>
      <c r="L155" s="54" t="n"/>
      <c r="M155" s="54" t="n"/>
      <c r="N155" s="54" t="n"/>
      <c r="O155" s="54" t="n"/>
      <c r="P155" s="54" t="n"/>
      <c r="Q155" s="54" t="n"/>
      <c r="R155" s="54" t="n"/>
      <c r="S155" s="54" t="n"/>
      <c r="T155" s="54" t="n"/>
      <c r="U155" s="54" t="n"/>
      <c r="V155" s="85" t="n"/>
      <c r="W155" s="85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4" t="n"/>
      <c r="K156" s="54" t="n"/>
      <c r="L156" s="54" t="n"/>
      <c r="M156" s="54" t="n"/>
      <c r="N156" s="54" t="n"/>
      <c r="O156" s="54" t="n"/>
      <c r="P156" s="54" t="n"/>
      <c r="Q156" s="54" t="n"/>
      <c r="R156" s="54" t="n"/>
      <c r="S156" s="54" t="n"/>
      <c r="T156" s="54" t="n"/>
      <c r="U156" s="54" t="n"/>
      <c r="V156" s="85" t="n"/>
      <c r="W156" s="85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4" t="n"/>
      <c r="K157" s="54" t="n"/>
      <c r="L157" s="54" t="n"/>
      <c r="M157" s="54" t="n"/>
      <c r="N157" s="54" t="n"/>
      <c r="O157" s="54" t="n"/>
      <c r="P157" s="54" t="n"/>
      <c r="Q157" s="54" t="n"/>
      <c r="R157" s="54" t="n"/>
      <c r="S157" s="54" t="n"/>
      <c r="T157" s="54" t="n"/>
      <c r="U157" s="54" t="n"/>
      <c r="V157" s="85" t="n"/>
      <c r="W157" s="85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4" t="n"/>
      <c r="K158" s="54" t="n"/>
      <c r="L158" s="54" t="n"/>
      <c r="M158" s="54" t="n"/>
      <c r="N158" s="54" t="n"/>
      <c r="O158" s="54" t="n"/>
      <c r="P158" s="54" t="n"/>
      <c r="Q158" s="54" t="n"/>
      <c r="R158" s="54" t="n"/>
      <c r="S158" s="54" t="n"/>
      <c r="T158" s="54" t="n"/>
      <c r="U158" s="54" t="n"/>
      <c r="V158" s="85" t="n"/>
      <c r="W158" s="85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4" t="n"/>
      <c r="K159" s="54" t="n"/>
      <c r="L159" s="54" t="n"/>
      <c r="M159" s="54" t="n"/>
      <c r="N159" s="54" t="n"/>
      <c r="O159" s="54" t="n"/>
      <c r="P159" s="54" t="n"/>
      <c r="Q159" s="54" t="n"/>
      <c r="R159" s="54" t="n"/>
      <c r="S159" s="54" t="n"/>
      <c r="T159" s="54" t="n"/>
      <c r="U159" s="54" t="n"/>
      <c r="V159" s="85" t="n"/>
      <c r="W159" s="85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4" t="n"/>
      <c r="L160" s="54" t="n"/>
      <c r="M160" s="54" t="n"/>
      <c r="N160" s="54" t="n"/>
      <c r="O160" s="54" t="n"/>
      <c r="P160" s="54" t="n"/>
      <c r="Q160" s="54" t="n"/>
      <c r="R160" s="54" t="n"/>
      <c r="S160" s="54" t="n"/>
      <c r="T160" s="54" t="n"/>
      <c r="U160" s="54" t="n"/>
      <c r="V160" s="85" t="n"/>
      <c r="W160" s="85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4" t="n"/>
      <c r="K161" s="54" t="n"/>
      <c r="L161" s="54" t="n"/>
      <c r="M161" s="54" t="n"/>
      <c r="N161" s="54" t="n"/>
      <c r="O161" s="54" t="n"/>
      <c r="P161" s="54" t="n"/>
      <c r="Q161" s="54" t="n"/>
      <c r="R161" s="54" t="n"/>
      <c r="S161" s="54" t="n"/>
      <c r="T161" s="54" t="n"/>
      <c r="U161" s="54" t="n"/>
      <c r="V161" s="85" t="n"/>
      <c r="W161" s="85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4" t="n"/>
      <c r="K162" s="54" t="n"/>
      <c r="L162" s="54" t="n"/>
      <c r="M162" s="54" t="n"/>
      <c r="N162" s="54" t="n"/>
      <c r="O162" s="54" t="n"/>
      <c r="P162" s="54" t="n"/>
      <c r="Q162" s="54" t="n"/>
      <c r="R162" s="54" t="n"/>
      <c r="S162" s="54" t="n"/>
      <c r="T162" s="54" t="n"/>
      <c r="U162" s="54" t="n"/>
      <c r="V162" s="85" t="n"/>
      <c r="W162" s="85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4" t="n"/>
      <c r="K163" s="54" t="n"/>
      <c r="L163" s="54" t="n"/>
      <c r="M163" s="54" t="n"/>
      <c r="N163" s="54" t="n"/>
      <c r="O163" s="54" t="n"/>
      <c r="P163" s="54" t="n"/>
      <c r="Q163" s="54" t="n"/>
      <c r="R163" s="54" t="n"/>
      <c r="S163" s="54" t="n"/>
      <c r="T163" s="54" t="n"/>
      <c r="U163" s="54" t="n"/>
      <c r="V163" s="85" t="n"/>
      <c r="W163" s="85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4" t="n"/>
      <c r="K164" s="54" t="n"/>
      <c r="L164" s="54" t="n"/>
      <c r="M164" s="54" t="n"/>
      <c r="N164" s="54" t="n"/>
      <c r="O164" s="54" t="n"/>
      <c r="P164" s="54" t="n"/>
      <c r="Q164" s="54" t="n"/>
      <c r="R164" s="54" t="n"/>
      <c r="S164" s="54" t="n"/>
      <c r="T164" s="54" t="n"/>
      <c r="U164" s="54" t="n"/>
      <c r="V164" s="85" t="n"/>
      <c r="W164" s="85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4" t="n"/>
      <c r="K165" s="54" t="n"/>
      <c r="L165" s="54" t="n"/>
      <c r="M165" s="54" t="n"/>
      <c r="N165" s="54" t="n"/>
      <c r="O165" s="54" t="n"/>
      <c r="P165" s="54" t="n"/>
      <c r="Q165" s="54" t="n"/>
      <c r="R165" s="54" t="n"/>
      <c r="S165" s="54" t="n"/>
      <c r="T165" s="54" t="n"/>
      <c r="U165" s="54" t="n"/>
      <c r="V165" s="85" t="n"/>
      <c r="W165" s="85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4" t="n"/>
      <c r="K166" s="54" t="n"/>
      <c r="L166" s="54" t="n"/>
      <c r="M166" s="54" t="n"/>
      <c r="N166" s="54" t="n"/>
      <c r="O166" s="54" t="n"/>
      <c r="P166" s="54" t="n"/>
      <c r="Q166" s="54" t="n"/>
      <c r="R166" s="54" t="n"/>
      <c r="S166" s="54" t="n"/>
      <c r="T166" s="54" t="n"/>
      <c r="U166" s="54" t="n"/>
      <c r="V166" s="85" t="n"/>
      <c r="W166" s="85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4" t="n"/>
      <c r="K167" s="54" t="n"/>
      <c r="L167" s="54" t="n"/>
      <c r="M167" s="54" t="n"/>
      <c r="N167" s="54" t="n"/>
      <c r="O167" s="54" t="n"/>
      <c r="P167" s="54" t="n"/>
      <c r="Q167" s="54" t="n"/>
      <c r="R167" s="54" t="n"/>
      <c r="S167" s="54" t="n"/>
      <c r="T167" s="54" t="n"/>
      <c r="U167" s="54" t="n"/>
      <c r="V167" s="85" t="n"/>
      <c r="W167" s="85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54" t="n"/>
      <c r="V168" s="85" t="n"/>
      <c r="W168" s="85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4" t="n"/>
      <c r="L169" s="54" t="n"/>
      <c r="M169" s="54" t="n"/>
      <c r="N169" s="54" t="n"/>
      <c r="O169" s="54" t="n"/>
      <c r="P169" s="54" t="n"/>
      <c r="Q169" s="54" t="n"/>
      <c r="R169" s="54" t="n"/>
      <c r="S169" s="54" t="n"/>
      <c r="T169" s="54" t="n"/>
      <c r="U169" s="54" t="n"/>
      <c r="V169" s="85" t="n"/>
      <c r="W169" s="85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85" t="n"/>
      <c r="W170" s="85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4" t="n"/>
      <c r="K171" s="54" t="n"/>
      <c r="L171" s="54" t="n"/>
      <c r="M171" s="54" t="n"/>
      <c r="N171" s="54" t="n"/>
      <c r="O171" s="54" t="n"/>
      <c r="P171" s="54" t="n"/>
      <c r="Q171" s="54" t="n"/>
      <c r="R171" s="54" t="n"/>
      <c r="S171" s="54" t="n"/>
      <c r="T171" s="54" t="n"/>
      <c r="U171" s="54" t="n"/>
      <c r="V171" s="85" t="n"/>
      <c r="W171" s="85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4" t="n"/>
      <c r="K172" s="54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85" t="n"/>
      <c r="W172" s="85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4" t="n"/>
      <c r="K173" s="54" t="n"/>
      <c r="L173" s="54" t="n"/>
      <c r="M173" s="54" t="n"/>
      <c r="N173" s="54" t="n"/>
      <c r="O173" s="54" t="n"/>
      <c r="P173" s="54" t="n"/>
      <c r="Q173" s="54" t="n"/>
      <c r="R173" s="54" t="n"/>
      <c r="S173" s="54" t="n"/>
      <c r="T173" s="54" t="n"/>
      <c r="U173" s="54" t="n"/>
      <c r="V173" s="85" t="n"/>
      <c r="W173" s="85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4" t="n"/>
      <c r="K174" s="54" t="n"/>
      <c r="L174" s="54" t="n"/>
      <c r="M174" s="54" t="n"/>
      <c r="N174" s="54" t="n"/>
      <c r="O174" s="54" t="n"/>
      <c r="P174" s="54" t="n"/>
      <c r="Q174" s="54" t="n"/>
      <c r="R174" s="54" t="n"/>
      <c r="S174" s="54" t="n"/>
      <c r="T174" s="54" t="n"/>
      <c r="U174" s="54" t="n"/>
      <c r="V174" s="85" t="n"/>
      <c r="W174" s="85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4" t="n"/>
      <c r="K175" s="54" t="n"/>
      <c r="L175" s="54" t="n"/>
      <c r="M175" s="54" t="n"/>
      <c r="N175" s="54" t="n"/>
      <c r="O175" s="54" t="n"/>
      <c r="P175" s="54" t="n"/>
      <c r="Q175" s="54" t="n"/>
      <c r="R175" s="54" t="n"/>
      <c r="S175" s="54" t="n"/>
      <c r="T175" s="54" t="n"/>
      <c r="U175" s="54" t="n"/>
      <c r="V175" s="85" t="n"/>
      <c r="W175" s="85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4" t="n"/>
      <c r="K176" s="54" t="n"/>
      <c r="L176" s="54" t="n"/>
      <c r="M176" s="54" t="n"/>
      <c r="N176" s="54" t="n"/>
      <c r="O176" s="54" t="n"/>
      <c r="P176" s="54" t="n"/>
      <c r="Q176" s="54" t="n"/>
      <c r="R176" s="54" t="n"/>
      <c r="S176" s="54" t="n"/>
      <c r="T176" s="54" t="n"/>
      <c r="U176" s="54" t="n"/>
      <c r="V176" s="85" t="n"/>
      <c r="W176" s="85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4" t="n"/>
      <c r="K177" s="54" t="n"/>
      <c r="L177" s="54" t="n"/>
      <c r="M177" s="54" t="n"/>
      <c r="N177" s="54" t="n"/>
      <c r="O177" s="54" t="n"/>
      <c r="P177" s="54" t="n"/>
      <c r="Q177" s="54" t="n"/>
      <c r="R177" s="54" t="n"/>
      <c r="S177" s="54" t="n"/>
      <c r="T177" s="54" t="n"/>
      <c r="U177" s="54" t="n"/>
      <c r="V177" s="85" t="n"/>
      <c r="W177" s="85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4" t="n"/>
      <c r="L178" s="54" t="n"/>
      <c r="M178" s="54" t="n"/>
      <c r="N178" s="54" t="n"/>
      <c r="O178" s="54" t="n"/>
      <c r="P178" s="54" t="n"/>
      <c r="Q178" s="54" t="n"/>
      <c r="R178" s="54" t="n"/>
      <c r="S178" s="54" t="n"/>
      <c r="T178" s="54" t="n"/>
      <c r="U178" s="54" t="n"/>
      <c r="V178" s="85" t="n"/>
      <c r="W178" s="85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4" t="n"/>
      <c r="K179" s="54" t="n"/>
      <c r="L179" s="54" t="n"/>
      <c r="M179" s="54" t="n"/>
      <c r="N179" s="54" t="n"/>
      <c r="O179" s="54" t="n"/>
      <c r="P179" s="54" t="n"/>
      <c r="Q179" s="54" t="n"/>
      <c r="R179" s="54" t="n"/>
      <c r="S179" s="54" t="n"/>
      <c r="T179" s="54" t="n"/>
      <c r="U179" s="54" t="n"/>
      <c r="V179" s="85" t="n"/>
      <c r="W179" s="85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4" t="n"/>
      <c r="K180" s="54" t="n"/>
      <c r="L180" s="54" t="n"/>
      <c r="M180" s="54" t="n"/>
      <c r="N180" s="54" t="n"/>
      <c r="O180" s="54" t="n"/>
      <c r="P180" s="54" t="n"/>
      <c r="Q180" s="54" t="n"/>
      <c r="R180" s="54" t="n"/>
      <c r="S180" s="54" t="n"/>
      <c r="T180" s="54" t="n"/>
      <c r="U180" s="54" t="n"/>
      <c r="V180" s="85" t="n"/>
      <c r="W180" s="85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4" t="n"/>
      <c r="K181" s="54" t="n"/>
      <c r="L181" s="54" t="n"/>
      <c r="M181" s="54" t="n"/>
      <c r="N181" s="54" t="n"/>
      <c r="O181" s="54" t="n"/>
      <c r="P181" s="54" t="n"/>
      <c r="Q181" s="54" t="n"/>
      <c r="R181" s="54" t="n"/>
      <c r="S181" s="54" t="n"/>
      <c r="T181" s="54" t="n"/>
      <c r="U181" s="54" t="n"/>
      <c r="V181" s="85" t="n"/>
      <c r="W181" s="85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4" t="n"/>
      <c r="K182" s="54" t="n"/>
      <c r="L182" s="54" t="n"/>
      <c r="M182" s="54" t="n"/>
      <c r="N182" s="54" t="n"/>
      <c r="O182" s="54" t="n"/>
      <c r="P182" s="54" t="n"/>
      <c r="Q182" s="54" t="n"/>
      <c r="R182" s="54" t="n"/>
      <c r="S182" s="54" t="n"/>
      <c r="T182" s="54" t="n"/>
      <c r="U182" s="54" t="n"/>
      <c r="V182" s="85" t="n"/>
      <c r="W182" s="85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4" t="n"/>
      <c r="K183" s="54" t="n"/>
      <c r="L183" s="54" t="n"/>
      <c r="M183" s="54" t="n"/>
      <c r="N183" s="54" t="n"/>
      <c r="O183" s="54" t="n"/>
      <c r="P183" s="54" t="n"/>
      <c r="Q183" s="54" t="n"/>
      <c r="R183" s="54" t="n"/>
      <c r="S183" s="54" t="n"/>
      <c r="T183" s="54" t="n"/>
      <c r="U183" s="54" t="n"/>
      <c r="V183" s="85" t="n"/>
      <c r="W183" s="85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4" t="n"/>
      <c r="K184" s="54" t="n"/>
      <c r="L184" s="54" t="n"/>
      <c r="M184" s="54" t="n"/>
      <c r="N184" s="54" t="n"/>
      <c r="O184" s="54" t="n"/>
      <c r="P184" s="54" t="n"/>
      <c r="Q184" s="54" t="n"/>
      <c r="R184" s="54" t="n"/>
      <c r="S184" s="54" t="n"/>
      <c r="T184" s="54" t="n"/>
      <c r="U184" s="54" t="n"/>
      <c r="V184" s="85" t="n"/>
      <c r="W184" s="85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4" t="n"/>
      <c r="K185" s="54" t="n"/>
      <c r="L185" s="54" t="n"/>
      <c r="M185" s="54" t="n"/>
      <c r="N185" s="54" t="n"/>
      <c r="O185" s="54" t="n"/>
      <c r="P185" s="54" t="n"/>
      <c r="Q185" s="54" t="n"/>
      <c r="R185" s="54" t="n"/>
      <c r="S185" s="54" t="n"/>
      <c r="T185" s="54" t="n"/>
      <c r="U185" s="54" t="n"/>
      <c r="V185" s="85" t="n"/>
      <c r="W185" s="85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4" t="n"/>
      <c r="K186" s="54" t="n"/>
      <c r="L186" s="54" t="n"/>
      <c r="M186" s="54" t="n"/>
      <c r="N186" s="54" t="n"/>
      <c r="O186" s="54" t="n"/>
      <c r="P186" s="54" t="n"/>
      <c r="Q186" s="54" t="n"/>
      <c r="R186" s="54" t="n"/>
      <c r="S186" s="54" t="n"/>
      <c r="T186" s="54" t="n"/>
      <c r="U186" s="54" t="n"/>
      <c r="V186" s="85" t="n"/>
      <c r="W186" s="85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4" t="n"/>
      <c r="L187" s="54" t="n"/>
      <c r="M187" s="54" t="n"/>
      <c r="N187" s="54" t="n"/>
      <c r="O187" s="54" t="n"/>
      <c r="P187" s="54" t="n"/>
      <c r="Q187" s="54" t="n"/>
      <c r="R187" s="54" t="n"/>
      <c r="S187" s="54" t="n"/>
      <c r="T187" s="54" t="n"/>
      <c r="U187" s="54" t="n"/>
      <c r="V187" s="85" t="n"/>
      <c r="W187" s="85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4" t="n"/>
      <c r="K188" s="54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85" t="n"/>
      <c r="W188" s="85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4" t="n"/>
      <c r="K189" s="54" t="n"/>
      <c r="L189" s="54" t="n"/>
      <c r="M189" s="54" t="n"/>
      <c r="N189" s="54" t="n"/>
      <c r="O189" s="54" t="n"/>
      <c r="P189" s="54" t="n"/>
      <c r="Q189" s="54" t="n"/>
      <c r="R189" s="54" t="n"/>
      <c r="S189" s="54" t="n"/>
      <c r="T189" s="54" t="n"/>
      <c r="U189" s="54" t="n"/>
      <c r="V189" s="85" t="n"/>
      <c r="W189" s="85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4" t="n"/>
      <c r="K190" s="54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54" t="n"/>
      <c r="V190" s="85" t="n"/>
      <c r="W190" s="85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4" t="n"/>
      <c r="K191" s="54" t="n"/>
      <c r="L191" s="54" t="n"/>
      <c r="M191" s="54" t="n"/>
      <c r="N191" s="54" t="n"/>
      <c r="O191" s="54" t="n"/>
      <c r="P191" s="54" t="n"/>
      <c r="Q191" s="54" t="n"/>
      <c r="R191" s="54" t="n"/>
      <c r="S191" s="54" t="n"/>
      <c r="T191" s="54" t="n"/>
      <c r="U191" s="54" t="n"/>
      <c r="V191" s="85" t="n"/>
      <c r="W191" s="85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4" t="n"/>
      <c r="K192" s="54" t="n"/>
      <c r="L192" s="54" t="n"/>
      <c r="M192" s="54" t="n"/>
      <c r="N192" s="54" t="n"/>
      <c r="O192" s="54" t="n"/>
      <c r="P192" s="54" t="n"/>
      <c r="Q192" s="54" t="n"/>
      <c r="R192" s="54" t="n"/>
      <c r="S192" s="54" t="n"/>
      <c r="T192" s="54" t="n"/>
      <c r="U192" s="54" t="n"/>
      <c r="V192" s="85" t="n"/>
      <c r="W192" s="85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4" t="n"/>
      <c r="K193" s="54" t="n"/>
      <c r="L193" s="54" t="n"/>
      <c r="M193" s="54" t="n"/>
      <c r="N193" s="54" t="n"/>
      <c r="O193" s="54" t="n"/>
      <c r="P193" s="54" t="n"/>
      <c r="Q193" s="54" t="n"/>
      <c r="R193" s="54" t="n"/>
      <c r="S193" s="54" t="n"/>
      <c r="T193" s="54" t="n"/>
      <c r="U193" s="54" t="n"/>
      <c r="V193" s="85" t="n"/>
      <c r="W193" s="85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4" t="n"/>
      <c r="K194" s="54" t="n"/>
      <c r="L194" s="54" t="n"/>
      <c r="M194" s="54" t="n"/>
      <c r="N194" s="54" t="n"/>
      <c r="O194" s="54" t="n"/>
      <c r="P194" s="54" t="n"/>
      <c r="Q194" s="54" t="n"/>
      <c r="R194" s="54" t="n"/>
      <c r="S194" s="54" t="n"/>
      <c r="T194" s="54" t="n"/>
      <c r="U194" s="54" t="n"/>
      <c r="V194" s="85" t="n"/>
      <c r="W194" s="85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4" t="n"/>
      <c r="L195" s="54" t="n"/>
      <c r="M195" s="54" t="n"/>
      <c r="N195" s="54" t="n"/>
      <c r="O195" s="54" t="n"/>
      <c r="P195" s="54" t="n"/>
      <c r="Q195" s="54" t="n"/>
      <c r="R195" s="54" t="n"/>
      <c r="S195" s="54" t="n"/>
      <c r="T195" s="54" t="n"/>
      <c r="U195" s="54" t="n"/>
      <c r="V195" s="85" t="n"/>
      <c r="W195" s="85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4" t="n"/>
      <c r="K196" s="54" t="n"/>
      <c r="L196" s="54" t="n"/>
      <c r="M196" s="54" t="n"/>
      <c r="N196" s="54" t="n"/>
      <c r="O196" s="54" t="n"/>
      <c r="P196" s="54" t="n"/>
      <c r="Q196" s="54" t="n"/>
      <c r="R196" s="54" t="n"/>
      <c r="S196" s="54" t="n"/>
      <c r="T196" s="54" t="n"/>
      <c r="U196" s="54" t="n"/>
      <c r="V196" s="85" t="n"/>
      <c r="W196" s="85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4" t="n"/>
      <c r="K197" s="54" t="n"/>
      <c r="L197" s="54" t="n"/>
      <c r="M197" s="54" t="n"/>
      <c r="N197" s="54" t="n"/>
      <c r="O197" s="54" t="n"/>
      <c r="P197" s="54" t="n"/>
      <c r="Q197" s="54" t="n"/>
      <c r="R197" s="54" t="n"/>
      <c r="S197" s="54" t="n"/>
      <c r="T197" s="54" t="n"/>
      <c r="U197" s="54" t="n"/>
      <c r="V197" s="85" t="n"/>
      <c r="W197" s="85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4" t="n"/>
      <c r="K198" s="54" t="n"/>
      <c r="L198" s="54" t="n"/>
      <c r="M198" s="54" t="n"/>
      <c r="N198" s="54" t="n"/>
      <c r="O198" s="54" t="n"/>
      <c r="P198" s="54" t="n"/>
      <c r="Q198" s="54" t="n"/>
      <c r="R198" s="54" t="n"/>
      <c r="S198" s="54" t="n"/>
      <c r="T198" s="54" t="n"/>
      <c r="U198" s="54" t="n"/>
      <c r="V198" s="85" t="n"/>
      <c r="W198" s="85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4" t="n"/>
      <c r="K199" s="54" t="n"/>
      <c r="L199" s="54" t="n"/>
      <c r="M199" s="54" t="n"/>
      <c r="N199" s="54" t="n"/>
      <c r="O199" s="54" t="n"/>
      <c r="P199" s="54" t="n"/>
      <c r="Q199" s="54" t="n"/>
      <c r="R199" s="54" t="n"/>
      <c r="S199" s="54" t="n"/>
      <c r="T199" s="54" t="n"/>
      <c r="U199" s="54" t="n"/>
      <c r="V199" s="85" t="n"/>
      <c r="W199" s="85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4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85" t="n"/>
      <c r="W200" s="85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4" t="n"/>
      <c r="J201" s="54" t="n"/>
      <c r="K201" s="54" t="n"/>
      <c r="L201" s="54" t="n"/>
      <c r="M201" s="54" t="n"/>
      <c r="N201" s="54" t="n"/>
      <c r="O201" s="54" t="n"/>
      <c r="P201" s="54" t="n"/>
      <c r="Q201" s="54" t="n"/>
      <c r="R201" s="54" t="n"/>
      <c r="S201" s="54" t="n"/>
      <c r="T201" s="54" t="n"/>
      <c r="U201" s="54" t="n"/>
      <c r="V201" s="85" t="n"/>
      <c r="W201" s="85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4" t="n"/>
      <c r="J202" s="54" t="n"/>
      <c r="K202" s="54" t="n"/>
      <c r="L202" s="54" t="n"/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85" t="n"/>
      <c r="W202" s="85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4" t="n"/>
      <c r="J203" s="54" t="n"/>
      <c r="K203" s="54" t="n"/>
      <c r="L203" s="54" t="n"/>
      <c r="M203" s="54" t="n"/>
      <c r="N203" s="54" t="n"/>
      <c r="O203" s="54" t="n"/>
      <c r="P203" s="54" t="n"/>
      <c r="Q203" s="54" t="n"/>
      <c r="R203" s="54" t="n"/>
      <c r="S203" s="54" t="n"/>
      <c r="T203" s="54" t="n"/>
      <c r="U203" s="54" t="n"/>
      <c r="V203" s="85" t="n"/>
      <c r="W203" s="85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4" t="n"/>
      <c r="J204" s="54" t="n"/>
      <c r="K204" s="54" t="n"/>
      <c r="L204" s="54" t="n"/>
      <c r="M204" s="54" t="n"/>
      <c r="N204" s="54" t="n"/>
      <c r="O204" s="54" t="n"/>
      <c r="P204" s="54" t="n"/>
      <c r="Q204" s="54" t="n"/>
      <c r="R204" s="54" t="n"/>
      <c r="S204" s="54" t="n"/>
      <c r="T204" s="54" t="n"/>
      <c r="U204" s="54" t="n"/>
      <c r="V204" s="85" t="n"/>
      <c r="W204" s="85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  <c r="K205" s="54" t="n"/>
      <c r="L205" s="54" t="n"/>
      <c r="M205" s="54" t="n"/>
      <c r="N205" s="54" t="n"/>
      <c r="O205" s="54" t="n"/>
      <c r="P205" s="54" t="n"/>
      <c r="Q205" s="54" t="n"/>
      <c r="R205" s="54" t="n"/>
      <c r="S205" s="54" t="n"/>
      <c r="T205" s="54" t="n"/>
      <c r="U205" s="54" t="n"/>
      <c r="V205" s="85" t="n"/>
      <c r="W205" s="85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4" t="n"/>
      <c r="J206" s="54" t="n"/>
      <c r="K206" s="54" t="n"/>
      <c r="L206" s="54" t="n"/>
      <c r="M206" s="54" t="n"/>
      <c r="N206" s="54" t="n"/>
      <c r="O206" s="54" t="n"/>
      <c r="P206" s="54" t="n"/>
      <c r="Q206" s="54" t="n"/>
      <c r="R206" s="54" t="n"/>
      <c r="S206" s="54" t="n"/>
      <c r="T206" s="54" t="n"/>
      <c r="U206" s="54" t="n"/>
      <c r="V206" s="85" t="n"/>
      <c r="W206" s="85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4" t="n"/>
      <c r="J207" s="54" t="n"/>
      <c r="K207" s="54" t="n"/>
      <c r="L207" s="54" t="n"/>
      <c r="M207" s="54" t="n"/>
      <c r="N207" s="54" t="n"/>
      <c r="O207" s="54" t="n"/>
      <c r="P207" s="54" t="n"/>
      <c r="Q207" s="54" t="n"/>
      <c r="R207" s="54" t="n"/>
      <c r="S207" s="54" t="n"/>
      <c r="T207" s="54" t="n"/>
      <c r="U207" s="54" t="n"/>
      <c r="V207" s="85" t="n"/>
      <c r="W207" s="85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4" t="n"/>
      <c r="J208" s="54" t="n"/>
      <c r="K208" s="54" t="n"/>
      <c r="L208" s="54" t="n"/>
      <c r="M208" s="54" t="n"/>
      <c r="N208" s="54" t="n"/>
      <c r="O208" s="54" t="n"/>
      <c r="P208" s="54" t="n"/>
      <c r="Q208" s="54" t="n"/>
      <c r="R208" s="54" t="n"/>
      <c r="S208" s="54" t="n"/>
      <c r="T208" s="54" t="n"/>
      <c r="U208" s="54" t="n"/>
      <c r="V208" s="85" t="n"/>
      <c r="W208" s="85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4" t="n"/>
      <c r="L209" s="54" t="n"/>
      <c r="M209" s="54" t="n"/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85" t="n"/>
      <c r="W209" s="85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85" t="n"/>
      <c r="W210" s="85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85" t="n"/>
      <c r="W211" s="85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85" t="n"/>
      <c r="W212" s="85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85" t="n"/>
      <c r="W213" s="85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85" t="n"/>
      <c r="W214" s="85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85" t="n"/>
      <c r="W215" s="85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85" t="n"/>
      <c r="W216" s="85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85" t="n"/>
      <c r="W217" s="85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85" t="n"/>
      <c r="W218" s="85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85" t="n"/>
      <c r="W219" s="85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85" t="n"/>
      <c r="W220" s="85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85" t="n"/>
      <c r="W221" s="85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85" t="n"/>
      <c r="W222" s="85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85" t="n"/>
      <c r="W223" s="85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85" t="n"/>
      <c r="W224" s="85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85" t="n"/>
      <c r="W225" s="85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85" t="n"/>
      <c r="W226" s="85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85" t="n"/>
      <c r="W227" s="85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85" t="n"/>
      <c r="W228" s="85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85" t="n"/>
      <c r="W229" s="85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85" t="n"/>
      <c r="W230" s="85" t="n"/>
      <c r="X230" s="52" t="n"/>
      <c r="Y230" s="52" t="n"/>
      <c r="Z230" s="52" t="n"/>
    </row>
    <row r="231" ht="15.75" customHeight="1" s="153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85" t="n"/>
      <c r="W231" s="85" t="n"/>
      <c r="X231" s="52" t="n"/>
      <c r="Y231" s="52" t="n"/>
      <c r="Z231" s="52" t="n"/>
    </row>
    <row r="232" ht="15.75" customHeight="1" s="153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85" t="n"/>
      <c r="W232" s="85" t="n"/>
      <c r="X232" s="52" t="n"/>
      <c r="Y232" s="52" t="n"/>
      <c r="Z232" s="52" t="n"/>
    </row>
    <row r="233" ht="15.75" customHeight="1" s="153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85" t="n"/>
      <c r="W233" s="85" t="n"/>
      <c r="X233" s="52" t="n"/>
      <c r="Y233" s="52" t="n"/>
      <c r="Z233" s="52" t="n"/>
    </row>
    <row r="234" ht="15.75" customHeight="1" s="153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85" t="n"/>
      <c r="W234" s="85" t="n"/>
      <c r="X234" s="52" t="n"/>
      <c r="Y234" s="52" t="n"/>
      <c r="Z234" s="52" t="n"/>
    </row>
    <row r="235" ht="15.75" customHeight="1" s="153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85" t="n"/>
      <c r="W235" s="85" t="n"/>
      <c r="X235" s="52" t="n"/>
      <c r="Y235" s="52" t="n"/>
      <c r="Z235" s="52" t="n"/>
    </row>
    <row r="236" ht="15.75" customHeight="1" s="153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85" t="n"/>
      <c r="W236" s="85" t="n"/>
      <c r="X236" s="52" t="n"/>
      <c r="Y236" s="52" t="n"/>
      <c r="Z236" s="52" t="n"/>
    </row>
    <row r="237" ht="15.75" customHeight="1" s="153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85" t="n"/>
      <c r="W237" s="85" t="n"/>
      <c r="X237" s="52" t="n"/>
      <c r="Y237" s="52" t="n"/>
      <c r="Z237" s="52" t="n"/>
    </row>
    <row r="238" ht="15.75" customHeight="1" s="153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85" t="n"/>
      <c r="W238" s="85" t="n"/>
      <c r="X238" s="52" t="n"/>
      <c r="Y238" s="52" t="n"/>
      <c r="Z238" s="52" t="n"/>
    </row>
    <row r="239" ht="15.75" customHeight="1" s="153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85" t="n"/>
      <c r="W239" s="85" t="n"/>
      <c r="X239" s="52" t="n"/>
      <c r="Y239" s="52" t="n"/>
      <c r="Z239" s="52" t="n"/>
    </row>
    <row r="240" ht="15.75" customHeight="1" s="153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85" t="n"/>
      <c r="W240" s="85" t="n"/>
      <c r="X240" s="52" t="n"/>
      <c r="Y240" s="52" t="n"/>
      <c r="Z240" s="52" t="n"/>
    </row>
    <row r="241" ht="15.75" customHeight="1" s="153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85" t="n"/>
      <c r="W241" s="85" t="n"/>
      <c r="X241" s="52" t="n"/>
      <c r="Y241" s="52" t="n"/>
      <c r="Z241" s="52" t="n"/>
    </row>
    <row r="242" ht="15.75" customHeight="1" s="153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85" t="n"/>
      <c r="W242" s="85" t="n"/>
      <c r="X242" s="52" t="n"/>
      <c r="Y242" s="52" t="n"/>
      <c r="Z242" s="52" t="n"/>
    </row>
    <row r="243" ht="15.75" customHeight="1" s="153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85" t="n"/>
      <c r="W243" s="85" t="n"/>
      <c r="X243" s="52" t="n"/>
      <c r="Y243" s="52" t="n"/>
      <c r="Z243" s="52" t="n"/>
    </row>
    <row r="244" ht="15.75" customHeight="1" s="153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85" t="n"/>
      <c r="W244" s="85" t="n"/>
      <c r="X244" s="52" t="n"/>
      <c r="Y244" s="52" t="n"/>
      <c r="Z244" s="52" t="n"/>
    </row>
    <row r="245" ht="15.75" customHeight="1" s="153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85" t="n"/>
      <c r="W245" s="85" t="n"/>
      <c r="X245" s="52" t="n"/>
      <c r="Y245" s="52" t="n"/>
      <c r="Z245" s="52" t="n"/>
    </row>
    <row r="246" ht="15.75" customHeight="1" s="153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85" t="n"/>
      <c r="W246" s="85" t="n"/>
      <c r="X246" s="52" t="n"/>
      <c r="Y246" s="52" t="n"/>
      <c r="Z246" s="52" t="n"/>
    </row>
    <row r="247" ht="15.75" customHeight="1" s="153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85" t="n"/>
      <c r="W247" s="85" t="n"/>
      <c r="X247" s="52" t="n"/>
      <c r="Y247" s="52" t="n"/>
      <c r="Z247" s="52" t="n"/>
    </row>
    <row r="248" ht="15.75" customHeight="1" s="153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85" t="n"/>
      <c r="W248" s="85" t="n"/>
      <c r="X248" s="52" t="n"/>
      <c r="Y248" s="52" t="n"/>
      <c r="Z248" s="52" t="n"/>
    </row>
    <row r="249" ht="15.75" customHeight="1" s="153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85" t="n"/>
      <c r="W249" s="85" t="n"/>
      <c r="X249" s="52" t="n"/>
      <c r="Y249" s="52" t="n"/>
      <c r="Z249" s="52" t="n"/>
    </row>
    <row r="250" ht="15.75" customHeight="1" s="153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85" t="n"/>
      <c r="W250" s="85" t="n"/>
      <c r="X250" s="52" t="n"/>
      <c r="Y250" s="52" t="n"/>
      <c r="Z250" s="52" t="n"/>
    </row>
    <row r="251" ht="15.75" customHeight="1" s="153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85" t="n"/>
      <c r="W251" s="85" t="n"/>
      <c r="X251" s="52" t="n"/>
      <c r="Y251" s="52" t="n"/>
      <c r="Z251" s="52" t="n"/>
    </row>
    <row r="252" ht="15.75" customHeight="1" s="153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85" t="n"/>
      <c r="W252" s="85" t="n"/>
      <c r="X252" s="52" t="n"/>
      <c r="Y252" s="52" t="n"/>
      <c r="Z252" s="52" t="n"/>
    </row>
    <row r="253" ht="15.75" customHeight="1" s="153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85" t="n"/>
      <c r="W253" s="85" t="n"/>
      <c r="X253" s="52" t="n"/>
      <c r="Y253" s="52" t="n"/>
      <c r="Z253" s="52" t="n"/>
    </row>
    <row r="254" ht="15.75" customHeight="1" s="153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85" t="n"/>
      <c r="W254" s="85" t="n"/>
      <c r="X254" s="52" t="n"/>
      <c r="Y254" s="52" t="n"/>
      <c r="Z254" s="52" t="n"/>
    </row>
    <row r="255" ht="15.75" customHeight="1" s="153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85" t="n"/>
      <c r="W255" s="85" t="n"/>
      <c r="X255" s="52" t="n"/>
      <c r="Y255" s="52" t="n"/>
      <c r="Z255" s="52" t="n"/>
    </row>
    <row r="256" ht="15.75" customHeight="1" s="153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85" t="n"/>
      <c r="W256" s="85" t="n"/>
      <c r="X256" s="52" t="n"/>
      <c r="Y256" s="52" t="n"/>
      <c r="Z256" s="52" t="n"/>
    </row>
    <row r="257" ht="15.75" customHeight="1" s="153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85" t="n"/>
      <c r="W257" s="85" t="n"/>
      <c r="X257" s="52" t="n"/>
      <c r="Y257" s="52" t="n"/>
      <c r="Z257" s="52" t="n"/>
    </row>
    <row r="258" ht="15.75" customHeight="1" s="153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85" t="n"/>
      <c r="W258" s="85" t="n"/>
      <c r="X258" s="52" t="n"/>
      <c r="Y258" s="52" t="n"/>
      <c r="Z258" s="52" t="n"/>
    </row>
    <row r="259" ht="15.75" customHeight="1" s="153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85" t="n"/>
      <c r="W259" s="85" t="n"/>
      <c r="X259" s="52" t="n"/>
      <c r="Y259" s="52" t="n"/>
      <c r="Z259" s="52" t="n"/>
    </row>
    <row r="260" ht="15.75" customHeight="1" s="153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85" t="n"/>
      <c r="W260" s="85" t="n"/>
      <c r="X260" s="52" t="n"/>
      <c r="Y260" s="52" t="n"/>
      <c r="Z260" s="52" t="n"/>
    </row>
    <row r="261" ht="15.75" customHeight="1" s="153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85" t="n"/>
      <c r="W261" s="85" t="n"/>
      <c r="X261" s="52" t="n"/>
      <c r="Y261" s="52" t="n"/>
      <c r="Z261" s="52" t="n"/>
    </row>
    <row r="262" ht="15.75" customHeight="1" s="153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85" t="n"/>
      <c r="W262" s="85" t="n"/>
      <c r="X262" s="52" t="n"/>
      <c r="Y262" s="52" t="n"/>
      <c r="Z262" s="52" t="n"/>
    </row>
    <row r="263" ht="15.75" customHeight="1" s="153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85" t="n"/>
      <c r="W263" s="85" t="n"/>
      <c r="X263" s="52" t="n"/>
      <c r="Y263" s="52" t="n"/>
      <c r="Z263" s="52" t="n"/>
    </row>
    <row r="264" ht="15.75" customHeight="1" s="153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85" t="n"/>
      <c r="W264" s="85" t="n"/>
      <c r="X264" s="52" t="n"/>
      <c r="Y264" s="52" t="n"/>
      <c r="Z264" s="52" t="n"/>
    </row>
    <row r="265" ht="15.75" customHeight="1" s="153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85" t="n"/>
      <c r="W265" s="85" t="n"/>
      <c r="X265" s="52" t="n"/>
      <c r="Y265" s="52" t="n"/>
      <c r="Z265" s="52" t="n"/>
    </row>
    <row r="266" ht="15.75" customHeight="1" s="153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85" t="n"/>
      <c r="W266" s="85" t="n"/>
      <c r="X266" s="52" t="n"/>
      <c r="Y266" s="52" t="n"/>
      <c r="Z266" s="52" t="n"/>
    </row>
    <row r="267" ht="15.75" customHeight="1" s="153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85" t="n"/>
      <c r="W267" s="85" t="n"/>
      <c r="X267" s="52" t="n"/>
      <c r="Y267" s="52" t="n"/>
      <c r="Z267" s="52" t="n"/>
    </row>
    <row r="268" ht="15.75" customHeight="1" s="153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85" t="n"/>
      <c r="W268" s="85" t="n"/>
      <c r="X268" s="52" t="n"/>
      <c r="Y268" s="52" t="n"/>
      <c r="Z268" s="52" t="n"/>
    </row>
    <row r="269" ht="15.75" customHeight="1" s="153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85" t="n"/>
      <c r="W269" s="85" t="n"/>
      <c r="X269" s="52" t="n"/>
      <c r="Y269" s="52" t="n"/>
      <c r="Z269" s="52" t="n"/>
    </row>
    <row r="270" ht="15.75" customHeight="1" s="153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85" t="n"/>
      <c r="W270" s="85" t="n"/>
      <c r="X270" s="52" t="n"/>
      <c r="Y270" s="52" t="n"/>
      <c r="Z270" s="52" t="n"/>
    </row>
    <row r="271" ht="15.75" customHeight="1" s="153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85" t="n"/>
      <c r="W271" s="85" t="n"/>
      <c r="X271" s="52" t="n"/>
      <c r="Y271" s="52" t="n"/>
      <c r="Z271" s="52" t="n"/>
    </row>
    <row r="272" ht="15.75" customHeight="1" s="153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85" t="n"/>
      <c r="W272" s="85" t="n"/>
      <c r="X272" s="52" t="n"/>
      <c r="Y272" s="52" t="n"/>
      <c r="Z272" s="52" t="n"/>
    </row>
    <row r="273" ht="15.75" customHeight="1" s="153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85" t="n"/>
      <c r="W273" s="85" t="n"/>
      <c r="X273" s="52" t="n"/>
      <c r="Y273" s="52" t="n"/>
      <c r="Z273" s="52" t="n"/>
    </row>
    <row r="274" ht="15.75" customHeight="1" s="153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85" t="n"/>
      <c r="W274" s="85" t="n"/>
      <c r="X274" s="52" t="n"/>
      <c r="Y274" s="52" t="n"/>
      <c r="Z274" s="52" t="n"/>
    </row>
    <row r="275" ht="15.75" customHeight="1" s="153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85" t="n"/>
      <c r="W275" s="85" t="n"/>
      <c r="X275" s="52" t="n"/>
      <c r="Y275" s="52" t="n"/>
      <c r="Z275" s="52" t="n"/>
    </row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8">
    <mergeCell ref="L2:M2"/>
    <mergeCell ref="E2:G2"/>
    <mergeCell ref="V2:W2"/>
    <mergeCell ref="T2:U2"/>
    <mergeCell ref="H2:K2"/>
    <mergeCell ref="N2:R2"/>
    <mergeCell ref="A2:D2"/>
    <mergeCell ref="A1:U1"/>
  </mergeCells>
  <conditionalFormatting sqref="I4:I107">
    <cfRule type="cellIs" priority="1" operator="equal" dxfId="2">
      <formula>"BET"</formula>
    </cfRule>
    <cfRule type="cellIs" priority="2" operator="equal" dxfId="3">
      <formula>"PASS"</formula>
    </cfRule>
  </conditionalFormatting>
  <conditionalFormatting sqref="M4:M107">
    <cfRule type="expression" priority="3" dxfId="3">
      <formula>ISNUMBER(SEARCH("NO BET",M4))</formula>
    </cfRule>
    <cfRule type="expression" priority="4" dxfId="2">
      <formula>ISNUMBER(SEARCH("PLACE",M4))</formula>
    </cfRule>
    <cfRule type="expression" priority="5" dxfId="4">
      <formula>ISNUMBER(SEARCH("WAIT",M4))</formula>
    </cfRule>
    <cfRule type="expression" priority="6" dxfId="5">
      <formula>ISNUMBER(SEARCH("SKIP",M4))</formula>
    </cfRule>
  </conditionalFormatting>
  <conditionalFormatting sqref="S4:S107">
    <cfRule type="expression" priority="7" dxfId="4">
      <formula>ISNUMBER(SEARCH("⚠",S4))</formula>
    </cfRule>
    <cfRule type="expression" priority="8" dxfId="1">
      <formula>ISNUMBER(SEARCH("✓",S4))</formula>
    </cfRule>
  </conditionalFormatting>
  <dataValidations count="3">
    <dataValidation sqref="L4:L75 N4:N75" showDropDown="0" showInputMessage="0" showErrorMessage="0" allowBlank="1" type="list">
      <formula1>"Y,N"</formula1>
    </dataValidation>
    <dataValidation sqref="O4:O75" showDropDown="0" showInputMessage="0" showErrorMessage="0" allowBlank="1" type="list">
      <formula1>"H,D,A"</formula1>
    </dataValidation>
    <dataValidation sqref="R4:R88" showDropDown="0" showInputMessage="0" showErrorMessage="0" allowBlank="1" type="list">
      <formula1>"H,D,A,Void"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selection activeCell="A1" sqref="A1"/>
    </sheetView>
  </sheetViews>
  <sheetFormatPr baseColWidth="8" defaultColWidth="14.43" defaultRowHeight="15" customHeight="1"/>
  <cols>
    <col width="42" customWidth="1" style="153" min="1" max="1"/>
    <col width="28.14" customWidth="1" style="153" min="2" max="3"/>
    <col width="8.710000000000001" customWidth="1" style="153" min="4" max="6"/>
  </cols>
  <sheetData>
    <row r="1" ht="17.25" customHeight="1" s="153">
      <c r="A1" s="114" t="inlineStr">
        <is>
          <t>SETTINGS &amp; METHODOLOGY</t>
        </is>
      </c>
      <c r="B1" s="54" t="n"/>
      <c r="C1" s="54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 ht="15" customHeight="1" s="153">
      <c r="A2" s="16" t="inlineStr">
        <is>
          <t>Model snapshot: 2026-06-10 14:10 UTC  ·  wc26-matchday-intelligence.vercel.app  ·  engine v2.3.1</t>
        </is>
      </c>
      <c r="B2" s="54" t="n"/>
      <c r="C2" s="54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 ht="15" customHeight="1" s="153">
      <c r="A3" s="115" t="inlineStr">
        <is>
          <t>Starting bankroll (£)</t>
        </is>
      </c>
      <c r="B3" s="116" t="n">
        <v>1000</v>
      </c>
      <c r="C3" s="117" t="inlineStr">
        <is>
          <t>Your pot. £500–£1,000. Everything scales off this.</t>
        </is>
      </c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21.75" customHeight="1" s="153">
      <c r="A4" s="115" t="inlineStr">
        <is>
          <t>Model weight  w</t>
        </is>
      </c>
      <c r="B4" s="118">
        <f>MIN(0.55,MAX(0.15,IF($B$49&lt;&gt;"",$B$49,$B$46+$B$48*IFERROR($B$47,0))))</f>
        <v/>
      </c>
      <c r="C4" s="119" t="inlineStr">
        <is>
          <t>Auto-actuated by CLV (see B46-B49). Stays near 0.35 until you have ≥5 graded closes; then drifts up if your closes beat the market, down if they lag. Hard-pin via B49.</t>
        </is>
      </c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 ht="15" customHeight="1" s="153">
      <c r="A5" s="115" t="inlineStr">
        <is>
          <t>Kelly multiplier</t>
        </is>
      </c>
      <c r="B5" s="120" t="n">
        <v>0.25</v>
      </c>
      <c r="C5" s="117" t="inlineStr">
        <is>
          <t>Quarter-Kelly. Full Kelly assumes your probabilities are exactly right — they are not.</t>
        </is>
      </c>
      <c r="D5" s="52" t="inlineStr">
        <is>
          <t>⚠ Walk-forward 2022 edge = 1.57%. Quarter-Kelly (B5=0.25) is ~2x optimal on this edge — consider B5≈0.10 (one-tenth Kelly) until edge improves.</t>
        </is>
      </c>
      <c r="E5" s="52" t="n"/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 ht="15" customHeight="1" s="153">
      <c r="A6" s="115" t="inlineStr">
        <is>
          <t>Max stake (% of bankroll)</t>
        </is>
      </c>
      <c r="B6" s="120" t="n">
        <v>0.03</v>
      </c>
      <c r="C6" s="117" t="inlineStr">
        <is>
          <t>Hard cap per bet. Big "edges" are usually data errors.</t>
        </is>
      </c>
      <c r="D6" s="52" t="n"/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115" t="inlineStr">
        <is>
          <t>Min EV to bet</t>
        </is>
      </c>
      <c r="B7" s="121" t="n">
        <v>0.025</v>
      </c>
      <c r="C7" s="117" t="inlineStr">
        <is>
          <t>Expected value per £1 must clear this or the margin eats you.</t>
        </is>
      </c>
      <c r="D7" s="52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21.75" customHeight="1" s="153">
      <c r="A8" s="115" t="inlineStr">
        <is>
          <t>Min edge (blend − market, pp)</t>
        </is>
      </c>
      <c r="B8" s="121" t="n">
        <v>0.025</v>
      </c>
      <c r="C8" s="117" t="inlineStr">
        <is>
          <t>Blend must beat the de-vigged market by this. With w=35% this needs your raw model ≈7pp+ above market — deliberate. Most matches should be PASS.</t>
        </is>
      </c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115" t="inlineStr">
        <is>
          <t>Min stake (£)</t>
        </is>
      </c>
      <c r="B9" s="116" t="n">
        <v>2</v>
      </c>
      <c r="C9" s="117" t="inlineStr">
        <is>
          <t>Below this the bet is not worth the click.</t>
        </is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 ht="15" customHeight="1" s="153">
      <c r="A10" s="26" t="inlineStr">
        <is>
          <t>CURRENT BANKROLL (auto)</t>
        </is>
      </c>
      <c r="B10" s="122">
        <f>B3+SUM(Bets!AR2:AR1000)</f>
        <v/>
      </c>
      <c r="C10" s="117" t="inlineStr">
        <is>
          <t>Starting bankroll + settled P&amp;L. Stakes shrink after losses, grow after wins — automatically.</t>
        </is>
      </c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4" t="n"/>
      <c r="B11" s="54" t="n"/>
      <c r="C11" s="54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26" t="inlineStr">
        <is>
          <t>FRACTIONAL → DECIMAL CONVERTER</t>
        </is>
      </c>
      <c r="B12" s="54" t="n"/>
      <c r="C12" s="54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123" t="inlineStr">
        <is>
          <t>Numerator (a in a/b)</t>
        </is>
      </c>
      <c r="B13" s="124" t="n">
        <v>21</v>
      </c>
      <c r="C13" s="54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123" t="inlineStr">
        <is>
          <t>Denominator (b)</t>
        </is>
      </c>
      <c r="B14" s="124" t="n">
        <v>50</v>
      </c>
      <c r="C14" s="54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115" t="inlineStr">
        <is>
          <t>Decimal odds</t>
        </is>
      </c>
      <c r="B15" s="125">
        <f>1+B13/B14</f>
        <v/>
      </c>
      <c r="C15" s="54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 ht="15" customHeight="1" s="153">
      <c r="A16" s="115" t="inlineStr">
        <is>
          <t>Implied probability</t>
        </is>
      </c>
      <c r="B16" s="126">
        <f>1/B15</f>
        <v/>
      </c>
      <c r="C16" s="54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4" t="n"/>
      <c r="B17" s="54" t="n"/>
      <c r="C17" s="54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 ht="26.25" customHeight="1" s="153">
      <c r="A18" s="6" t="inlineStr">
        <is>
          <t>MATCH DAY — 5 BABY STEPS (Matchday tab only)</t>
        </is>
      </c>
      <c r="B18" s="54" t="n"/>
      <c r="C18" s="54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 ht="30" customHeight="1" s="153">
      <c r="A19" s="117" t="inlineStr">
        <is>
          <t>STEP 1 — TYPE THE ODDS.  Find today's match (Date column). In your betting app, set odds display to Decimal (Bet365: Settings → Odds format → Decimal). Type the three prices into the three yellow boxes: Odds 1 = home team, Odds X = draw, Odds 2 = away team. Example: 1.42, 4.50, 8.50.</t>
        </is>
      </c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30" customHeight="1" s="153">
      <c r="A20" s="117" t="inlineStr">
        <is>
          <t>STEP 2 — READ THE ANSWER.  The sheet fills in PICK, DECISION, ENGINE STAKE £ and WHY. PASS → ENGINE STAKE shows "–" and FINAL ACTION shows "❌ NO BET": that IS the engine updating — it answered no, the price is not good enough. Close the app, you are done. Most matches end here; that is the engine saving your money, not failing.</t>
        </is>
      </c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30" customHeight="1" s="153">
      <c r="A21" s="117" t="inlineStr">
        <is>
          <t>STEP 3 — TEAM NEWS + MOTIVATION.  Only when DECISION says BET: open wc26-matchday-intelligence and check injuries, lineups, weather — AND, in the final group round (amber match numbers, 24–27 Jun), whether both teams still have something to play for. All clear → Y. Star out, B-team, storm, or a dead rubber → N. FINAL ACTION then says exactly what to do: 🟢 PLACE, 🟡 WAIT, or 🔴 SKIP. The model cannot see group-table context, so this human check is load-bearing on Matchday 3.</t>
        </is>
      </c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30" customHeight="1" s="153">
      <c r="A22" s="117" t="inlineStr">
        <is>
          <t>STEP 4 — LOG IT.  Bet ONLY the green instruction — exact amount, exact pick, never more. Then type: Placed = Y, Backed = the outcome you bet on (H/D/A), the odds you actually got, and your stake. If STATUS says "odds moved", the price changed too much — delete and retype the odds in Step 1 and check the answer again before betting.</t>
        </is>
      </c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30" customHeight="1" s="153">
      <c r="A23" s="117" t="inlineStr">
        <is>
          <t>STEP 5 — AFTER FULL TIME.  Type the result: H = home won, D = draw, A = away won, Void = abandoned. Bankroll, P&amp;L and all future stake sizes update by themselves. Done.</t>
        </is>
      </c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" customHeight="1" s="153">
      <c r="A24" s="117" t="n"/>
      <c r="B24" s="54" t="n"/>
      <c r="C24" s="54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" customHeight="1" s="153">
      <c r="A25" s="6" t="inlineStr">
        <is>
          <t>GOLDEN RULES</t>
        </is>
      </c>
      <c r="B25" s="54" t="n"/>
      <c r="C25" s="54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30" customHeight="1" s="153">
      <c r="A26" s="117" t="inlineStr">
        <is>
          <t>"Likely to win" is NOT "worth betting". Mexico at 1.42 were very likely to win — the engine still said PASS because the price was too short. The only question that matters: is the bookmaker paying more than the chance is worth?</t>
        </is>
      </c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30" customHeight="1" s="153">
      <c r="A27" s="117" t="inlineStr">
        <is>
          <t>Want to bet on a PASS anyway? Allowed — it is your fun money. But log it, and STATUS will honestly label it "⚠ FUN BET — engine said pass". Keep fun bets to a fiver. Your £20 Mexico bet is logged as exactly this.</t>
        </is>
      </c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30" customHeight="1" s="153">
      <c r="A28" s="117" t="inlineStr">
        <is>
          <t>Never raise a stake because you "feel good", never chase a loss, never bet a 🟡 or 🔴.</t>
        </is>
      </c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30" customHeight="1" s="153">
      <c r="A29" s="117" t="inlineStr">
        <is>
          <t>Optional homework: just before kickoff, note the closing odds in the last yellow column. CLV positive on most bets after 15–20 = the engine is genuinely beating the market (raise model weight). Mostly negative = your edge is fake (lower it).</t>
        </is>
      </c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" customHeight="1" s="153">
      <c r="A30" s="117" t="n"/>
      <c r="B30" s="54" t="n"/>
      <c r="C30" s="54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26.25" customHeight="1" s="153">
      <c r="A31" s="6" t="inlineStr">
        <is>
          <t>HOW THE ENGINE DECIDES (the maths, unchanged)</t>
        </is>
      </c>
      <c r="B31" s="54" t="n"/>
      <c r="C31" s="54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30" customHeight="1" s="153">
      <c r="A32" s="117" t="inlineStr">
        <is>
          <t>Implied probability = 1 / decimal odds. The three sum to ~104–106%; the excess is the bookmaker margin, removed by normalising ("mkt" columns on the Bets tab). That de-vigged market is the strongest free predictor in football — it must be beaten, not matched. Betting probability = 35% your model + 65% market. EV per £1 = p × odds − 1. BET needs EV ≥ 2.5% AND edge ≥ 2.5pp. Stake = quarter-Kelly on current bankroll, capped at 3%.</t>
        </is>
      </c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30" customHeight="1" s="153">
      <c r="A33" s="117" t="inlineStr">
        <is>
          <t>Why so strict: betting all 72 matches blind at £10 would cost ~£30–45 in pure margin. Maximum profit = bet the few mispricings, pass everything else.</t>
        </is>
      </c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" customHeight="1" s="153">
      <c r="A34" s="117" t="n"/>
      <c r="B34" s="54" t="n"/>
      <c r="C34" s="54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" customHeight="1" s="153">
      <c r="A35" s="6" t="inlineStr">
        <is>
          <t>SHARING WITH FRIENDS</t>
        </is>
      </c>
      <c r="B35" s="54" t="n"/>
      <c r="C35" s="54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30" customHeight="1" s="153">
      <c r="A36" s="117" t="inlineStr">
        <is>
          <t>The "£ / £100 bank" column on the Bets tab is bankroll-independent: a friend with £200 stakes 2× that number, £1,000 stakes 10×. Same rules: only 🟢 instructions, cap any bet at ~3% of their own pot.</t>
        </is>
      </c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" customHeight="1" s="153">
      <c r="A37" s="117" t="n"/>
      <c r="B37" s="54" t="n"/>
      <c r="C37" s="54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39" customHeight="1" s="153">
      <c r="A38" s="6" t="inlineStr">
        <is>
          <t>WHEN YOUR MODEL UPDATES (live re-sims after results)</t>
        </is>
      </c>
      <c r="B38" s="54" t="n"/>
      <c r="C38" s="54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30" customHeight="1" s="153">
      <c r="A39" s="117" t="inlineStr">
        <is>
          <t>Yes — refresh before betting on later matchdays, using the Model Refresh tab: paste the new p_home_win / p_draw / p_away_win (match order) into its yellow block, then copy its output block and paste AS VALUES over Bets!I2:K73. The output automatically keeps the ORIGINAL probabilities for any match where Placed = Y, so already-placed bets are never reclassified and your record is never rewritten. P&amp;L itself is doubly safe: it grades against your logged Backed/odds/stake, which no refresh can touch.</t>
        </is>
      </c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30" customHeight="1" s="153">
      <c r="A40" s="117" t="inlineStr">
        <is>
          <t>Audit rhythm: after ~10 graded bets, specifically check signals where your model had the favourite above 65% — that is where it runs hot (Spain/Argentina pattern). After 15–20, review avg CLV: consistently positive → raise model weight; negative → lower it.</t>
        </is>
      </c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" customHeight="1" s="153">
      <c r="A41" s="117" t="n"/>
      <c r="B41" s="54" t="n"/>
      <c r="C41" s="54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" customHeight="1" s="153">
      <c r="A42" s="6" t="inlineStr">
        <is>
          <t>THE SMALL PRINT</t>
        </is>
      </c>
      <c r="B42" s="54" t="n"/>
      <c r="C42" s="54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30" customHeight="1" s="153">
      <c r="A43" s="117" t="inlineStr">
        <is>
          <t>Entertainment with a method, not financial advice; no outcome is guaranteed — the most likely result of any £500 betting experiment is a small net loss. Bet only what you are happy to lose, set deposit limits, 18+, BeGambleAware.org. Friends bet at their own risk.</t>
        </is>
      </c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4" t="n"/>
      <c r="C44" s="54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" customHeight="1" s="153">
      <c r="A45" s="127" t="inlineStr">
        <is>
          <t>AUTOMATION CONTROLS (v2 — live engine)</t>
        </is>
      </c>
      <c r="B45" s="54" t="n"/>
      <c r="C45" s="54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" customHeight="1" s="153">
      <c r="A46" s="42" t="inlineStr">
        <is>
          <t>CLV base weight w₀</t>
        </is>
      </c>
      <c r="B46" s="128" t="n">
        <v>0.35</v>
      </c>
      <c r="C46" s="129" t="inlineStr">
        <is>
          <t>Anchor for the model weight. Stays at 0.35 unless CLV says otherwise.</t>
        </is>
      </c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" customHeight="1" s="153">
      <c r="A47" s="42" t="inlineStr">
        <is>
          <t>CLV trailing avg (auto)</t>
        </is>
      </c>
      <c r="B47" s="130">
        <f>IF(COUNT(Matchday!U4:U1000)&lt;5,0,AVERAGE(Matchday!U4:U1000))</f>
        <v/>
      </c>
      <c r="C47" s="129" t="inlineStr">
        <is>
          <t>Mean closing-line value across all logged closes. Needs ≥5 grades.</t>
        </is>
      </c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" customHeight="1" s="153">
      <c r="A48" s="42" t="inlineStr">
        <is>
          <t>CLV sensitivity</t>
        </is>
      </c>
      <c r="B48" s="128" t="n">
        <v>0.5</v>
      </c>
      <c r="C48" s="129" t="inlineStr">
        <is>
          <t>Knob: how aggressively w follows CLV. 0 = static. 0.5 = each +1pp CLV nudges w +0.5pp.</t>
        </is>
      </c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" customHeight="1" s="153">
      <c r="A49" s="42" t="inlineStr">
        <is>
          <t>Manual w override (blank = auto)</t>
        </is>
      </c>
      <c r="B49" s="128" t="n"/>
      <c r="C49" s="129" t="inlineStr">
        <is>
          <t>Type 0.15–0.55 to pin w (values outside are clamped). Leave blank for CLV-actuated.</t>
        </is>
      </c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" customHeight="1" s="153">
      <c r="A50" s="42" t="inlineStr">
        <is>
          <t>Peak bankroll (auto)</t>
        </is>
      </c>
      <c r="B50" s="131">
        <f>B3+MAX(0,IFERROR(MAX(Bets!AS2:AS1000),0))</f>
        <v/>
      </c>
      <c r="C50" s="129" t="inlineStr">
        <is>
          <t>Highest bankroll reached. Drives the drawdown circuit-breaker.</t>
        </is>
      </c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" customHeight="1" s="153">
      <c r="A51" s="42" t="inlineStr">
        <is>
          <t>Current drawdown (auto)</t>
        </is>
      </c>
      <c r="B51" s="130">
        <f>IF(B50=0,0,MAX(0,(B50-B10)/B50))</f>
        <v/>
      </c>
      <c r="C51" s="129" t="inlineStr">
        <is>
          <t>How far below peak you sit, as a fraction.</t>
        </is>
      </c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" customHeight="1" s="153">
      <c r="A52" s="42" t="inlineStr">
        <is>
          <t>Max drawdown allowed</t>
        </is>
      </c>
      <c r="B52" s="132" t="n">
        <v>0.15</v>
      </c>
      <c r="C52" s="129" t="inlineStr">
        <is>
          <t>Circuit-breaker threshold. 0.15 = pause if ≥15% below peak.</t>
        </is>
      </c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" customHeight="1" s="153">
      <c r="A53" s="42" t="inlineStr">
        <is>
          <t>Circuit breaker tripped? (auto)</t>
        </is>
      </c>
      <c r="B53" s="137">
        <f>B51&gt;=B52</f>
        <v/>
      </c>
      <c r="C53" s="129" t="inlineStr">
        <is>
          <t>TRUE when current DD ≥ threshold.</t>
        </is>
      </c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" customHeight="1" s="153">
      <c r="A54" s="42" t="inlineStr">
        <is>
          <t>Override (Y to keep betting)</t>
        </is>
      </c>
      <c r="B54" s="134" t="n"/>
      <c r="C54" s="129" t="inlineStr">
        <is>
          <t>Type Y to keep betting through drawdown only. Stale-feed and circuit-breaker pauses remain hard stops.</t>
        </is>
      </c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" customHeight="1" s="153">
      <c r="A55" s="42" t="inlineStr">
        <is>
          <t>PAUSE engine? (auto)</t>
        </is>
      </c>
      <c r="B55" s="137">
        <f>OR(AND(B53=TRUE(),$B$54&lt;&gt;"Y"),B81=TRUE)</f>
        <v/>
      </c>
      <c r="C55" s="129" t="inlineStr">
        <is>
          <t>TRUE pauses staking when drawdown is tripped without B54=Y, or when Live! feed/circuit-breaker safety is active.</t>
        </is>
      </c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" customHeight="1" s="153">
      <c r="A56" s="42" t="inlineStr">
        <is>
          <t>De-vig method</t>
        </is>
      </c>
      <c r="B56" s="134" t="inlineStr">
        <is>
          <t>shin</t>
        </is>
      </c>
      <c r="C56" s="129" t="inlineStr">
        <is>
          <t>proportional / shin / power. Shin &amp; power lift favourites ~1pp vs proportional.</t>
        </is>
      </c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" customHeight="1" s="153">
      <c r="A57" s="42" t="inlineStr">
        <is>
          <t>Last model refresh (UTC, auto)</t>
        </is>
      </c>
      <c r="B57" s="135" t="n">
        <v>46206.42979601852</v>
      </c>
      <c r="C57" s="129" t="inlineStr">
        <is>
          <t>Written by Apps Script when refreshModel() runs.</t>
        </is>
      </c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" customHeight="1" s="153">
      <c r="A58" s="42" t="inlineStr">
        <is>
          <t>Last live poll (UTC, auto)</t>
        </is>
      </c>
      <c r="B58" s="135" t="n">
        <v>46206.42980946759</v>
      </c>
      <c r="C58" s="129" t="inlineStr">
        <is>
          <t>Written by Apps Script when refreshLive() runs.</t>
        </is>
      </c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" customHeight="1" s="153">
      <c r="A59" s="42" t="inlineStr">
        <is>
          <t>Live state mode (auto)</t>
        </is>
      </c>
      <c r="B59" s="137" t="inlineStr">
        <is>
          <t>live</t>
        </is>
      </c>
      <c r="C59" s="129" t="inlineStr">
        <is>
          <t>From live_state.json: pre_tournament / in_progress / complete.</t>
        </is>
      </c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" customHeight="1" s="153">
      <c r="A60" s="42" t="inlineStr">
        <is>
          <t>Completed matches (auto)</t>
        </is>
      </c>
      <c r="B60" s="137" t="n">
        <v>85</v>
      </c>
      <c r="C60" s="129" t="inlineStr">
        <is>
          <t>From live_state.json.completed_matches_count.</t>
        </is>
      </c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" customHeight="1" s="153">
      <c r="A61" s="42" t="inlineStr">
        <is>
          <t>Provider mode (auto)</t>
        </is>
      </c>
      <c r="B61" s="137" t="inlineStr">
        <is>
          <t>active</t>
        </is>
      </c>
      <c r="C61" s="129" t="inlineStr">
        <is>
          <t>active / fallback — from live_state.json.provider_mode.</t>
        </is>
      </c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" customHeight="1" s="153">
      <c r="A62" s="42" t="inlineStr">
        <is>
          <t>Provider warnings (auto)</t>
        </is>
      </c>
      <c r="B62" s="137" t="inlineStr">
        <is>
          <t>Circuit breaker tripped after 3 consecutive failures. Manual intervention required: reset by deleting /home/runner/work/wc26-matchday-intelligence/wc26-matchday-intelligence/data/live/circuit_breaker_state.json.</t>
        </is>
      </c>
      <c r="C62" s="129" t="inlineStr">
        <is>
          <t>Joined warnings array from live_state.json.warnings.</t>
        </is>
      </c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" customHeight="1" s="153">
      <c r="A63" s="42" t="inlineStr">
        <is>
          <t>Auto-refresh status</t>
        </is>
      </c>
      <c r="B63" s="137" t="inlineStr">
        <is>
          <t>ON · every 10 min</t>
        </is>
      </c>
      <c r="C63" s="129" t="inlineStr">
        <is>
          <t>ON when Apps Script time trigger is installed.</t>
        </is>
      </c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32.25" customHeight="1" s="153">
      <c r="A64" s="129" t="inlineStr">
        <is>
          <t>Bets!AH, Bets!S/T/U and Matchday!M auto-react to changes in B49-B56. The Apps Script (Extensions ▸ Apps Script) populates B57-B63 every cycle.</t>
        </is>
      </c>
      <c r="B64" s="54" t="n"/>
      <c r="C64" s="54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53.25" customHeight="1" s="153">
      <c r="A65" s="138" t="inlineStr">
        <is>
          <t>v2.3.1: Bets!AW:AY are snapshot cells written by the script when you set Placed=Y (decision, engine stake, pick at that moment). STATUS and the Dashboard engine/fun split key off the snapshot, falling back to live values if the script is off.</t>
        </is>
      </c>
      <c r="B65" s="54" t="n"/>
      <c r="C65" s="54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8" t="inlineStr">
        <is>
          <t>—— INTELLIGENCE &amp; DIAGNOSTICS (auto · v2.3) ——</t>
        </is>
      </c>
      <c r="B66" s="54" t="n"/>
      <c r="C66" s="54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inlineStr">
        <is>
          <t>Intel generated at (UTC, auto)</t>
        </is>
      </c>
      <c r="B67" s="54" t="inlineStr">
        <is>
          <t>2026-07-03T16:21:14.382847+00:00</t>
        </is>
      </c>
      <c r="C67" s="55" t="inlineStr">
        <is>
          <t>From matchday_intelligence.generated_at</t>
        </is>
      </c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inlineStr">
        <is>
          <t>Intel total components (auto)</t>
        </is>
      </c>
      <c r="B68" s="54" t="n">
        <v>214</v>
      </c>
      <c r="C68" s="55" t="inlineStr">
        <is>
          <t>Active injury/weather/lineup/stats adjustments now in play</t>
        </is>
      </c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inlineStr">
        <is>
          <t>Intel teams affected (auto)</t>
        </is>
      </c>
      <c r="B69" s="54" t="n">
        <v>48</v>
      </c>
      <c r="C69" s="55" t="inlineStr">
        <is>
          <t>Unique teams with at least one active adjustment</t>
        </is>
      </c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inlineStr">
        <is>
          <t>Intel matches affected (auto)</t>
        </is>
      </c>
      <c r="B70" s="54" t="n">
        <v>21</v>
      </c>
      <c r="C70" s="55" t="inlineStr">
        <is>
          <t>Unique matches with at least one active adjustment</t>
        </is>
      </c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inlineStr">
        <is>
          <t>Intel aggregate caps hit (auto)</t>
        </is>
      </c>
      <c r="B71" s="54" t="n">
        <v>2</v>
      </c>
      <c r="C71" s="55" t="inlineStr">
        <is>
          <t>Teams where the per-team Elo cap (±35) was binding</t>
        </is>
      </c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inlineStr">
        <is>
          <t>Walk-forward mean log-loss (auto)</t>
        </is>
      </c>
      <c r="B72" s="54" t="n">
        <v>0.9852074536583656</v>
      </c>
      <c r="C72" s="55" t="inlineStr">
        <is>
          <t>Out-of-sample, averaged across WC2010/14/18/22 (lower = better)</t>
        </is>
      </c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inlineStr">
        <is>
          <t>Walk-forward 2022 lift vs Elo (auto)</t>
        </is>
      </c>
      <c r="B73" s="54" t="n">
        <v>0.01574096801913316</v>
      </c>
      <c r="C73" s="55" t="inlineStr">
        <is>
          <t>Most recent cycle. &lt;0 means model trailed naive Elo baseline.</t>
        </is>
      </c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inlineStr">
        <is>
          <t>Holdout log-loss (auto)</t>
        </is>
      </c>
      <c r="B74" s="54" t="n">
        <v>0.8692201897713608</v>
      </c>
      <c r="C74" s="55" t="inlineStr">
        <is>
          <t>From /calibration.json holdout (mixed-source; check scope below)</t>
        </is>
      </c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inlineStr">
        <is>
          <t>Holdout lift vs Elo (auto)</t>
        </is>
      </c>
      <c r="B75" s="54" t="n">
        <v>0.03856849014733477</v>
      </c>
      <c r="C75" s="55" t="inlineStr">
        <is>
          <t>Holdout log-loss improvement vs Elo baseline</t>
        </is>
      </c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inlineStr">
        <is>
          <t>Calibration validation scope (auto)</t>
        </is>
      </c>
      <c r="B76" s="54" t="inlineStr">
        <is>
          <t>in_sample_check — WC 2010-2018 likely in training set; use walk_forward.json for true out-of-sample.</t>
        </is>
      </c>
      <c r="C76" s="55" t="inlineStr">
        <is>
          <t>in_sample_check = WC matches may be in train set. Trust walk-forward instead.</t>
        </is>
      </c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inlineStr">
        <is>
          <t>Calibration n_test (auto)</t>
        </is>
      </c>
      <c r="B77" s="54" t="n">
        <v>4839</v>
      </c>
      <c r="C77" s="55" t="inlineStr">
        <is>
          <t>Sample size backing the reliability bins</t>
        </is>
      </c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inlineStr">
        <is>
          <t>Last diagnostics refresh (auto)</t>
        </is>
      </c>
      <c r="B78" s="139" t="n">
        <v>46206.43243408565</v>
      </c>
      <c r="C78" s="55" t="inlineStr">
        <is>
          <t>When refreshDiagnostics() last ran</t>
        </is>
      </c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inlineStr">
        <is>
          <t>Last intel refresh (auto)</t>
        </is>
      </c>
      <c r="B79" s="139" t="n">
        <v>46206.42980090278</v>
      </c>
      <c r="C79" s="55" t="inlineStr">
        <is>
          <t>When refreshIntel() last ran</t>
        </is>
      </c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inlineStr">
        <is>
          <t>STALE feed kill (auto)</t>
        </is>
      </c>
      <c r="B81" s="54" t="b">
        <v>1</v>
      </c>
      <c r="C81" s="55" t="inlineStr">
        <is>
          <t>TRUE when /live_state.json.last_updated_utc &gt; 15 min old. Method!B55 ORs this in — Bets!AJ stake formulas stop emitting.</t>
        </is>
      </c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inlineStr">
        <is>
          <t>2026-07-03T17:22:44Z</t>
        </is>
      </c>
      <c r="C82" s="54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inlineStr">
        <is>
          <t>2026-07-03T17:22:43Z</t>
        </is>
      </c>
      <c r="C83" s="54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inlineStr">
        <is>
          <t>2026-07-03T17:18:54Z</t>
        </is>
      </c>
      <c r="C84" s="54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inlineStr">
        <is>
          <t>2026-07-03T17:22:41Z</t>
        </is>
      </c>
      <c r="C85" s="54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inlineStr">
        <is>
          <t>2026-07-03T17:22:40Z</t>
        </is>
      </c>
      <c r="C86" s="54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inlineStr">
        <is>
          <t>EV ceiling (auto-PASS above)</t>
        </is>
      </c>
      <c r="B87" s="54" t="n">
        <v>0.3</v>
      </c>
      <c r="C87" s="54" t="inlineStr">
        <is>
          <t>Auto-PASS when displayed EV exceeds this. 0.30 = 30%. Above this is almost always model tail over-confidence at long odds — backtest on the first 60 WC26 group matches killed 9 BETs at 0W/9L with no winners lost. Set to 99 to disable.</t>
        </is>
      </c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inlineStr">
        <is>
          <t>Max model/market prob ratio</t>
        </is>
      </c>
      <c r="B88" s="54" t="n">
        <v>2.5</v>
      </c>
      <c r="C88" s="54" t="inlineStr">
        <is>
          <t>Auto-PASS when raw model_p / devigged market_p for the picked outcome exceeds this ratio. 2.5 = model claims the outcome is 2.5× more likely than the market thinks. Knockouts mirror raw I:K (no calibration LUT), so tail extrapolation rides without a safety net otherwise. Set to 99 to disable.</t>
        </is>
      </c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2" t="n"/>
      <c r="E207" s="52" t="n"/>
      <c r="F207" s="52" t="n"/>
      <c r="G207" s="52" t="n"/>
      <c r="H207" s="52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2" t="n"/>
      <c r="E208" s="52" t="n"/>
      <c r="F208" s="52" t="n"/>
      <c r="G208" s="52" t="n"/>
      <c r="H208" s="52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2" t="n"/>
      <c r="E210" s="52" t="n"/>
      <c r="F210" s="52" t="n"/>
      <c r="G210" s="52" t="n"/>
      <c r="H210" s="52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2" t="n"/>
      <c r="E211" s="52" t="n"/>
      <c r="F211" s="52" t="n"/>
      <c r="G211" s="52" t="n"/>
      <c r="H211" s="52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2" t="n"/>
      <c r="E212" s="52" t="n"/>
      <c r="F212" s="52" t="n"/>
      <c r="G212" s="52" t="n"/>
      <c r="H212" s="52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2" t="n"/>
      <c r="E213" s="52" t="n"/>
      <c r="F213" s="52" t="n"/>
      <c r="G213" s="52" t="n"/>
      <c r="H213" s="52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2" t="n"/>
      <c r="E214" s="52" t="n"/>
      <c r="F214" s="52" t="n"/>
      <c r="G214" s="52" t="n"/>
      <c r="H214" s="52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2" t="n"/>
      <c r="E215" s="52" t="n"/>
      <c r="F215" s="52" t="n"/>
      <c r="G215" s="52" t="n"/>
      <c r="H215" s="52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2" t="n"/>
      <c r="E218" s="52" t="n"/>
      <c r="F218" s="52" t="n"/>
      <c r="G218" s="52" t="n"/>
      <c r="H218" s="52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2" t="n"/>
      <c r="E219" s="52" t="n"/>
      <c r="F219" s="52" t="n"/>
      <c r="G219" s="52" t="n"/>
      <c r="H219" s="52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2" t="n"/>
      <c r="E220" s="52" t="n"/>
      <c r="F220" s="52" t="n"/>
      <c r="G220" s="52" t="n"/>
      <c r="H220" s="52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2" t="n"/>
      <c r="E221" s="52" t="n"/>
      <c r="F221" s="52" t="n"/>
      <c r="G221" s="52" t="n"/>
      <c r="H221" s="52" t="n"/>
      <c r="I221" s="52" t="n"/>
      <c r="J221" s="52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2" t="n"/>
      <c r="E222" s="52" t="n"/>
      <c r="F222" s="52" t="n"/>
      <c r="G222" s="52" t="n"/>
      <c r="H222" s="52" t="n"/>
      <c r="I222" s="52" t="n"/>
      <c r="J222" s="52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2" t="n"/>
      <c r="E224" s="52" t="n"/>
      <c r="F224" s="52" t="n"/>
      <c r="G224" s="52" t="n"/>
      <c r="H224" s="52" t="n"/>
      <c r="I224" s="52" t="n"/>
      <c r="J224" s="52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2" t="n"/>
      <c r="E225" s="52" t="n"/>
      <c r="F225" s="52" t="n"/>
      <c r="G225" s="52" t="n"/>
      <c r="H225" s="52" t="n"/>
      <c r="I225" s="52" t="n"/>
      <c r="J225" s="52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2" t="n"/>
      <c r="E226" s="52" t="n"/>
      <c r="F226" s="52" t="n"/>
      <c r="G226" s="52" t="n"/>
      <c r="H226" s="52" t="n"/>
      <c r="I226" s="52" t="n"/>
      <c r="J226" s="52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2" t="n"/>
      <c r="E227" s="52" t="n"/>
      <c r="F227" s="52" t="n"/>
      <c r="G227" s="52" t="n"/>
      <c r="H227" s="52" t="n"/>
      <c r="I227" s="52" t="n"/>
      <c r="J227" s="52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2" t="n"/>
      <c r="E228" s="52" t="n"/>
      <c r="F228" s="52" t="n"/>
      <c r="G228" s="52" t="n"/>
      <c r="H228" s="52" t="n"/>
      <c r="I228" s="52" t="n"/>
      <c r="J228" s="52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2" t="n"/>
      <c r="E229" s="52" t="n"/>
      <c r="F229" s="52" t="n"/>
      <c r="G229" s="52" t="n"/>
      <c r="H229" s="52" t="n"/>
      <c r="I229" s="52" t="n"/>
      <c r="J229" s="52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2" t="n"/>
      <c r="E230" s="52" t="n"/>
      <c r="F230" s="52" t="n"/>
      <c r="G230" s="52" t="n"/>
      <c r="H230" s="52" t="n"/>
      <c r="I230" s="52" t="n"/>
      <c r="J230" s="52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>
      <c r="A231" s="54" t="n"/>
      <c r="B231" s="54" t="n"/>
      <c r="C231" s="54" t="n"/>
      <c r="D231" s="52" t="n"/>
      <c r="E231" s="52" t="n"/>
      <c r="F231" s="52" t="n"/>
      <c r="G231" s="52" t="n"/>
      <c r="H231" s="52" t="n"/>
      <c r="I231" s="52" t="n"/>
      <c r="J231" s="52" t="n"/>
      <c r="K231" s="52" t="n"/>
      <c r="L231" s="52" t="n"/>
      <c r="M231" s="52" t="n"/>
      <c r="N231" s="52" t="n"/>
      <c r="O231" s="52" t="n"/>
      <c r="P231" s="52" t="n"/>
      <c r="Q231" s="52" t="n"/>
      <c r="R231" s="52" t="n"/>
      <c r="S231" s="52" t="n"/>
      <c r="T231" s="52" t="n"/>
      <c r="U231" s="52" t="n"/>
      <c r="V231" s="52" t="n"/>
      <c r="W231" s="52" t="n"/>
      <c r="X231" s="52" t="n"/>
      <c r="Y231" s="52" t="n"/>
      <c r="Z231" s="52" t="n"/>
    </row>
    <row r="232" ht="15.75" customHeight="1" s="153">
      <c r="A232" s="54" t="n"/>
      <c r="B232" s="54" t="n"/>
      <c r="C232" s="54" t="n"/>
      <c r="D232" s="52" t="n"/>
      <c r="E232" s="52" t="n"/>
      <c r="F232" s="52" t="n"/>
      <c r="G232" s="52" t="n"/>
      <c r="H232" s="52" t="n"/>
      <c r="I232" s="52" t="n"/>
      <c r="J232" s="52" t="n"/>
      <c r="K232" s="52" t="n"/>
      <c r="L232" s="52" t="n"/>
      <c r="M232" s="52" t="n"/>
      <c r="N232" s="52" t="n"/>
      <c r="O232" s="52" t="n"/>
      <c r="P232" s="52" t="n"/>
      <c r="Q232" s="52" t="n"/>
      <c r="R232" s="52" t="n"/>
      <c r="S232" s="52" t="n"/>
      <c r="T232" s="52" t="n"/>
      <c r="U232" s="52" t="n"/>
      <c r="V232" s="52" t="n"/>
      <c r="W232" s="52" t="n"/>
      <c r="X232" s="52" t="n"/>
      <c r="Y232" s="52" t="n"/>
      <c r="Z232" s="52" t="n"/>
    </row>
    <row r="233" ht="15.75" customHeight="1" s="153">
      <c r="A233" s="54" t="n"/>
      <c r="B233" s="54" t="n"/>
      <c r="C233" s="54" t="n"/>
      <c r="D233" s="52" t="n"/>
      <c r="E233" s="52" t="n"/>
      <c r="F233" s="52" t="n"/>
      <c r="G233" s="52" t="n"/>
      <c r="H233" s="52" t="n"/>
      <c r="I233" s="52" t="n"/>
      <c r="J233" s="52" t="n"/>
      <c r="K233" s="52" t="n"/>
      <c r="L233" s="52" t="n"/>
      <c r="M233" s="52" t="n"/>
      <c r="N233" s="52" t="n"/>
      <c r="O233" s="52" t="n"/>
      <c r="P233" s="52" t="n"/>
      <c r="Q233" s="52" t="n"/>
      <c r="R233" s="52" t="n"/>
      <c r="S233" s="52" t="n"/>
      <c r="T233" s="52" t="n"/>
      <c r="U233" s="52" t="n"/>
      <c r="V233" s="52" t="n"/>
      <c r="W233" s="52" t="n"/>
      <c r="X233" s="52" t="n"/>
      <c r="Y233" s="52" t="n"/>
      <c r="Z233" s="52" t="n"/>
    </row>
    <row r="234" ht="15.75" customHeight="1" s="153">
      <c r="A234" s="54" t="n"/>
      <c r="B234" s="54" t="n"/>
      <c r="C234" s="54" t="n"/>
      <c r="D234" s="52" t="n"/>
      <c r="E234" s="52" t="n"/>
      <c r="F234" s="52" t="n"/>
      <c r="G234" s="52" t="n"/>
      <c r="H234" s="52" t="n"/>
      <c r="I234" s="52" t="n"/>
      <c r="J234" s="52" t="n"/>
      <c r="K234" s="52" t="n"/>
      <c r="L234" s="52" t="n"/>
      <c r="M234" s="52" t="n"/>
      <c r="N234" s="52" t="n"/>
      <c r="O234" s="52" t="n"/>
      <c r="P234" s="52" t="n"/>
      <c r="Q234" s="52" t="n"/>
      <c r="R234" s="52" t="n"/>
      <c r="S234" s="52" t="n"/>
      <c r="T234" s="52" t="n"/>
      <c r="U234" s="52" t="n"/>
      <c r="V234" s="52" t="n"/>
      <c r="W234" s="52" t="n"/>
      <c r="X234" s="52" t="n"/>
      <c r="Y234" s="52" t="n"/>
      <c r="Z234" s="52" t="n"/>
    </row>
    <row r="235" ht="15.75" customHeight="1" s="153">
      <c r="A235" s="54" t="n"/>
      <c r="B235" s="54" t="n"/>
      <c r="C235" s="54" t="n"/>
      <c r="D235" s="52" t="n"/>
      <c r="E235" s="52" t="n"/>
      <c r="F235" s="52" t="n"/>
      <c r="G235" s="52" t="n"/>
      <c r="H235" s="52" t="n"/>
      <c r="I235" s="52" t="n"/>
      <c r="J235" s="52" t="n"/>
      <c r="K235" s="52" t="n"/>
      <c r="L235" s="52" t="n"/>
      <c r="M235" s="52" t="n"/>
      <c r="N235" s="52" t="n"/>
      <c r="O235" s="52" t="n"/>
      <c r="P235" s="52" t="n"/>
      <c r="Q235" s="52" t="n"/>
      <c r="R235" s="52" t="n"/>
      <c r="S235" s="52" t="n"/>
      <c r="T235" s="52" t="n"/>
      <c r="U235" s="52" t="n"/>
      <c r="V235" s="52" t="n"/>
      <c r="W235" s="52" t="n"/>
      <c r="X235" s="52" t="n"/>
      <c r="Y235" s="52" t="n"/>
      <c r="Z235" s="52" t="n"/>
    </row>
    <row r="236" ht="15.75" customHeight="1" s="153">
      <c r="A236" s="54" t="n"/>
      <c r="B236" s="54" t="n"/>
      <c r="C236" s="54" t="n"/>
      <c r="D236" s="52" t="n"/>
      <c r="E236" s="52" t="n"/>
      <c r="F236" s="52" t="n"/>
      <c r="G236" s="52" t="n"/>
      <c r="H236" s="52" t="n"/>
      <c r="I236" s="52" t="n"/>
      <c r="J236" s="52" t="n"/>
      <c r="K236" s="52" t="n"/>
      <c r="L236" s="52" t="n"/>
      <c r="M236" s="52" t="n"/>
      <c r="N236" s="52" t="n"/>
      <c r="O236" s="52" t="n"/>
      <c r="P236" s="52" t="n"/>
      <c r="Q236" s="52" t="n"/>
      <c r="R236" s="52" t="n"/>
      <c r="S236" s="52" t="n"/>
      <c r="T236" s="52" t="n"/>
      <c r="U236" s="52" t="n"/>
      <c r="V236" s="52" t="n"/>
      <c r="W236" s="52" t="n"/>
      <c r="X236" s="52" t="n"/>
      <c r="Y236" s="52" t="n"/>
      <c r="Z236" s="52" t="n"/>
    </row>
    <row r="237" ht="15.75" customHeight="1" s="153">
      <c r="A237" s="54" t="n"/>
      <c r="B237" s="54" t="n"/>
      <c r="C237" s="54" t="n"/>
      <c r="D237" s="52" t="n"/>
      <c r="E237" s="52" t="n"/>
      <c r="F237" s="52" t="n"/>
      <c r="G237" s="52" t="n"/>
      <c r="H237" s="52" t="n"/>
      <c r="I237" s="52" t="n"/>
      <c r="J237" s="52" t="n"/>
      <c r="K237" s="52" t="n"/>
      <c r="L237" s="52" t="n"/>
      <c r="M237" s="52" t="n"/>
      <c r="N237" s="52" t="n"/>
      <c r="O237" s="52" t="n"/>
      <c r="P237" s="52" t="n"/>
      <c r="Q237" s="52" t="n"/>
      <c r="R237" s="52" t="n"/>
      <c r="S237" s="52" t="n"/>
      <c r="T237" s="52" t="n"/>
      <c r="U237" s="52" t="n"/>
      <c r="V237" s="52" t="n"/>
      <c r="W237" s="52" t="n"/>
      <c r="X237" s="52" t="n"/>
      <c r="Y237" s="52" t="n"/>
      <c r="Z237" s="52" t="n"/>
    </row>
    <row r="238" ht="15.75" customHeight="1" s="153">
      <c r="A238" s="54" t="n"/>
      <c r="B238" s="54" t="n"/>
      <c r="C238" s="54" t="n"/>
      <c r="D238" s="52" t="n"/>
      <c r="E238" s="52" t="n"/>
      <c r="F238" s="52" t="n"/>
      <c r="G238" s="52" t="n"/>
      <c r="H238" s="52" t="n"/>
      <c r="I238" s="52" t="n"/>
      <c r="J238" s="52" t="n"/>
      <c r="K238" s="52" t="n"/>
      <c r="L238" s="52" t="n"/>
      <c r="M238" s="52" t="n"/>
      <c r="N238" s="52" t="n"/>
      <c r="O238" s="52" t="n"/>
      <c r="P238" s="52" t="n"/>
      <c r="Q238" s="52" t="n"/>
      <c r="R238" s="52" t="n"/>
      <c r="S238" s="52" t="n"/>
      <c r="T238" s="52" t="n"/>
      <c r="U238" s="52" t="n"/>
      <c r="V238" s="52" t="n"/>
      <c r="W238" s="52" t="n"/>
      <c r="X238" s="52" t="n"/>
      <c r="Y238" s="52" t="n"/>
      <c r="Z238" s="52" t="n"/>
    </row>
    <row r="239" ht="15.75" customHeight="1" s="153">
      <c r="A239" s="54" t="n"/>
      <c r="B239" s="54" t="n"/>
      <c r="C239" s="54" t="n"/>
      <c r="D239" s="52" t="n"/>
      <c r="E239" s="52" t="n"/>
      <c r="F239" s="52" t="n"/>
      <c r="G239" s="52" t="n"/>
      <c r="H239" s="52" t="n"/>
      <c r="I239" s="52" t="n"/>
      <c r="J239" s="52" t="n"/>
      <c r="K239" s="52" t="n"/>
      <c r="L239" s="52" t="n"/>
      <c r="M239" s="52" t="n"/>
      <c r="N239" s="52" t="n"/>
      <c r="O239" s="52" t="n"/>
      <c r="P239" s="52" t="n"/>
      <c r="Q239" s="52" t="n"/>
      <c r="R239" s="52" t="n"/>
      <c r="S239" s="52" t="n"/>
      <c r="T239" s="52" t="n"/>
      <c r="U239" s="52" t="n"/>
      <c r="V239" s="52" t="n"/>
      <c r="W239" s="52" t="n"/>
      <c r="X239" s="52" t="n"/>
      <c r="Y239" s="52" t="n"/>
      <c r="Z239" s="52" t="n"/>
    </row>
    <row r="240" ht="15.75" customHeight="1" s="153">
      <c r="A240" s="54" t="n"/>
      <c r="B240" s="54" t="n"/>
      <c r="C240" s="54" t="n"/>
      <c r="D240" s="52" t="n"/>
      <c r="E240" s="52" t="n"/>
      <c r="F240" s="52" t="n"/>
      <c r="G240" s="52" t="n"/>
      <c r="H240" s="52" t="n"/>
      <c r="I240" s="52" t="n"/>
      <c r="J240" s="52" t="n"/>
      <c r="K240" s="52" t="n"/>
      <c r="L240" s="52" t="n"/>
      <c r="M240" s="52" t="n"/>
      <c r="N240" s="52" t="n"/>
      <c r="O240" s="52" t="n"/>
      <c r="P240" s="52" t="n"/>
      <c r="Q240" s="52" t="n"/>
      <c r="R240" s="52" t="n"/>
      <c r="S240" s="52" t="n"/>
      <c r="T240" s="52" t="n"/>
      <c r="U240" s="52" t="n"/>
      <c r="V240" s="52" t="n"/>
      <c r="W240" s="52" t="n"/>
      <c r="X240" s="52" t="n"/>
      <c r="Y240" s="52" t="n"/>
      <c r="Z240" s="52" t="n"/>
    </row>
    <row r="241" ht="15.75" customHeight="1" s="153">
      <c r="A241" s="54" t="n"/>
      <c r="B241" s="54" t="n"/>
      <c r="C241" s="54" t="n"/>
      <c r="D241" s="52" t="n"/>
      <c r="E241" s="52" t="n"/>
      <c r="F241" s="52" t="n"/>
      <c r="G241" s="52" t="n"/>
      <c r="H241" s="52" t="n"/>
      <c r="I241" s="52" t="n"/>
      <c r="J241" s="52" t="n"/>
      <c r="K241" s="52" t="n"/>
      <c r="L241" s="52" t="n"/>
      <c r="M241" s="52" t="n"/>
      <c r="N241" s="52" t="n"/>
      <c r="O241" s="52" t="n"/>
      <c r="P241" s="52" t="n"/>
      <c r="Q241" s="52" t="n"/>
      <c r="R241" s="52" t="n"/>
      <c r="S241" s="52" t="n"/>
      <c r="T241" s="52" t="n"/>
      <c r="U241" s="52" t="n"/>
      <c r="V241" s="52" t="n"/>
      <c r="W241" s="52" t="n"/>
      <c r="X241" s="52" t="n"/>
      <c r="Y241" s="52" t="n"/>
      <c r="Z241" s="52" t="n"/>
    </row>
    <row r="242" ht="15.75" customHeight="1" s="153">
      <c r="A242" s="54" t="n"/>
      <c r="B242" s="54" t="n"/>
      <c r="C242" s="54" t="n"/>
      <c r="D242" s="52" t="n"/>
      <c r="E242" s="52" t="n"/>
      <c r="F242" s="52" t="n"/>
      <c r="G242" s="52" t="n"/>
      <c r="H242" s="52" t="n"/>
      <c r="I242" s="52" t="n"/>
      <c r="J242" s="52" t="n"/>
      <c r="K242" s="52" t="n"/>
      <c r="L242" s="52" t="n"/>
      <c r="M242" s="52" t="n"/>
      <c r="N242" s="52" t="n"/>
      <c r="O242" s="52" t="n"/>
      <c r="P242" s="52" t="n"/>
      <c r="Q242" s="52" t="n"/>
      <c r="R242" s="52" t="n"/>
      <c r="S242" s="52" t="n"/>
      <c r="T242" s="52" t="n"/>
      <c r="U242" s="52" t="n"/>
      <c r="V242" s="52" t="n"/>
      <c r="W242" s="52" t="n"/>
      <c r="X242" s="52" t="n"/>
      <c r="Y242" s="52" t="n"/>
      <c r="Z242" s="52" t="n"/>
    </row>
    <row r="243" ht="15.75" customHeight="1" s="153">
      <c r="A243" s="54" t="n"/>
      <c r="B243" s="54" t="n"/>
      <c r="C243" s="54" t="n"/>
      <c r="D243" s="52" t="n"/>
      <c r="E243" s="52" t="n"/>
      <c r="F243" s="52" t="n"/>
      <c r="G243" s="52" t="n"/>
      <c r="H243" s="52" t="n"/>
      <c r="I243" s="52" t="n"/>
      <c r="J243" s="52" t="n"/>
      <c r="K243" s="52" t="n"/>
      <c r="L243" s="52" t="n"/>
      <c r="M243" s="52" t="n"/>
      <c r="N243" s="52" t="n"/>
      <c r="O243" s="52" t="n"/>
      <c r="P243" s="52" t="n"/>
      <c r="Q243" s="52" t="n"/>
      <c r="R243" s="52" t="n"/>
      <c r="S243" s="52" t="n"/>
      <c r="T243" s="52" t="n"/>
      <c r="U243" s="52" t="n"/>
      <c r="V243" s="52" t="n"/>
      <c r="W243" s="52" t="n"/>
      <c r="X243" s="52" t="n"/>
      <c r="Y243" s="52" t="n"/>
      <c r="Z243" s="52" t="n"/>
    </row>
    <row r="244" ht="15.75" customHeight="1" s="153">
      <c r="A244" s="54" t="n"/>
      <c r="B244" s="54" t="n"/>
      <c r="C244" s="54" t="n"/>
      <c r="D244" s="52" t="n"/>
      <c r="E244" s="52" t="n"/>
      <c r="F244" s="52" t="n"/>
      <c r="G244" s="52" t="n"/>
      <c r="H244" s="52" t="n"/>
      <c r="I244" s="52" t="n"/>
      <c r="J244" s="52" t="n"/>
      <c r="K244" s="52" t="n"/>
      <c r="L244" s="52" t="n"/>
      <c r="M244" s="52" t="n"/>
      <c r="N244" s="52" t="n"/>
      <c r="O244" s="52" t="n"/>
      <c r="P244" s="52" t="n"/>
      <c r="Q244" s="52" t="n"/>
      <c r="R244" s="52" t="n"/>
      <c r="S244" s="52" t="n"/>
      <c r="T244" s="52" t="n"/>
      <c r="U244" s="52" t="n"/>
      <c r="V244" s="52" t="n"/>
      <c r="W244" s="52" t="n"/>
      <c r="X244" s="52" t="n"/>
      <c r="Y244" s="52" t="n"/>
      <c r="Z244" s="52" t="n"/>
    </row>
    <row r="245" ht="15.75" customHeight="1" s="153">
      <c r="A245" s="54" t="n"/>
      <c r="B245" s="54" t="n"/>
      <c r="C245" s="54" t="n"/>
      <c r="D245" s="52" t="n"/>
      <c r="E245" s="52" t="n"/>
      <c r="F245" s="52" t="n"/>
      <c r="G245" s="52" t="n"/>
      <c r="H245" s="52" t="n"/>
      <c r="I245" s="52" t="n"/>
      <c r="J245" s="52" t="n"/>
      <c r="K245" s="52" t="n"/>
      <c r="L245" s="52" t="n"/>
      <c r="M245" s="52" t="n"/>
      <c r="N245" s="52" t="n"/>
      <c r="O245" s="52" t="n"/>
      <c r="P245" s="52" t="n"/>
      <c r="Q245" s="52" t="n"/>
      <c r="R245" s="52" t="n"/>
      <c r="S245" s="52" t="n"/>
      <c r="T245" s="52" t="n"/>
      <c r="U245" s="52" t="n"/>
      <c r="V245" s="52" t="n"/>
      <c r="W245" s="52" t="n"/>
      <c r="X245" s="52" t="n"/>
      <c r="Y245" s="52" t="n"/>
      <c r="Z245" s="52" t="n"/>
    </row>
    <row r="246" ht="15.75" customHeight="1" s="153">
      <c r="A246" s="54" t="n"/>
      <c r="B246" s="54" t="n"/>
      <c r="C246" s="54" t="n"/>
      <c r="D246" s="52" t="n"/>
      <c r="E246" s="52" t="n"/>
      <c r="F246" s="52" t="n"/>
      <c r="G246" s="52" t="n"/>
      <c r="H246" s="52" t="n"/>
      <c r="I246" s="52" t="n"/>
      <c r="J246" s="52" t="n"/>
      <c r="K246" s="52" t="n"/>
      <c r="L246" s="52" t="n"/>
      <c r="M246" s="52" t="n"/>
      <c r="N246" s="52" t="n"/>
      <c r="O246" s="52" t="n"/>
      <c r="P246" s="52" t="n"/>
      <c r="Q246" s="52" t="n"/>
      <c r="R246" s="52" t="n"/>
      <c r="S246" s="52" t="n"/>
      <c r="T246" s="52" t="n"/>
      <c r="U246" s="52" t="n"/>
      <c r="V246" s="52" t="n"/>
      <c r="W246" s="52" t="n"/>
      <c r="X246" s="52" t="n"/>
      <c r="Y246" s="52" t="n"/>
      <c r="Z246" s="52" t="n"/>
    </row>
    <row r="247" ht="15.75" customHeight="1" s="153">
      <c r="A247" s="54" t="n"/>
      <c r="B247" s="54" t="n"/>
      <c r="C247" s="54" t="n"/>
      <c r="D247" s="52" t="n"/>
      <c r="E247" s="52" t="n"/>
      <c r="F247" s="52" t="n"/>
      <c r="G247" s="52" t="n"/>
      <c r="H247" s="52" t="n"/>
      <c r="I247" s="52" t="n"/>
      <c r="J247" s="52" t="n"/>
      <c r="K247" s="52" t="n"/>
      <c r="L247" s="52" t="n"/>
      <c r="M247" s="52" t="n"/>
      <c r="N247" s="52" t="n"/>
      <c r="O247" s="52" t="n"/>
      <c r="P247" s="52" t="n"/>
      <c r="Q247" s="52" t="n"/>
      <c r="R247" s="52" t="n"/>
      <c r="S247" s="52" t="n"/>
      <c r="T247" s="52" t="n"/>
      <c r="U247" s="52" t="n"/>
      <c r="V247" s="52" t="n"/>
      <c r="W247" s="52" t="n"/>
      <c r="X247" s="52" t="n"/>
      <c r="Y247" s="52" t="n"/>
      <c r="Z247" s="52" t="n"/>
    </row>
    <row r="248" ht="15.75" customHeight="1" s="153">
      <c r="A248" s="54" t="n"/>
      <c r="B248" s="54" t="n"/>
      <c r="C248" s="54" t="n"/>
      <c r="D248" s="52" t="n"/>
      <c r="E248" s="52" t="n"/>
      <c r="F248" s="52" t="n"/>
      <c r="G248" s="52" t="n"/>
      <c r="H248" s="52" t="n"/>
      <c r="I248" s="52" t="n"/>
      <c r="J248" s="52" t="n"/>
      <c r="K248" s="52" t="n"/>
      <c r="L248" s="52" t="n"/>
      <c r="M248" s="52" t="n"/>
      <c r="N248" s="52" t="n"/>
      <c r="O248" s="52" t="n"/>
      <c r="P248" s="52" t="n"/>
      <c r="Q248" s="52" t="n"/>
      <c r="R248" s="52" t="n"/>
      <c r="S248" s="52" t="n"/>
      <c r="T248" s="52" t="n"/>
      <c r="U248" s="52" t="n"/>
      <c r="V248" s="52" t="n"/>
      <c r="W248" s="52" t="n"/>
      <c r="X248" s="52" t="n"/>
      <c r="Y248" s="52" t="n"/>
      <c r="Z248" s="52" t="n"/>
    </row>
    <row r="249" ht="15.75" customHeight="1" s="153">
      <c r="A249" s="54" t="n"/>
      <c r="B249" s="54" t="n"/>
      <c r="C249" s="54" t="n"/>
      <c r="D249" s="52" t="n"/>
      <c r="E249" s="52" t="n"/>
      <c r="F249" s="52" t="n"/>
      <c r="G249" s="52" t="n"/>
      <c r="H249" s="52" t="n"/>
      <c r="I249" s="52" t="n"/>
      <c r="J249" s="52" t="n"/>
      <c r="K249" s="52" t="n"/>
      <c r="L249" s="52" t="n"/>
      <c r="M249" s="52" t="n"/>
      <c r="N249" s="52" t="n"/>
      <c r="O249" s="52" t="n"/>
      <c r="P249" s="52" t="n"/>
      <c r="Q249" s="52" t="n"/>
      <c r="R249" s="52" t="n"/>
      <c r="S249" s="52" t="n"/>
      <c r="T249" s="52" t="n"/>
      <c r="U249" s="52" t="n"/>
      <c r="V249" s="52" t="n"/>
      <c r="W249" s="52" t="n"/>
      <c r="X249" s="52" t="n"/>
      <c r="Y249" s="52" t="n"/>
      <c r="Z249" s="52" t="n"/>
    </row>
    <row r="250" ht="15.75" customHeight="1" s="153">
      <c r="A250" s="54" t="n"/>
      <c r="B250" s="54" t="n"/>
      <c r="C250" s="54" t="n"/>
      <c r="D250" s="52" t="n"/>
      <c r="E250" s="52" t="n"/>
      <c r="F250" s="52" t="n"/>
      <c r="G250" s="52" t="n"/>
      <c r="H250" s="52" t="n"/>
      <c r="I250" s="52" t="n"/>
      <c r="J250" s="52" t="n"/>
      <c r="K250" s="52" t="n"/>
      <c r="L250" s="52" t="n"/>
      <c r="M250" s="52" t="n"/>
      <c r="N250" s="52" t="n"/>
      <c r="O250" s="52" t="n"/>
      <c r="P250" s="52" t="n"/>
      <c r="Q250" s="52" t="n"/>
      <c r="R250" s="52" t="n"/>
      <c r="S250" s="52" t="n"/>
      <c r="T250" s="52" t="n"/>
      <c r="U250" s="52" t="n"/>
      <c r="V250" s="52" t="n"/>
      <c r="W250" s="52" t="n"/>
      <c r="X250" s="52" t="n"/>
      <c r="Y250" s="52" t="n"/>
      <c r="Z250" s="52" t="n"/>
    </row>
    <row r="251" ht="15.75" customHeight="1" s="153">
      <c r="A251" s="54" t="n"/>
      <c r="B251" s="54" t="n"/>
      <c r="C251" s="54" t="n"/>
      <c r="D251" s="52" t="n"/>
      <c r="E251" s="52" t="n"/>
      <c r="F251" s="52" t="n"/>
      <c r="G251" s="52" t="n"/>
      <c r="H251" s="52" t="n"/>
      <c r="I251" s="52" t="n"/>
      <c r="J251" s="52" t="n"/>
      <c r="K251" s="52" t="n"/>
      <c r="L251" s="52" t="n"/>
      <c r="M251" s="52" t="n"/>
      <c r="N251" s="52" t="n"/>
      <c r="O251" s="52" t="n"/>
      <c r="P251" s="52" t="n"/>
      <c r="Q251" s="52" t="n"/>
      <c r="R251" s="52" t="n"/>
      <c r="S251" s="52" t="n"/>
      <c r="T251" s="52" t="n"/>
      <c r="U251" s="52" t="n"/>
      <c r="V251" s="52" t="n"/>
      <c r="W251" s="52" t="n"/>
      <c r="X251" s="52" t="n"/>
      <c r="Y251" s="52" t="n"/>
      <c r="Z251" s="52" t="n"/>
    </row>
    <row r="252" ht="15.75" customHeight="1" s="153">
      <c r="A252" s="54" t="n"/>
      <c r="B252" s="54" t="n"/>
      <c r="C252" s="54" t="n"/>
      <c r="D252" s="52" t="n"/>
      <c r="E252" s="52" t="n"/>
      <c r="F252" s="52" t="n"/>
      <c r="G252" s="52" t="n"/>
      <c r="H252" s="52" t="n"/>
      <c r="I252" s="52" t="n"/>
      <c r="J252" s="52" t="n"/>
      <c r="K252" s="52" t="n"/>
      <c r="L252" s="52" t="n"/>
      <c r="M252" s="52" t="n"/>
      <c r="N252" s="52" t="n"/>
      <c r="O252" s="52" t="n"/>
      <c r="P252" s="52" t="n"/>
      <c r="Q252" s="52" t="n"/>
      <c r="R252" s="52" t="n"/>
      <c r="S252" s="52" t="n"/>
      <c r="T252" s="52" t="n"/>
      <c r="U252" s="52" t="n"/>
      <c r="V252" s="52" t="n"/>
      <c r="W252" s="52" t="n"/>
      <c r="X252" s="52" t="n"/>
      <c r="Y252" s="52" t="n"/>
      <c r="Z252" s="52" t="n"/>
    </row>
    <row r="253" ht="15.75" customHeight="1" s="153">
      <c r="A253" s="54" t="n"/>
      <c r="B253" s="54" t="n"/>
      <c r="C253" s="54" t="n"/>
      <c r="D253" s="52" t="n"/>
      <c r="E253" s="52" t="n"/>
      <c r="F253" s="52" t="n"/>
      <c r="G253" s="52" t="n"/>
      <c r="H253" s="52" t="n"/>
      <c r="I253" s="52" t="n"/>
      <c r="J253" s="52" t="n"/>
      <c r="K253" s="52" t="n"/>
      <c r="L253" s="52" t="n"/>
      <c r="M253" s="52" t="n"/>
      <c r="N253" s="52" t="n"/>
      <c r="O253" s="52" t="n"/>
      <c r="P253" s="52" t="n"/>
      <c r="Q253" s="52" t="n"/>
      <c r="R253" s="52" t="n"/>
      <c r="S253" s="52" t="n"/>
      <c r="T253" s="52" t="n"/>
      <c r="U253" s="52" t="n"/>
      <c r="V253" s="52" t="n"/>
      <c r="W253" s="52" t="n"/>
      <c r="X253" s="52" t="n"/>
      <c r="Y253" s="52" t="n"/>
      <c r="Z253" s="52" t="n"/>
    </row>
    <row r="254" ht="15.75" customHeight="1" s="153">
      <c r="A254" s="54" t="n"/>
      <c r="B254" s="54" t="n"/>
      <c r="C254" s="54" t="n"/>
      <c r="D254" s="52" t="n"/>
      <c r="E254" s="52" t="n"/>
      <c r="F254" s="52" t="n"/>
      <c r="G254" s="52" t="n"/>
      <c r="H254" s="52" t="n"/>
      <c r="I254" s="52" t="n"/>
      <c r="J254" s="52" t="n"/>
      <c r="K254" s="52" t="n"/>
      <c r="L254" s="52" t="n"/>
      <c r="M254" s="52" t="n"/>
      <c r="N254" s="52" t="n"/>
      <c r="O254" s="52" t="n"/>
      <c r="P254" s="52" t="n"/>
      <c r="Q254" s="52" t="n"/>
      <c r="R254" s="52" t="n"/>
      <c r="S254" s="52" t="n"/>
      <c r="T254" s="52" t="n"/>
      <c r="U254" s="52" t="n"/>
      <c r="V254" s="52" t="n"/>
      <c r="W254" s="52" t="n"/>
      <c r="X254" s="52" t="n"/>
      <c r="Y254" s="52" t="n"/>
      <c r="Z254" s="52" t="n"/>
    </row>
    <row r="255" ht="15.75" customHeight="1" s="153">
      <c r="A255" s="54" t="n"/>
      <c r="B255" s="54" t="n"/>
      <c r="C255" s="54" t="n"/>
      <c r="D255" s="52" t="n"/>
      <c r="E255" s="52" t="n"/>
      <c r="F255" s="52" t="n"/>
      <c r="G255" s="52" t="n"/>
      <c r="H255" s="52" t="n"/>
      <c r="I255" s="52" t="n"/>
      <c r="J255" s="52" t="n"/>
      <c r="K255" s="52" t="n"/>
      <c r="L255" s="52" t="n"/>
      <c r="M255" s="52" t="n"/>
      <c r="N255" s="52" t="n"/>
      <c r="O255" s="52" t="n"/>
      <c r="P255" s="52" t="n"/>
      <c r="Q255" s="52" t="n"/>
      <c r="R255" s="52" t="n"/>
      <c r="S255" s="52" t="n"/>
      <c r="T255" s="52" t="n"/>
      <c r="U255" s="52" t="n"/>
      <c r="V255" s="52" t="n"/>
      <c r="W255" s="52" t="n"/>
      <c r="X255" s="52" t="n"/>
      <c r="Y255" s="52" t="n"/>
      <c r="Z255" s="52" t="n"/>
    </row>
    <row r="256" ht="15.75" customHeight="1" s="153">
      <c r="A256" s="54" t="n"/>
      <c r="B256" s="54" t="n"/>
      <c r="C256" s="54" t="n"/>
      <c r="D256" s="52" t="n"/>
      <c r="E256" s="52" t="n"/>
      <c r="F256" s="52" t="n"/>
      <c r="G256" s="52" t="n"/>
      <c r="H256" s="52" t="n"/>
      <c r="I256" s="52" t="n"/>
      <c r="J256" s="52" t="n"/>
      <c r="K256" s="52" t="n"/>
      <c r="L256" s="52" t="n"/>
      <c r="M256" s="52" t="n"/>
      <c r="N256" s="52" t="n"/>
      <c r="O256" s="52" t="n"/>
      <c r="P256" s="52" t="n"/>
      <c r="Q256" s="52" t="n"/>
      <c r="R256" s="52" t="n"/>
      <c r="S256" s="52" t="n"/>
      <c r="T256" s="52" t="n"/>
      <c r="U256" s="52" t="n"/>
      <c r="V256" s="52" t="n"/>
      <c r="W256" s="52" t="n"/>
      <c r="X256" s="52" t="n"/>
      <c r="Y256" s="52" t="n"/>
      <c r="Z256" s="52" t="n"/>
    </row>
    <row r="257" ht="15.75" customHeight="1" s="153">
      <c r="A257" s="54" t="n"/>
      <c r="B257" s="54" t="n"/>
      <c r="C257" s="54" t="n"/>
      <c r="D257" s="52" t="n"/>
      <c r="E257" s="52" t="n"/>
      <c r="F257" s="52" t="n"/>
      <c r="G257" s="52" t="n"/>
      <c r="H257" s="52" t="n"/>
      <c r="I257" s="52" t="n"/>
      <c r="J257" s="52" t="n"/>
      <c r="K257" s="52" t="n"/>
      <c r="L257" s="52" t="n"/>
      <c r="M257" s="52" t="n"/>
      <c r="N257" s="52" t="n"/>
      <c r="O257" s="52" t="n"/>
      <c r="P257" s="52" t="n"/>
      <c r="Q257" s="52" t="n"/>
      <c r="R257" s="52" t="n"/>
      <c r="S257" s="52" t="n"/>
      <c r="T257" s="52" t="n"/>
      <c r="U257" s="52" t="n"/>
      <c r="V257" s="52" t="n"/>
      <c r="W257" s="52" t="n"/>
      <c r="X257" s="52" t="n"/>
      <c r="Y257" s="52" t="n"/>
      <c r="Z257" s="52" t="n"/>
    </row>
    <row r="258" ht="15.75" customHeight="1" s="153">
      <c r="A258" s="54" t="n"/>
      <c r="B258" s="54" t="n"/>
      <c r="C258" s="54" t="n"/>
      <c r="D258" s="52" t="n"/>
      <c r="E258" s="52" t="n"/>
      <c r="F258" s="52" t="n"/>
      <c r="G258" s="52" t="n"/>
      <c r="H258" s="52" t="n"/>
      <c r="I258" s="52" t="n"/>
      <c r="J258" s="52" t="n"/>
      <c r="K258" s="52" t="n"/>
      <c r="L258" s="52" t="n"/>
      <c r="M258" s="52" t="n"/>
      <c r="N258" s="52" t="n"/>
      <c r="O258" s="52" t="n"/>
      <c r="P258" s="52" t="n"/>
      <c r="Q258" s="52" t="n"/>
      <c r="R258" s="52" t="n"/>
      <c r="S258" s="52" t="n"/>
      <c r="T258" s="52" t="n"/>
      <c r="U258" s="52" t="n"/>
      <c r="V258" s="52" t="n"/>
      <c r="W258" s="52" t="n"/>
      <c r="X258" s="52" t="n"/>
      <c r="Y258" s="52" t="n"/>
      <c r="Z258" s="52" t="n"/>
    </row>
    <row r="259" ht="15.75" customHeight="1" s="153">
      <c r="A259" s="54" t="n"/>
      <c r="B259" s="54" t="n"/>
      <c r="C259" s="54" t="n"/>
      <c r="D259" s="52" t="n"/>
      <c r="E259" s="52" t="n"/>
      <c r="F259" s="52" t="n"/>
      <c r="G259" s="52" t="n"/>
      <c r="H259" s="52" t="n"/>
      <c r="I259" s="52" t="n"/>
      <c r="J259" s="52" t="n"/>
      <c r="K259" s="52" t="n"/>
      <c r="L259" s="52" t="n"/>
      <c r="M259" s="52" t="n"/>
      <c r="N259" s="52" t="n"/>
      <c r="O259" s="52" t="n"/>
      <c r="P259" s="52" t="n"/>
      <c r="Q259" s="52" t="n"/>
      <c r="R259" s="52" t="n"/>
      <c r="S259" s="52" t="n"/>
      <c r="T259" s="52" t="n"/>
      <c r="U259" s="52" t="n"/>
      <c r="V259" s="52" t="n"/>
      <c r="W259" s="52" t="n"/>
      <c r="X259" s="52" t="n"/>
      <c r="Y259" s="52" t="n"/>
      <c r="Z259" s="52" t="n"/>
    </row>
    <row r="260" ht="15.75" customHeight="1" s="153">
      <c r="A260" s="54" t="n"/>
      <c r="B260" s="54" t="n"/>
      <c r="C260" s="54" t="n"/>
      <c r="D260" s="52" t="n"/>
      <c r="E260" s="52" t="n"/>
      <c r="F260" s="52" t="n"/>
      <c r="G260" s="52" t="n"/>
      <c r="H260" s="52" t="n"/>
      <c r="I260" s="52" t="n"/>
      <c r="J260" s="52" t="n"/>
      <c r="K260" s="52" t="n"/>
      <c r="L260" s="52" t="n"/>
      <c r="M260" s="52" t="n"/>
      <c r="N260" s="52" t="n"/>
      <c r="O260" s="52" t="n"/>
      <c r="P260" s="52" t="n"/>
      <c r="Q260" s="52" t="n"/>
      <c r="R260" s="52" t="n"/>
      <c r="S260" s="52" t="n"/>
      <c r="T260" s="52" t="n"/>
      <c r="U260" s="52" t="n"/>
      <c r="V260" s="52" t="n"/>
      <c r="W260" s="52" t="n"/>
      <c r="X260" s="52" t="n"/>
      <c r="Y260" s="52" t="n"/>
      <c r="Z260" s="52" t="n"/>
    </row>
    <row r="261" ht="15.75" customHeight="1" s="153">
      <c r="A261" s="54" t="n"/>
      <c r="B261" s="54" t="n"/>
      <c r="C261" s="54" t="n"/>
      <c r="D261" s="52" t="n"/>
      <c r="E261" s="52" t="n"/>
      <c r="F261" s="52" t="n"/>
      <c r="G261" s="52" t="n"/>
      <c r="H261" s="52" t="n"/>
      <c r="I261" s="52" t="n"/>
      <c r="J261" s="52" t="n"/>
      <c r="K261" s="52" t="n"/>
      <c r="L261" s="52" t="n"/>
      <c r="M261" s="52" t="n"/>
      <c r="N261" s="52" t="n"/>
      <c r="O261" s="52" t="n"/>
      <c r="P261" s="52" t="n"/>
      <c r="Q261" s="52" t="n"/>
      <c r="R261" s="52" t="n"/>
      <c r="S261" s="52" t="n"/>
      <c r="T261" s="52" t="n"/>
      <c r="U261" s="52" t="n"/>
      <c r="V261" s="52" t="n"/>
      <c r="W261" s="52" t="n"/>
      <c r="X261" s="52" t="n"/>
      <c r="Y261" s="52" t="n"/>
      <c r="Z261" s="52" t="n"/>
    </row>
    <row r="262" ht="15.75" customHeight="1" s="153">
      <c r="A262" s="54" t="n"/>
      <c r="B262" s="54" t="n"/>
      <c r="C262" s="54" t="n"/>
      <c r="D262" s="52" t="n"/>
      <c r="E262" s="52" t="n"/>
      <c r="F262" s="52" t="n"/>
      <c r="G262" s="52" t="n"/>
      <c r="H262" s="52" t="n"/>
      <c r="I262" s="52" t="n"/>
      <c r="J262" s="52" t="n"/>
      <c r="K262" s="52" t="n"/>
      <c r="L262" s="52" t="n"/>
      <c r="M262" s="52" t="n"/>
      <c r="N262" s="52" t="n"/>
      <c r="O262" s="52" t="n"/>
      <c r="P262" s="52" t="n"/>
      <c r="Q262" s="52" t="n"/>
      <c r="R262" s="52" t="n"/>
      <c r="S262" s="52" t="n"/>
      <c r="T262" s="52" t="n"/>
      <c r="U262" s="52" t="n"/>
      <c r="V262" s="52" t="n"/>
      <c r="W262" s="52" t="n"/>
      <c r="X262" s="52" t="n"/>
      <c r="Y262" s="52" t="n"/>
      <c r="Z262" s="52" t="n"/>
    </row>
    <row r="263" ht="15.75" customHeight="1" s="153">
      <c r="A263" s="54" t="n"/>
      <c r="B263" s="54" t="n"/>
      <c r="C263" s="54" t="n"/>
      <c r="D263" s="52" t="n"/>
      <c r="E263" s="52" t="n"/>
      <c r="F263" s="52" t="n"/>
      <c r="G263" s="52" t="n"/>
      <c r="H263" s="52" t="n"/>
      <c r="I263" s="52" t="n"/>
      <c r="J263" s="52" t="n"/>
      <c r="K263" s="52" t="n"/>
      <c r="L263" s="52" t="n"/>
      <c r="M263" s="52" t="n"/>
      <c r="N263" s="52" t="n"/>
      <c r="O263" s="52" t="n"/>
      <c r="P263" s="52" t="n"/>
      <c r="Q263" s="52" t="n"/>
      <c r="R263" s="52" t="n"/>
      <c r="S263" s="52" t="n"/>
      <c r="T263" s="52" t="n"/>
      <c r="U263" s="52" t="n"/>
      <c r="V263" s="52" t="n"/>
      <c r="W263" s="52" t="n"/>
      <c r="X263" s="52" t="n"/>
      <c r="Y263" s="52" t="n"/>
      <c r="Z263" s="52" t="n"/>
    </row>
    <row r="264" ht="15.75" customHeight="1" s="153">
      <c r="A264" s="54" t="n"/>
      <c r="B264" s="54" t="n"/>
      <c r="C264" s="54" t="n"/>
      <c r="D264" s="52" t="n"/>
      <c r="E264" s="52" t="n"/>
      <c r="F264" s="52" t="n"/>
      <c r="G264" s="52" t="n"/>
      <c r="H264" s="52" t="n"/>
      <c r="I264" s="52" t="n"/>
      <c r="J264" s="52" t="n"/>
      <c r="K264" s="52" t="n"/>
      <c r="L264" s="52" t="n"/>
      <c r="M264" s="52" t="n"/>
      <c r="N264" s="52" t="n"/>
      <c r="O264" s="52" t="n"/>
      <c r="P264" s="52" t="n"/>
      <c r="Q264" s="52" t="n"/>
      <c r="R264" s="52" t="n"/>
      <c r="S264" s="52" t="n"/>
      <c r="T264" s="52" t="n"/>
      <c r="U264" s="52" t="n"/>
      <c r="V264" s="52" t="n"/>
      <c r="W264" s="52" t="n"/>
      <c r="X264" s="52" t="n"/>
      <c r="Y264" s="52" t="n"/>
      <c r="Z264" s="52" t="n"/>
    </row>
    <row r="265" ht="15.75" customHeight="1" s="153">
      <c r="A265" s="54" t="n"/>
      <c r="B265" s="54" t="n"/>
      <c r="C265" s="54" t="n"/>
      <c r="D265" s="52" t="n"/>
      <c r="E265" s="52" t="n"/>
      <c r="F265" s="52" t="n"/>
      <c r="G265" s="52" t="n"/>
      <c r="H265" s="52" t="n"/>
      <c r="I265" s="52" t="n"/>
      <c r="J265" s="52" t="n"/>
      <c r="K265" s="52" t="n"/>
      <c r="L265" s="52" t="n"/>
      <c r="M265" s="52" t="n"/>
      <c r="N265" s="52" t="n"/>
      <c r="O265" s="52" t="n"/>
      <c r="P265" s="52" t="n"/>
      <c r="Q265" s="52" t="n"/>
      <c r="R265" s="52" t="n"/>
      <c r="S265" s="52" t="n"/>
      <c r="T265" s="52" t="n"/>
      <c r="U265" s="52" t="n"/>
      <c r="V265" s="52" t="n"/>
      <c r="W265" s="52" t="n"/>
      <c r="X265" s="52" t="n"/>
      <c r="Y265" s="52" t="n"/>
      <c r="Z265" s="52" t="n"/>
    </row>
    <row r="266" ht="15.75" customHeight="1" s="153">
      <c r="A266" s="54" t="n"/>
      <c r="B266" s="54" t="n"/>
      <c r="C266" s="54" t="n"/>
      <c r="D266" s="52" t="n"/>
      <c r="E266" s="52" t="n"/>
      <c r="F266" s="52" t="n"/>
      <c r="G266" s="52" t="n"/>
      <c r="H266" s="52" t="n"/>
      <c r="I266" s="52" t="n"/>
      <c r="J266" s="52" t="n"/>
      <c r="K266" s="52" t="n"/>
      <c r="L266" s="52" t="n"/>
      <c r="M266" s="52" t="n"/>
      <c r="N266" s="52" t="n"/>
      <c r="O266" s="52" t="n"/>
      <c r="P266" s="52" t="n"/>
      <c r="Q266" s="52" t="n"/>
      <c r="R266" s="52" t="n"/>
      <c r="S266" s="52" t="n"/>
      <c r="T266" s="52" t="n"/>
      <c r="U266" s="52" t="n"/>
      <c r="V266" s="52" t="n"/>
      <c r="W266" s="52" t="n"/>
      <c r="X266" s="52" t="n"/>
      <c r="Y266" s="52" t="n"/>
      <c r="Z266" s="52" t="n"/>
    </row>
    <row r="267" ht="15.75" customHeight="1" s="153">
      <c r="A267" s="54" t="n"/>
      <c r="B267" s="54" t="n"/>
      <c r="C267" s="54" t="n"/>
      <c r="D267" s="52" t="n"/>
      <c r="E267" s="52" t="n"/>
      <c r="F267" s="52" t="n"/>
      <c r="G267" s="52" t="n"/>
      <c r="H267" s="52" t="n"/>
      <c r="I267" s="52" t="n"/>
      <c r="J267" s="52" t="n"/>
      <c r="K267" s="52" t="n"/>
      <c r="L267" s="52" t="n"/>
      <c r="M267" s="52" t="n"/>
      <c r="N267" s="52" t="n"/>
      <c r="O267" s="52" t="n"/>
      <c r="P267" s="52" t="n"/>
      <c r="Q267" s="52" t="n"/>
      <c r="R267" s="52" t="n"/>
      <c r="S267" s="52" t="n"/>
      <c r="T267" s="52" t="n"/>
      <c r="U267" s="52" t="n"/>
      <c r="V267" s="52" t="n"/>
      <c r="W267" s="52" t="n"/>
      <c r="X267" s="52" t="n"/>
      <c r="Y267" s="52" t="n"/>
      <c r="Z267" s="52" t="n"/>
    </row>
    <row r="268" ht="15.75" customHeight="1" s="153">
      <c r="A268" s="54" t="n"/>
      <c r="B268" s="54" t="n"/>
      <c r="C268" s="54" t="n"/>
      <c r="D268" s="52" t="n"/>
      <c r="E268" s="52" t="n"/>
      <c r="F268" s="52" t="n"/>
      <c r="G268" s="52" t="n"/>
      <c r="H268" s="52" t="n"/>
      <c r="I268" s="52" t="n"/>
      <c r="J268" s="52" t="n"/>
      <c r="K268" s="52" t="n"/>
      <c r="L268" s="52" t="n"/>
      <c r="M268" s="52" t="n"/>
      <c r="N268" s="52" t="n"/>
      <c r="O268" s="52" t="n"/>
      <c r="P268" s="52" t="n"/>
      <c r="Q268" s="52" t="n"/>
      <c r="R268" s="52" t="n"/>
      <c r="S268" s="52" t="n"/>
      <c r="T268" s="52" t="n"/>
      <c r="U268" s="52" t="n"/>
      <c r="V268" s="52" t="n"/>
      <c r="W268" s="52" t="n"/>
      <c r="X268" s="52" t="n"/>
      <c r="Y268" s="52" t="n"/>
      <c r="Z268" s="52" t="n"/>
    </row>
    <row r="269" ht="15.75" customHeight="1" s="153">
      <c r="A269" s="54" t="n"/>
      <c r="B269" s="54" t="n"/>
      <c r="C269" s="54" t="n"/>
      <c r="D269" s="52" t="n"/>
      <c r="E269" s="52" t="n"/>
      <c r="F269" s="52" t="n"/>
      <c r="G269" s="52" t="n"/>
      <c r="H269" s="52" t="n"/>
      <c r="I269" s="52" t="n"/>
      <c r="J269" s="52" t="n"/>
      <c r="K269" s="52" t="n"/>
      <c r="L269" s="52" t="n"/>
      <c r="M269" s="52" t="n"/>
      <c r="N269" s="52" t="n"/>
      <c r="O269" s="52" t="n"/>
      <c r="P269" s="52" t="n"/>
      <c r="Q269" s="52" t="n"/>
      <c r="R269" s="52" t="n"/>
      <c r="S269" s="52" t="n"/>
      <c r="T269" s="52" t="n"/>
      <c r="U269" s="52" t="n"/>
      <c r="V269" s="52" t="n"/>
      <c r="W269" s="52" t="n"/>
      <c r="X269" s="52" t="n"/>
      <c r="Y269" s="52" t="n"/>
      <c r="Z269" s="52" t="n"/>
    </row>
    <row r="270" ht="15.75" customHeight="1" s="153">
      <c r="A270" s="54" t="n"/>
      <c r="B270" s="54" t="n"/>
      <c r="C270" s="54" t="n"/>
      <c r="D270" s="52" t="n"/>
      <c r="E270" s="52" t="n"/>
      <c r="F270" s="52" t="n"/>
      <c r="G270" s="52" t="n"/>
      <c r="H270" s="52" t="n"/>
      <c r="I270" s="52" t="n"/>
      <c r="J270" s="52" t="n"/>
      <c r="K270" s="52" t="n"/>
      <c r="L270" s="52" t="n"/>
      <c r="M270" s="52" t="n"/>
      <c r="N270" s="52" t="n"/>
      <c r="O270" s="52" t="n"/>
      <c r="P270" s="52" t="n"/>
      <c r="Q270" s="52" t="n"/>
      <c r="R270" s="52" t="n"/>
      <c r="S270" s="52" t="n"/>
      <c r="T270" s="52" t="n"/>
      <c r="U270" s="52" t="n"/>
      <c r="V270" s="52" t="n"/>
      <c r="W270" s="52" t="n"/>
      <c r="X270" s="52" t="n"/>
      <c r="Y270" s="52" t="n"/>
      <c r="Z270" s="52" t="n"/>
    </row>
    <row r="271" ht="15.75" customHeight="1" s="153">
      <c r="A271" s="54" t="n"/>
      <c r="B271" s="54" t="n"/>
      <c r="C271" s="54" t="n"/>
      <c r="D271" s="52" t="n"/>
      <c r="E271" s="52" t="n"/>
      <c r="F271" s="52" t="n"/>
      <c r="G271" s="52" t="n"/>
      <c r="H271" s="52" t="n"/>
      <c r="I271" s="52" t="n"/>
      <c r="J271" s="52" t="n"/>
      <c r="K271" s="52" t="n"/>
      <c r="L271" s="52" t="n"/>
      <c r="M271" s="52" t="n"/>
      <c r="N271" s="52" t="n"/>
      <c r="O271" s="52" t="n"/>
      <c r="P271" s="52" t="n"/>
      <c r="Q271" s="52" t="n"/>
      <c r="R271" s="52" t="n"/>
      <c r="S271" s="52" t="n"/>
      <c r="T271" s="52" t="n"/>
      <c r="U271" s="52" t="n"/>
      <c r="V271" s="52" t="n"/>
      <c r="W271" s="52" t="n"/>
      <c r="X271" s="52" t="n"/>
      <c r="Y271" s="52" t="n"/>
      <c r="Z271" s="52" t="n"/>
    </row>
    <row r="272" ht="15.75" customHeight="1" s="153">
      <c r="A272" s="54" t="n"/>
      <c r="B272" s="54" t="n"/>
      <c r="C272" s="54" t="n"/>
      <c r="D272" s="52" t="n"/>
      <c r="E272" s="52" t="n"/>
      <c r="F272" s="52" t="n"/>
      <c r="G272" s="52" t="n"/>
      <c r="H272" s="52" t="n"/>
      <c r="I272" s="52" t="n"/>
      <c r="J272" s="52" t="n"/>
      <c r="K272" s="52" t="n"/>
      <c r="L272" s="52" t="n"/>
      <c r="M272" s="52" t="n"/>
      <c r="N272" s="52" t="n"/>
      <c r="O272" s="52" t="n"/>
      <c r="P272" s="52" t="n"/>
      <c r="Q272" s="52" t="n"/>
      <c r="R272" s="52" t="n"/>
      <c r="S272" s="52" t="n"/>
      <c r="T272" s="52" t="n"/>
      <c r="U272" s="52" t="n"/>
      <c r="V272" s="52" t="n"/>
      <c r="W272" s="52" t="n"/>
      <c r="X272" s="52" t="n"/>
      <c r="Y272" s="52" t="n"/>
      <c r="Z272" s="52" t="n"/>
    </row>
    <row r="273" ht="15.75" customHeight="1" s="153">
      <c r="A273" s="54" t="n"/>
      <c r="B273" s="54" t="n"/>
      <c r="C273" s="54" t="n"/>
      <c r="D273" s="52" t="n"/>
      <c r="E273" s="52" t="n"/>
      <c r="F273" s="52" t="n"/>
      <c r="G273" s="52" t="n"/>
      <c r="H273" s="52" t="n"/>
      <c r="I273" s="52" t="n"/>
      <c r="J273" s="52" t="n"/>
      <c r="K273" s="52" t="n"/>
      <c r="L273" s="52" t="n"/>
      <c r="M273" s="52" t="n"/>
      <c r="N273" s="52" t="n"/>
      <c r="O273" s="52" t="n"/>
      <c r="P273" s="52" t="n"/>
      <c r="Q273" s="52" t="n"/>
      <c r="R273" s="52" t="n"/>
      <c r="S273" s="52" t="n"/>
      <c r="T273" s="52" t="n"/>
      <c r="U273" s="52" t="n"/>
      <c r="V273" s="52" t="n"/>
      <c r="W273" s="52" t="n"/>
      <c r="X273" s="52" t="n"/>
      <c r="Y273" s="52" t="n"/>
      <c r="Z273" s="52" t="n"/>
    </row>
    <row r="274" ht="15.75" customHeight="1" s="153">
      <c r="A274" s="54" t="n"/>
      <c r="B274" s="54" t="n"/>
      <c r="C274" s="54" t="n"/>
      <c r="D274" s="52" t="n"/>
      <c r="E274" s="52" t="n"/>
      <c r="F274" s="52" t="n"/>
      <c r="G274" s="52" t="n"/>
      <c r="H274" s="52" t="n"/>
      <c r="I274" s="52" t="n"/>
      <c r="J274" s="52" t="n"/>
      <c r="K274" s="52" t="n"/>
      <c r="L274" s="52" t="n"/>
      <c r="M274" s="52" t="n"/>
      <c r="N274" s="52" t="n"/>
      <c r="O274" s="52" t="n"/>
      <c r="P274" s="52" t="n"/>
      <c r="Q274" s="52" t="n"/>
      <c r="R274" s="52" t="n"/>
      <c r="S274" s="52" t="n"/>
      <c r="T274" s="52" t="n"/>
      <c r="U274" s="52" t="n"/>
      <c r="V274" s="52" t="n"/>
      <c r="W274" s="52" t="n"/>
      <c r="X274" s="52" t="n"/>
      <c r="Y274" s="52" t="n"/>
      <c r="Z274" s="52" t="n"/>
    </row>
    <row r="275" ht="15.75" customHeight="1" s="153">
      <c r="A275" s="54" t="n"/>
      <c r="B275" s="54" t="n"/>
      <c r="C275" s="54" t="n"/>
      <c r="D275" s="52" t="n"/>
      <c r="E275" s="52" t="n"/>
      <c r="F275" s="52" t="n"/>
      <c r="G275" s="52" t="n"/>
      <c r="H275" s="52" t="n"/>
      <c r="I275" s="52" t="n"/>
      <c r="J275" s="52" t="n"/>
      <c r="K275" s="52" t="n"/>
      <c r="L275" s="52" t="n"/>
      <c r="M275" s="52" t="n"/>
      <c r="N275" s="52" t="n"/>
      <c r="O275" s="52" t="n"/>
      <c r="P275" s="52" t="n"/>
      <c r="Q275" s="52" t="n"/>
      <c r="R275" s="52" t="n"/>
      <c r="S275" s="52" t="n"/>
      <c r="T275" s="52" t="n"/>
      <c r="U275" s="52" t="n"/>
      <c r="V275" s="52" t="n"/>
      <c r="W275" s="52" t="n"/>
      <c r="X275" s="52" t="n"/>
      <c r="Y275" s="52" t="n"/>
      <c r="Z275" s="52" t="n"/>
    </row>
    <row r="276" ht="15.75" customHeight="1" s="153">
      <c r="A276" s="54" t="n"/>
      <c r="B276" s="54" t="n"/>
      <c r="C276" s="54" t="n"/>
      <c r="D276" s="52" t="n"/>
      <c r="E276" s="52" t="n"/>
      <c r="F276" s="52" t="n"/>
      <c r="G276" s="52" t="n"/>
      <c r="H276" s="52" t="n"/>
      <c r="I276" s="52" t="n"/>
      <c r="J276" s="52" t="n"/>
      <c r="K276" s="52" t="n"/>
      <c r="L276" s="52" t="n"/>
      <c r="M276" s="52" t="n"/>
      <c r="N276" s="52" t="n"/>
      <c r="O276" s="52" t="n"/>
      <c r="P276" s="52" t="n"/>
      <c r="Q276" s="52" t="n"/>
      <c r="R276" s="52" t="n"/>
      <c r="S276" s="52" t="n"/>
      <c r="T276" s="52" t="n"/>
      <c r="U276" s="52" t="n"/>
      <c r="V276" s="52" t="n"/>
      <c r="W276" s="52" t="n"/>
      <c r="X276" s="52" t="n"/>
      <c r="Y276" s="52" t="n"/>
      <c r="Z276" s="52" t="n"/>
    </row>
    <row r="277" ht="15.75" customHeight="1" s="153">
      <c r="A277" s="54" t="n"/>
      <c r="B277" s="54" t="n"/>
      <c r="C277" s="54" t="n"/>
      <c r="D277" s="52" t="n"/>
      <c r="E277" s="52" t="n"/>
      <c r="F277" s="52" t="n"/>
      <c r="G277" s="52" t="n"/>
      <c r="H277" s="52" t="n"/>
      <c r="I277" s="52" t="n"/>
      <c r="J277" s="52" t="n"/>
      <c r="K277" s="52" t="n"/>
      <c r="L277" s="52" t="n"/>
      <c r="M277" s="52" t="n"/>
      <c r="N277" s="52" t="n"/>
      <c r="O277" s="52" t="n"/>
      <c r="P277" s="52" t="n"/>
      <c r="Q277" s="52" t="n"/>
      <c r="R277" s="52" t="n"/>
      <c r="S277" s="52" t="n"/>
      <c r="T277" s="52" t="n"/>
      <c r="U277" s="52" t="n"/>
      <c r="V277" s="52" t="n"/>
      <c r="W277" s="52" t="n"/>
      <c r="X277" s="52" t="n"/>
      <c r="Y277" s="52" t="n"/>
      <c r="Z277" s="52" t="n"/>
    </row>
    <row r="278" ht="15.75" customHeight="1" s="153">
      <c r="A278" s="54" t="n"/>
      <c r="B278" s="54" t="n"/>
      <c r="C278" s="54" t="n"/>
      <c r="D278" s="52" t="n"/>
      <c r="E278" s="52" t="n"/>
      <c r="F278" s="52" t="n"/>
      <c r="G278" s="52" t="n"/>
      <c r="H278" s="52" t="n"/>
      <c r="I278" s="52" t="n"/>
      <c r="J278" s="52" t="n"/>
      <c r="K278" s="52" t="n"/>
      <c r="L278" s="52" t="n"/>
      <c r="M278" s="52" t="n"/>
      <c r="N278" s="52" t="n"/>
      <c r="O278" s="52" t="n"/>
      <c r="P278" s="52" t="n"/>
      <c r="Q278" s="52" t="n"/>
      <c r="R278" s="52" t="n"/>
      <c r="S278" s="52" t="n"/>
      <c r="T278" s="52" t="n"/>
      <c r="U278" s="52" t="n"/>
      <c r="V278" s="52" t="n"/>
      <c r="W278" s="52" t="n"/>
      <c r="X278" s="52" t="n"/>
      <c r="Y278" s="52" t="n"/>
      <c r="Z278" s="52" t="n"/>
    </row>
    <row r="279" ht="15.75" customHeight="1" s="153">
      <c r="A279" s="54" t="n"/>
      <c r="B279" s="54" t="n"/>
      <c r="C279" s="54" t="n"/>
      <c r="D279" s="52" t="n"/>
      <c r="E279" s="52" t="n"/>
      <c r="F279" s="52" t="n"/>
      <c r="G279" s="52" t="n"/>
      <c r="H279" s="52" t="n"/>
      <c r="I279" s="52" t="n"/>
      <c r="J279" s="52" t="n"/>
      <c r="K279" s="52" t="n"/>
      <c r="L279" s="52" t="n"/>
      <c r="M279" s="52" t="n"/>
      <c r="N279" s="52" t="n"/>
      <c r="O279" s="52" t="n"/>
      <c r="P279" s="52" t="n"/>
      <c r="Q279" s="52" t="n"/>
      <c r="R279" s="52" t="n"/>
      <c r="S279" s="52" t="n"/>
      <c r="T279" s="52" t="n"/>
      <c r="U279" s="52" t="n"/>
      <c r="V279" s="52" t="n"/>
      <c r="W279" s="52" t="n"/>
      <c r="X279" s="52" t="n"/>
      <c r="Y279" s="52" t="n"/>
      <c r="Z279" s="52" t="n"/>
    </row>
    <row r="280" ht="15.75" customHeight="1" s="153">
      <c r="A280" s="54" t="n"/>
      <c r="B280" s="54" t="n"/>
      <c r="C280" s="54" t="n"/>
      <c r="D280" s="52" t="n"/>
      <c r="E280" s="52" t="n"/>
      <c r="F280" s="52" t="n"/>
      <c r="G280" s="52" t="n"/>
      <c r="H280" s="52" t="n"/>
      <c r="I280" s="52" t="n"/>
      <c r="J280" s="52" t="n"/>
      <c r="K280" s="52" t="n"/>
      <c r="L280" s="52" t="n"/>
      <c r="M280" s="52" t="n"/>
      <c r="N280" s="52" t="n"/>
      <c r="O280" s="52" t="n"/>
      <c r="P280" s="52" t="n"/>
      <c r="Q280" s="52" t="n"/>
      <c r="R280" s="52" t="n"/>
      <c r="S280" s="52" t="n"/>
      <c r="T280" s="52" t="n"/>
      <c r="U280" s="52" t="n"/>
      <c r="V280" s="52" t="n"/>
      <c r="W280" s="52" t="n"/>
      <c r="X280" s="52" t="n"/>
      <c r="Y280" s="52" t="n"/>
      <c r="Z280" s="52" t="n"/>
    </row>
    <row r="281" ht="15.75" customHeight="1" s="153">
      <c r="A281" s="54" t="n"/>
      <c r="B281" s="54" t="n"/>
      <c r="C281" s="54" t="n"/>
      <c r="D281" s="52" t="n"/>
      <c r="E281" s="52" t="n"/>
      <c r="F281" s="52" t="n"/>
      <c r="G281" s="52" t="n"/>
      <c r="H281" s="52" t="n"/>
      <c r="I281" s="52" t="n"/>
      <c r="J281" s="52" t="n"/>
      <c r="K281" s="52" t="n"/>
      <c r="L281" s="52" t="n"/>
      <c r="M281" s="52" t="n"/>
      <c r="N281" s="52" t="n"/>
      <c r="O281" s="52" t="n"/>
      <c r="P281" s="52" t="n"/>
      <c r="Q281" s="52" t="n"/>
      <c r="R281" s="52" t="n"/>
      <c r="S281" s="52" t="n"/>
      <c r="T281" s="52" t="n"/>
      <c r="U281" s="52" t="n"/>
      <c r="V281" s="52" t="n"/>
      <c r="W281" s="52" t="n"/>
      <c r="X281" s="52" t="n"/>
      <c r="Y281" s="52" t="n"/>
      <c r="Z281" s="52" t="n"/>
    </row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15">
    <mergeCell ref="A28:C28"/>
    <mergeCell ref="A19:C19"/>
    <mergeCell ref="A36:C36"/>
    <mergeCell ref="A33:C33"/>
    <mergeCell ref="A23:C23"/>
    <mergeCell ref="A32:C32"/>
    <mergeCell ref="A43:C43"/>
    <mergeCell ref="A22:C22"/>
    <mergeCell ref="A40:C40"/>
    <mergeCell ref="A27:C27"/>
    <mergeCell ref="A21:C21"/>
    <mergeCell ref="A39:C39"/>
    <mergeCell ref="A29:C29"/>
    <mergeCell ref="A20:C20"/>
    <mergeCell ref="A26:C26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53" min="1" max="1"/>
    <col width="12" customWidth="1" style="153" min="2" max="2"/>
    <col width="10" customWidth="1" style="153" min="3" max="3"/>
    <col width="12" customWidth="1" style="153" min="4" max="4"/>
    <col width="10" customWidth="1" style="153" min="5" max="5"/>
    <col width="14" customWidth="1" style="153" min="6" max="7"/>
    <col width="12" customWidth="1" style="153" min="8" max="8"/>
  </cols>
  <sheetData>
    <row r="1" ht="15" customHeight="1" s="153">
      <c r="A1" s="26" t="inlineStr">
        <is>
          <t>CHAMPION PROBABILITIES — your model vs Opta vs market (context only; you are betting matches, not outrights)</t>
        </is>
      </c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4" t="n"/>
      <c r="B2" s="54" t="n"/>
      <c r="C2" s="54" t="n"/>
      <c r="D2" s="54" t="n"/>
      <c r="E2" s="54" t="n"/>
      <c r="F2" s="54" t="n"/>
      <c r="G2" s="54" t="n"/>
      <c r="H2" s="54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 ht="15" customHeight="1" s="153">
      <c r="A3" s="27" t="inlineStr">
        <is>
          <t>Team</t>
        </is>
      </c>
      <c r="B3" s="27" t="inlineStr">
        <is>
          <t>Your model</t>
        </is>
      </c>
      <c r="C3" s="27" t="inlineStr">
        <is>
          <t>Fair odds</t>
        </is>
      </c>
      <c r="D3" s="27" t="inlineStr">
        <is>
          <t>Opta 25k sims</t>
        </is>
      </c>
      <c r="E3" s="27" t="inlineStr">
        <is>
          <t>Fair odds</t>
        </is>
      </c>
      <c r="F3" s="27" t="inlineStr">
        <is>
          <t>Model − Opta (pp)</t>
        </is>
      </c>
      <c r="G3" s="27" t="inlineStr">
        <is>
          <t>Bookie odds (enter)</t>
        </is>
      </c>
      <c r="H3" s="27" t="inlineStr">
        <is>
          <t>Implied</t>
        </is>
      </c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15" customHeight="1" s="153">
      <c r="A4" s="31" t="inlineStr">
        <is>
          <t>Spain</t>
        </is>
      </c>
      <c r="B4" s="140" t="n">
        <v>0.241</v>
      </c>
      <c r="C4" s="33">
        <f>1/B4</f>
        <v/>
      </c>
      <c r="D4" s="140" t="n">
        <v>0.161</v>
      </c>
      <c r="E4" s="33">
        <f>1/D4</f>
        <v/>
      </c>
      <c r="F4" s="140">
        <f>B4-D4</f>
        <v/>
      </c>
      <c r="G4" s="141" t="n"/>
      <c r="H4" s="140">
        <f>IF(G4="","",1/G4)</f>
        <v/>
      </c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 ht="15" customHeight="1" s="153">
      <c r="A5" s="31" t="inlineStr">
        <is>
          <t>Argentina</t>
        </is>
      </c>
      <c r="B5" s="140" t="n">
        <v>0.183</v>
      </c>
      <c r="C5" s="33">
        <f>1/B5</f>
        <v/>
      </c>
      <c r="D5" s="140" t="n">
        <v>0.104</v>
      </c>
      <c r="E5" s="33">
        <f>1/D5</f>
        <v/>
      </c>
      <c r="F5" s="140">
        <f>B5-D5</f>
        <v/>
      </c>
      <c r="G5" s="141" t="n"/>
      <c r="H5" s="140">
        <f>IF(G5="","",1/G5)</f>
        <v/>
      </c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 ht="15" customHeight="1" s="153">
      <c r="A6" s="31" t="inlineStr">
        <is>
          <t>France</t>
        </is>
      </c>
      <c r="B6" s="140" t="n">
        <v>0.093</v>
      </c>
      <c r="C6" s="33">
        <f>1/B6</f>
        <v/>
      </c>
      <c r="D6" s="140" t="n">
        <v>0.13</v>
      </c>
      <c r="E6" s="33">
        <f>1/D6</f>
        <v/>
      </c>
      <c r="F6" s="140">
        <f>B6-D6</f>
        <v/>
      </c>
      <c r="G6" s="141" t="n"/>
      <c r="H6" s="140">
        <f>IF(G6="","",1/G6)</f>
        <v/>
      </c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31" t="inlineStr">
        <is>
          <t>England</t>
        </is>
      </c>
      <c r="B7" s="140" t="n">
        <v>0.07000000000000001</v>
      </c>
      <c r="C7" s="33">
        <f>1/B7</f>
        <v/>
      </c>
      <c r="D7" s="140" t="n">
        <v>0.112</v>
      </c>
      <c r="E7" s="33">
        <f>1/D7</f>
        <v/>
      </c>
      <c r="F7" s="140">
        <f>B7-D7</f>
        <v/>
      </c>
      <c r="G7" s="141" t="n"/>
      <c r="H7" s="140">
        <f>IF(G7="","",1/G7)</f>
        <v/>
      </c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5" customHeight="1" s="153">
      <c r="A8" s="31" t="inlineStr">
        <is>
          <t>Brazil</t>
        </is>
      </c>
      <c r="B8" s="140" t="n">
        <v>0.052</v>
      </c>
      <c r="C8" s="33">
        <f>1/B8</f>
        <v/>
      </c>
      <c r="D8" s="140" t="n">
        <v>0.066</v>
      </c>
      <c r="E8" s="33">
        <f>1/D8</f>
        <v/>
      </c>
      <c r="F8" s="140">
        <f>B8-D8</f>
        <v/>
      </c>
      <c r="G8" s="141" t="n"/>
      <c r="H8" s="140">
        <f>IF(G8="","",1/G8)</f>
        <v/>
      </c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31" t="inlineStr">
        <is>
          <t>Colombia</t>
        </is>
      </c>
      <c r="B9" s="140" t="n">
        <v>0.046</v>
      </c>
      <c r="C9" s="33">
        <f>1/B9</f>
        <v/>
      </c>
      <c r="D9" s="140" t="inlineStr">
        <is>
          <t>n/a</t>
        </is>
      </c>
      <c r="E9" s="33" t="n"/>
      <c r="F9" s="140" t="n"/>
      <c r="G9" s="141" t="n"/>
      <c r="H9" s="140">
        <f>IF(G9="","",1/G9)</f>
        <v/>
      </c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 ht="15" customHeight="1" s="153">
      <c r="A10" s="31" t="inlineStr">
        <is>
          <t>Portugal</t>
        </is>
      </c>
      <c r="B10" s="140" t="n">
        <v>0.045</v>
      </c>
      <c r="C10" s="33">
        <f>1/B10</f>
        <v/>
      </c>
      <c r="D10" s="140" t="n">
        <v>0.07000000000000001</v>
      </c>
      <c r="E10" s="33">
        <f>1/D10</f>
        <v/>
      </c>
      <c r="F10" s="140">
        <f>B10-D10</f>
        <v/>
      </c>
      <c r="G10" s="141" t="n"/>
      <c r="H10" s="140">
        <f>IF(G10="","",1/G10)</f>
        <v/>
      </c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 ht="15" customHeight="1" s="153">
      <c r="A11" s="31" t="inlineStr">
        <is>
          <t>Germany</t>
        </is>
      </c>
      <c r="B11" s="140" t="n">
        <v>0.034</v>
      </c>
      <c r="C11" s="33">
        <f>1/B11</f>
        <v/>
      </c>
      <c r="D11" s="140" t="n">
        <v>0.051</v>
      </c>
      <c r="E11" s="33">
        <f>1/D11</f>
        <v/>
      </c>
      <c r="F11" s="140">
        <f>B11-D11</f>
        <v/>
      </c>
      <c r="G11" s="141" t="n"/>
      <c r="H11" s="140">
        <f>IF(G11="","",1/G11)</f>
        <v/>
      </c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31" t="inlineStr">
        <is>
          <t>Netherlands</t>
        </is>
      </c>
      <c r="B12" s="140" t="n">
        <v>0.033</v>
      </c>
      <c r="C12" s="33">
        <f>1/B12</f>
        <v/>
      </c>
      <c r="D12" s="140" t="n">
        <v>0.036</v>
      </c>
      <c r="E12" s="33">
        <f>1/D12</f>
        <v/>
      </c>
      <c r="F12" s="140">
        <f>B12-D12</f>
        <v/>
      </c>
      <c r="G12" s="141" t="n"/>
      <c r="H12" s="140">
        <f>IF(G12="","",1/G12)</f>
        <v/>
      </c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31" t="inlineStr">
        <is>
          <t>Ecuador</t>
        </is>
      </c>
      <c r="B13" s="140" t="n">
        <v>0.025</v>
      </c>
      <c r="C13" s="33">
        <f>1/B13</f>
        <v/>
      </c>
      <c r="D13" s="140" t="inlineStr">
        <is>
          <t>n/a</t>
        </is>
      </c>
      <c r="E13" s="33" t="n"/>
      <c r="F13" s="140" t="n"/>
      <c r="G13" s="141" t="n"/>
      <c r="H13" s="140">
        <f>IF(G13="","",1/G13)</f>
        <v/>
      </c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31" t="inlineStr">
        <is>
          <t>Norway</t>
        </is>
      </c>
      <c r="B14" s="140" t="n">
        <v>0.018</v>
      </c>
      <c r="C14" s="33">
        <f>1/B14</f>
        <v/>
      </c>
      <c r="D14" s="140" t="inlineStr">
        <is>
          <t>n/a</t>
        </is>
      </c>
      <c r="E14" s="33" t="n"/>
      <c r="F14" s="140" t="n"/>
      <c r="G14" s="141" t="n"/>
      <c r="H14" s="140">
        <f>IF(G14="","",1/G14)</f>
        <v/>
      </c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31" t="inlineStr">
        <is>
          <t>Switzerland</t>
        </is>
      </c>
      <c r="B15" s="140" t="n">
        <v>0.016</v>
      </c>
      <c r="C15" s="33">
        <f>1/B15</f>
        <v/>
      </c>
      <c r="D15" s="140" t="inlineStr">
        <is>
          <t>n/a</t>
        </is>
      </c>
      <c r="E15" s="33" t="n"/>
      <c r="F15" s="140" t="n"/>
      <c r="G15" s="141" t="n"/>
      <c r="H15" s="140">
        <f>IF(G15="","",1/G15)</f>
        <v/>
      </c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4" t="n"/>
      <c r="B16" s="54" t="n"/>
      <c r="C16" s="54" t="n"/>
      <c r="D16" s="54" t="n"/>
      <c r="E16" s="54" t="n"/>
      <c r="F16" s="54" t="n"/>
      <c r="G16" s="54" t="n"/>
      <c r="H16" s="54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 ht="15" customHeight="1" s="153">
      <c r="A17" s="117" t="inlineStr">
        <is>
          <t>Read: your model is ~8pp hotter than Opta on Spain and Argentina and cooler on France/England. The market sits nearer Opta. Treat your model's strong-favourite probabilities as overconfident — that is exactly why match betting uses the 35% blend weight.</t>
        </is>
      </c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 ht="15" customHeight="1" s="153"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15" customHeight="1" s="153">
      <c r="A20" s="142" t="inlineStr">
        <is>
          <t>Sources: your predictions.json (10 Jun 2026 snapshot) · Opta Analyst supercomputer, 25,000 pre-tournament sims, early Jun 2026.</t>
        </is>
      </c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.75" customHeight="1" s="153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.75" customHeight="1" s="153">
      <c r="A22" s="54" t="n"/>
      <c r="B22" s="54" t="n"/>
      <c r="C22" s="54" t="n"/>
      <c r="D22" s="54" t="n"/>
      <c r="E22" s="54" t="n"/>
      <c r="F22" s="54" t="n"/>
      <c r="G22" s="54" t="n"/>
      <c r="H22" s="54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.75" customHeight="1" s="153">
      <c r="A23" s="54" t="n"/>
      <c r="B23" s="54" t="n"/>
      <c r="C23" s="54" t="n"/>
      <c r="D23" s="54" t="n"/>
      <c r="E23" s="54" t="n"/>
      <c r="F23" s="54" t="n"/>
      <c r="G23" s="54" t="n"/>
      <c r="H23" s="54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.75" customHeight="1" s="153">
      <c r="A24" s="54" t="n"/>
      <c r="B24" s="54" t="n"/>
      <c r="C24" s="54" t="n"/>
      <c r="D24" s="54" t="n"/>
      <c r="E24" s="54" t="n"/>
      <c r="F24" s="54" t="n"/>
      <c r="G24" s="54" t="n"/>
      <c r="H24" s="54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.75" customHeight="1" s="153">
      <c r="A25" s="54" t="n"/>
      <c r="B25" s="54" t="n"/>
      <c r="C25" s="54" t="n"/>
      <c r="D25" s="54" t="n"/>
      <c r="E25" s="54" t="n"/>
      <c r="F25" s="54" t="n"/>
      <c r="G25" s="54" t="n"/>
      <c r="H25" s="54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.75" customHeight="1" s="153">
      <c r="A26" s="54" t="n"/>
      <c r="B26" s="54" t="n"/>
      <c r="C26" s="54" t="n"/>
      <c r="D26" s="54" t="n"/>
      <c r="E26" s="54" t="n"/>
      <c r="F26" s="54" t="n"/>
      <c r="G26" s="54" t="n"/>
      <c r="H26" s="54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.75" customHeight="1" s="153">
      <c r="A27" s="54" t="n"/>
      <c r="B27" s="54" t="n"/>
      <c r="C27" s="54" t="n"/>
      <c r="D27" s="54" t="n"/>
      <c r="E27" s="54" t="n"/>
      <c r="F27" s="54" t="n"/>
      <c r="G27" s="54" t="n"/>
      <c r="H27" s="54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.75" customHeight="1" s="153">
      <c r="A28" s="54" t="n"/>
      <c r="B28" s="54" t="n"/>
      <c r="C28" s="54" t="n"/>
      <c r="D28" s="54" t="n"/>
      <c r="E28" s="54" t="n"/>
      <c r="F28" s="54" t="n"/>
      <c r="G28" s="54" t="n"/>
      <c r="H28" s="54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.75" customHeight="1" s="153">
      <c r="A29" s="54" t="n"/>
      <c r="B29" s="54" t="n"/>
      <c r="C29" s="54" t="n"/>
      <c r="D29" s="54" t="n"/>
      <c r="E29" s="54" t="n"/>
      <c r="F29" s="54" t="n"/>
      <c r="G29" s="54" t="n"/>
      <c r="H29" s="54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.75" customHeight="1" s="153">
      <c r="A30" s="54" t="n"/>
      <c r="B30" s="54" t="n"/>
      <c r="C30" s="54" t="n"/>
      <c r="D30" s="54" t="n"/>
      <c r="E30" s="54" t="n"/>
      <c r="F30" s="54" t="n"/>
      <c r="G30" s="54" t="n"/>
      <c r="H30" s="54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.75" customHeight="1" s="153">
      <c r="A31" s="54" t="n"/>
      <c r="B31" s="54" t="n"/>
      <c r="C31" s="54" t="n"/>
      <c r="D31" s="54" t="n"/>
      <c r="E31" s="54" t="n"/>
      <c r="F31" s="54" t="n"/>
      <c r="G31" s="54" t="n"/>
      <c r="H31" s="54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.75" customHeight="1" s="153">
      <c r="A32" s="54" t="n"/>
      <c r="B32" s="54" t="n"/>
      <c r="C32" s="54" t="n"/>
      <c r="D32" s="54" t="n"/>
      <c r="E32" s="54" t="n"/>
      <c r="F32" s="54" t="n"/>
      <c r="G32" s="54" t="n"/>
      <c r="H32" s="54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.75" customHeight="1" s="153">
      <c r="A33" s="54" t="n"/>
      <c r="B33" s="54" t="n"/>
      <c r="C33" s="54" t="n"/>
      <c r="D33" s="54" t="n"/>
      <c r="E33" s="54" t="n"/>
      <c r="F33" s="54" t="n"/>
      <c r="G33" s="54" t="n"/>
      <c r="H33" s="54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.75" customHeight="1" s="153">
      <c r="A34" s="54" t="n"/>
      <c r="B34" s="54" t="n"/>
      <c r="C34" s="54" t="n"/>
      <c r="D34" s="54" t="n"/>
      <c r="E34" s="54" t="n"/>
      <c r="F34" s="54" t="n"/>
      <c r="G34" s="54" t="n"/>
      <c r="H34" s="54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.75" customHeight="1" s="153">
      <c r="A35" s="54" t="n"/>
      <c r="B35" s="54" t="n"/>
      <c r="C35" s="54" t="n"/>
      <c r="D35" s="54" t="n"/>
      <c r="E35" s="54" t="n"/>
      <c r="F35" s="54" t="n"/>
      <c r="G35" s="54" t="n"/>
      <c r="H35" s="54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.75" customHeight="1" s="153">
      <c r="A36" s="54" t="n"/>
      <c r="B36" s="54" t="n"/>
      <c r="C36" s="54" t="n"/>
      <c r="D36" s="54" t="n"/>
      <c r="E36" s="54" t="n"/>
      <c r="F36" s="54" t="n"/>
      <c r="G36" s="54" t="n"/>
      <c r="H36" s="54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.75" customHeight="1" s="153">
      <c r="A37" s="54" t="n"/>
      <c r="B37" s="54" t="n"/>
      <c r="C37" s="54" t="n"/>
      <c r="D37" s="54" t="n"/>
      <c r="E37" s="54" t="n"/>
      <c r="F37" s="54" t="n"/>
      <c r="G37" s="54" t="n"/>
      <c r="H37" s="54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.75" customHeight="1" s="153">
      <c r="A38" s="54" t="n"/>
      <c r="B38" s="54" t="n"/>
      <c r="C38" s="54" t="n"/>
      <c r="D38" s="54" t="n"/>
      <c r="E38" s="54" t="n"/>
      <c r="F38" s="54" t="n"/>
      <c r="G38" s="54" t="n"/>
      <c r="H38" s="54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.75" customHeight="1" s="153">
      <c r="A39" s="54" t="n"/>
      <c r="B39" s="54" t="n"/>
      <c r="C39" s="54" t="n"/>
      <c r="D39" s="54" t="n"/>
      <c r="E39" s="54" t="n"/>
      <c r="F39" s="54" t="n"/>
      <c r="G39" s="54" t="n"/>
      <c r="H39" s="54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.75" customHeight="1" s="153">
      <c r="A40" s="54" t="n"/>
      <c r="B40" s="54" t="n"/>
      <c r="C40" s="54" t="n"/>
      <c r="D40" s="54" t="n"/>
      <c r="E40" s="54" t="n"/>
      <c r="F40" s="54" t="n"/>
      <c r="G40" s="54" t="n"/>
      <c r="H40" s="54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.75" customHeight="1" s="153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.75" customHeight="1" s="153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.75" customHeight="1" s="153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.75" customHeight="1" s="153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.75" customHeight="1" s="153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.75" customHeight="1" s="153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.75" customHeight="1" s="153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.75" customHeight="1" s="153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.75" customHeight="1" s="153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.75" customHeight="1" s="153">
      <c r="A51" s="54" t="n"/>
      <c r="B51" s="54" t="n"/>
      <c r="C51" s="54" t="n"/>
      <c r="D51" s="54" t="n"/>
      <c r="E51" s="54" t="n"/>
      <c r="F51" s="54" t="n"/>
      <c r="G51" s="54" t="n"/>
      <c r="H51" s="54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.75" customHeight="1" s="153">
      <c r="A52" s="54" t="n"/>
      <c r="B52" s="54" t="n"/>
      <c r="C52" s="54" t="n"/>
      <c r="D52" s="54" t="n"/>
      <c r="E52" s="54" t="n"/>
      <c r="F52" s="54" t="n"/>
      <c r="G52" s="54" t="n"/>
      <c r="H52" s="54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.75" customHeight="1" s="153">
      <c r="A53" s="54" t="n"/>
      <c r="B53" s="54" t="n"/>
      <c r="C53" s="54" t="n"/>
      <c r="D53" s="54" t="n"/>
      <c r="E53" s="54" t="n"/>
      <c r="F53" s="54" t="n"/>
      <c r="G53" s="54" t="n"/>
      <c r="H53" s="54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.75" customHeight="1" s="153">
      <c r="A54" s="54" t="n"/>
      <c r="B54" s="54" t="n"/>
      <c r="C54" s="54" t="n"/>
      <c r="D54" s="54" t="n"/>
      <c r="E54" s="54" t="n"/>
      <c r="F54" s="54" t="n"/>
      <c r="G54" s="54" t="n"/>
      <c r="H54" s="54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.75" customHeight="1" s="153">
      <c r="A55" s="54" t="n"/>
      <c r="B55" s="54" t="n"/>
      <c r="C55" s="54" t="n"/>
      <c r="D55" s="54" t="n"/>
      <c r="E55" s="54" t="n"/>
      <c r="F55" s="54" t="n"/>
      <c r="G55" s="54" t="n"/>
      <c r="H55" s="54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.75" customHeight="1" s="153">
      <c r="A56" s="54" t="n"/>
      <c r="B56" s="54" t="n"/>
      <c r="C56" s="54" t="n"/>
      <c r="D56" s="54" t="n"/>
      <c r="E56" s="54" t="n"/>
      <c r="F56" s="54" t="n"/>
      <c r="G56" s="54" t="n"/>
      <c r="H56" s="54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.75" customHeight="1" s="153">
      <c r="A57" s="54" t="n"/>
      <c r="B57" s="54" t="n"/>
      <c r="C57" s="54" t="n"/>
      <c r="D57" s="54" t="n"/>
      <c r="E57" s="54" t="n"/>
      <c r="F57" s="54" t="n"/>
      <c r="G57" s="54" t="n"/>
      <c r="H57" s="54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.75" customHeight="1" s="153">
      <c r="A58" s="54" t="n"/>
      <c r="B58" s="54" t="n"/>
      <c r="C58" s="54" t="n"/>
      <c r="D58" s="54" t="n"/>
      <c r="E58" s="54" t="n"/>
      <c r="F58" s="54" t="n"/>
      <c r="G58" s="54" t="n"/>
      <c r="H58" s="54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.75" customHeight="1" s="153">
      <c r="A59" s="54" t="n"/>
      <c r="B59" s="54" t="n"/>
      <c r="C59" s="54" t="n"/>
      <c r="D59" s="54" t="n"/>
      <c r="E59" s="54" t="n"/>
      <c r="F59" s="54" t="n"/>
      <c r="G59" s="54" t="n"/>
      <c r="H59" s="54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.75" customHeight="1" s="153">
      <c r="A60" s="54" t="n"/>
      <c r="B60" s="54" t="n"/>
      <c r="C60" s="54" t="n"/>
      <c r="D60" s="54" t="n"/>
      <c r="E60" s="54" t="n"/>
      <c r="F60" s="54" t="n"/>
      <c r="G60" s="54" t="n"/>
      <c r="H60" s="54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.75" customHeight="1" s="153">
      <c r="A61" s="54" t="n"/>
      <c r="B61" s="54" t="n"/>
      <c r="C61" s="54" t="n"/>
      <c r="D61" s="54" t="n"/>
      <c r="E61" s="54" t="n"/>
      <c r="F61" s="54" t="n"/>
      <c r="G61" s="54" t="n"/>
      <c r="H61" s="54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.75" customHeight="1" s="153">
      <c r="A62" s="54" t="n"/>
      <c r="B62" s="54" t="n"/>
      <c r="C62" s="54" t="n"/>
      <c r="D62" s="54" t="n"/>
      <c r="E62" s="54" t="n"/>
      <c r="F62" s="54" t="n"/>
      <c r="G62" s="54" t="n"/>
      <c r="H62" s="54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.75" customHeight="1" s="153">
      <c r="A63" s="54" t="n"/>
      <c r="B63" s="54" t="n"/>
      <c r="C63" s="54" t="n"/>
      <c r="D63" s="54" t="n"/>
      <c r="E63" s="54" t="n"/>
      <c r="F63" s="54" t="n"/>
      <c r="G63" s="54" t="n"/>
      <c r="H63" s="54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.75" customHeight="1" s="153">
      <c r="A64" s="54" t="n"/>
      <c r="B64" s="54" t="n"/>
      <c r="C64" s="54" t="n"/>
      <c r="D64" s="54" t="n"/>
      <c r="E64" s="54" t="n"/>
      <c r="F64" s="54" t="n"/>
      <c r="G64" s="54" t="n"/>
      <c r="H64" s="54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.75" customHeight="1" s="153">
      <c r="A65" s="54" t="n"/>
      <c r="B65" s="54" t="n"/>
      <c r="C65" s="54" t="n"/>
      <c r="D65" s="54" t="n"/>
      <c r="E65" s="54" t="n"/>
      <c r="F65" s="54" t="n"/>
      <c r="G65" s="54" t="n"/>
      <c r="H65" s="54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54" t="n"/>
      <c r="B66" s="54" t="n"/>
      <c r="C66" s="54" t="n"/>
      <c r="D66" s="54" t="n"/>
      <c r="E66" s="54" t="n"/>
      <c r="F66" s="54" t="n"/>
      <c r="G66" s="54" t="n"/>
      <c r="H66" s="54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n"/>
      <c r="B67" s="54" t="n"/>
      <c r="C67" s="54" t="n"/>
      <c r="D67" s="54" t="n"/>
      <c r="E67" s="54" t="n"/>
      <c r="F67" s="54" t="n"/>
      <c r="G67" s="54" t="n"/>
      <c r="H67" s="54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n"/>
      <c r="B68" s="54" t="n"/>
      <c r="C68" s="54" t="n"/>
      <c r="D68" s="54" t="n"/>
      <c r="E68" s="54" t="n"/>
      <c r="F68" s="54" t="n"/>
      <c r="G68" s="54" t="n"/>
      <c r="H68" s="54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n"/>
      <c r="B69" s="54" t="n"/>
      <c r="C69" s="54" t="n"/>
      <c r="D69" s="54" t="n"/>
      <c r="E69" s="54" t="n"/>
      <c r="F69" s="54" t="n"/>
      <c r="G69" s="54" t="n"/>
      <c r="H69" s="54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n"/>
      <c r="B70" s="54" t="n"/>
      <c r="C70" s="54" t="n"/>
      <c r="D70" s="54" t="n"/>
      <c r="E70" s="54" t="n"/>
      <c r="F70" s="54" t="n"/>
      <c r="G70" s="54" t="n"/>
      <c r="H70" s="54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n"/>
      <c r="B71" s="54" t="n"/>
      <c r="C71" s="54" t="n"/>
      <c r="D71" s="54" t="n"/>
      <c r="E71" s="54" t="n"/>
      <c r="F71" s="54" t="n"/>
      <c r="G71" s="54" t="n"/>
      <c r="H71" s="54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/>
    <row r="222" ht="15.75" customHeight="1" s="153"/>
    <row r="223" ht="15.75" customHeight="1" s="153"/>
    <row r="224" ht="15.75" customHeight="1" s="153"/>
    <row r="225" ht="15.75" customHeight="1" s="153"/>
    <row r="226" ht="15.75" customHeight="1" s="153"/>
    <row r="227" ht="15.75" customHeight="1" s="153"/>
    <row r="228" ht="15.75" customHeight="1" s="153"/>
    <row r="229" ht="15.75" customHeight="1" s="153"/>
    <row r="230" ht="15.75" customHeight="1" s="153"/>
    <row r="231" ht="15.75" customHeight="1" s="153"/>
    <row r="232" ht="15.75" customHeight="1" s="153"/>
    <row r="233" ht="15.75" customHeight="1" s="153"/>
    <row r="234" ht="15.75" customHeight="1" s="153"/>
    <row r="235" ht="15.75" customHeight="1" s="153"/>
    <row r="236" ht="15.75" customHeight="1" s="153"/>
    <row r="237" ht="15.75" customHeight="1" s="153"/>
    <row r="238" ht="15.75" customHeight="1" s="153"/>
    <row r="239" ht="15.75" customHeight="1" s="153"/>
    <row r="240" ht="15.75" customHeight="1" s="153"/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3">
    <mergeCell ref="A17:H18"/>
    <mergeCell ref="A20:H20"/>
    <mergeCell ref="A1:H1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selection activeCell="A1" sqref="A1"/>
    </sheetView>
  </sheetViews>
  <sheetFormatPr baseColWidth="8" defaultColWidth="14.43" defaultRowHeight="15" customHeight="1"/>
  <cols>
    <col width="7" customWidth="1" style="153" min="1" max="1"/>
    <col width="11" customWidth="1" style="153" min="2" max="4"/>
    <col width="18" customWidth="1" style="153" min="5" max="5"/>
    <col width="11" customWidth="1" style="153" min="6" max="8"/>
    <col width="8.710000000000001" customWidth="1" style="153" min="9" max="10"/>
  </cols>
  <sheetData>
    <row r="1" ht="15.75" customHeight="1" s="153">
      <c r="A1" s="83" t="inlineStr">
        <is>
          <t>MODEL REFRESH — safe update after your pipeline re-simulates</t>
        </is>
      </c>
      <c r="I1" s="52" t="n"/>
      <c r="J1" s="54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 ht="15" customHeight="1" s="153">
      <c r="A2" s="36" t="inlineStr">
        <is>
          <t>1. Open wc26-matchday-intelligence.vercel.app/predictions.json after a re-sim.</t>
        </is>
      </c>
      <c r="I2" s="52" t="n"/>
      <c r="J2" s="54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 ht="15" customHeight="1" s="153">
      <c r="A3" s="36" t="inlineStr">
        <is>
          <t>2. Paste the new p_home_win / p_draw / p_away_win for matches 1–72 (in match order) into the yellow block B8:D79.</t>
        </is>
      </c>
      <c r="I3" s="52" t="n"/>
      <c r="J3" s="54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15" customHeight="1" s="153">
      <c r="A4" s="36" t="inlineStr">
        <is>
          <t>3. Copy the OUTPUT block F8:H79 → on the Bets tab select I2 → paste AS VALUES (Google Sheets: Ctrl+Shift+V · Excel: Paste Special → Values).</t>
        </is>
      </c>
      <c r="I4" s="52" t="n"/>
      <c r="J4" s="54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 ht="15" customHeight="1" s="153">
      <c r="A5" s="36" t="inlineStr">
        <is>
          <t>4. Done. Rows already placed (flagged PLACED) keep their original probabilities automatically — history is never rewritten.</t>
        </is>
      </c>
      <c r="I5" s="52" t="n"/>
      <c r="J5" s="54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4" t="n"/>
      <c r="B6" s="54" t="n"/>
      <c r="C6" s="54" t="n"/>
      <c r="D6" s="54" t="n"/>
      <c r="E6" s="54" t="n"/>
      <c r="F6" s="54" t="n"/>
      <c r="G6" s="54" t="n"/>
      <c r="H6" s="54" t="n"/>
      <c r="I6" s="52" t="n"/>
      <c r="J6" s="54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27" t="inlineStr">
        <is>
          <t>#</t>
        </is>
      </c>
      <c r="B7" s="27" t="inlineStr">
        <is>
          <t>new pH</t>
        </is>
      </c>
      <c r="C7" s="27" t="inlineStr">
        <is>
          <t>new pD</t>
        </is>
      </c>
      <c r="D7" s="27" t="inlineStr">
        <is>
          <t>new pA</t>
        </is>
      </c>
      <c r="E7" s="27" t="inlineStr">
        <is>
          <t>flag</t>
        </is>
      </c>
      <c r="F7" s="27" t="inlineStr">
        <is>
          <t>OUT pH</t>
        </is>
      </c>
      <c r="G7" s="27" t="inlineStr">
        <is>
          <t>OUT pD</t>
        </is>
      </c>
      <c r="H7" s="27" t="inlineStr">
        <is>
          <t>OUT pA</t>
        </is>
      </c>
      <c r="I7" s="52" t="n"/>
      <c r="J7" s="54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5" customHeight="1" s="153">
      <c r="A8" s="143">
        <f>Bets!A2</f>
        <v/>
      </c>
      <c r="B8" s="144" t="n"/>
      <c r="C8" s="144" t="n"/>
      <c r="D8" s="144" t="n"/>
      <c r="E8" s="145">
        <f>IF(Bets!AN2="Y","PLACED — frozen","")</f>
        <v/>
      </c>
      <c r="F8" s="146">
        <f>IF(Bets!AN2="Y",Bets!I2,IF(B8="",Bets!I2,B8))</f>
        <v/>
      </c>
      <c r="G8" s="146">
        <f>IF(Bets!AN2="Y",Bets!J2,IF(C8="",Bets!J2,C8))</f>
        <v/>
      </c>
      <c r="H8" s="146">
        <f>IF(Bets!AN2="Y",Bets!K2,IF(D8="",Bets!K2,D8))</f>
        <v/>
      </c>
      <c r="I8" s="52" t="n"/>
      <c r="J8" s="54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143">
        <f>Bets!A3</f>
        <v/>
      </c>
      <c r="B9" s="144" t="n"/>
      <c r="C9" s="144" t="n"/>
      <c r="D9" s="144" t="n"/>
      <c r="E9" s="145">
        <f>IF(Bets!AN3="Y","PLACED — frozen","")</f>
        <v/>
      </c>
      <c r="F9" s="146">
        <f>IF(Bets!AN3="Y",Bets!I3,IF(B9="",Bets!I3,B9))</f>
        <v/>
      </c>
      <c r="G9" s="146">
        <f>IF(Bets!AN3="Y",Bets!J3,IF(C9="",Bets!J3,C9))</f>
        <v/>
      </c>
      <c r="H9" s="146">
        <f>IF(Bets!AN3="Y",Bets!K3,IF(D9="",Bets!K3,D9))</f>
        <v/>
      </c>
      <c r="I9" s="52" t="n"/>
      <c r="J9" s="54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 ht="15" customHeight="1" s="153">
      <c r="A10" s="143">
        <f>Bets!A4</f>
        <v/>
      </c>
      <c r="B10" s="144" t="n"/>
      <c r="C10" s="144" t="n"/>
      <c r="D10" s="144" t="n"/>
      <c r="E10" s="145">
        <f>IF(Bets!AN4="Y","PLACED — frozen","")</f>
        <v/>
      </c>
      <c r="F10" s="146">
        <f>IF(Bets!AN4="Y",Bets!I4,IF(B10="",Bets!I4,B10))</f>
        <v/>
      </c>
      <c r="G10" s="146">
        <f>IF(Bets!AN4="Y",Bets!J4,IF(C10="",Bets!J4,C10))</f>
        <v/>
      </c>
      <c r="H10" s="146">
        <f>IF(Bets!AN4="Y",Bets!K4,IF(D10="",Bets!K4,D10))</f>
        <v/>
      </c>
      <c r="I10" s="52" t="n"/>
      <c r="J10" s="54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 ht="15" customHeight="1" s="153">
      <c r="A11" s="143">
        <f>Bets!A5</f>
        <v/>
      </c>
      <c r="B11" s="144" t="n"/>
      <c r="C11" s="144" t="n"/>
      <c r="D11" s="144" t="n"/>
      <c r="E11" s="145">
        <f>IF(Bets!AN5="Y","PLACED — frozen","")</f>
        <v/>
      </c>
      <c r="F11" s="146">
        <f>IF(Bets!AN5="Y",Bets!I5,IF(B11="",Bets!I5,B11))</f>
        <v/>
      </c>
      <c r="G11" s="146">
        <f>IF(Bets!AN5="Y",Bets!J5,IF(C11="",Bets!J5,C11))</f>
        <v/>
      </c>
      <c r="H11" s="146">
        <f>IF(Bets!AN5="Y",Bets!K5,IF(D11="",Bets!K5,D11))</f>
        <v/>
      </c>
      <c r="I11" s="52" t="n"/>
      <c r="J11" s="54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143">
        <f>Bets!A6</f>
        <v/>
      </c>
      <c r="B12" s="144" t="n"/>
      <c r="C12" s="144" t="n"/>
      <c r="D12" s="144" t="n"/>
      <c r="E12" s="145">
        <f>IF(Bets!AN6="Y","PLACED — frozen","")</f>
        <v/>
      </c>
      <c r="F12" s="146">
        <f>IF(Bets!AN6="Y",Bets!I6,IF(B12="",Bets!I6,B12))</f>
        <v/>
      </c>
      <c r="G12" s="146">
        <f>IF(Bets!AN6="Y",Bets!J6,IF(C12="",Bets!J6,C12))</f>
        <v/>
      </c>
      <c r="H12" s="146">
        <f>IF(Bets!AN6="Y",Bets!K6,IF(D12="",Bets!K6,D12))</f>
        <v/>
      </c>
      <c r="I12" s="52" t="n"/>
      <c r="J12" s="54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143">
        <f>Bets!A7</f>
        <v/>
      </c>
      <c r="B13" s="144" t="n"/>
      <c r="C13" s="144" t="n"/>
      <c r="D13" s="144" t="n"/>
      <c r="E13" s="145">
        <f>IF(Bets!AN7="Y","PLACED — frozen","")</f>
        <v/>
      </c>
      <c r="F13" s="146">
        <f>IF(Bets!AN7="Y",Bets!I7,IF(B13="",Bets!I7,B13))</f>
        <v/>
      </c>
      <c r="G13" s="146">
        <f>IF(Bets!AN7="Y",Bets!J7,IF(C13="",Bets!J7,C13))</f>
        <v/>
      </c>
      <c r="H13" s="146">
        <f>IF(Bets!AN7="Y",Bets!K7,IF(D13="",Bets!K7,D13))</f>
        <v/>
      </c>
      <c r="I13" s="52" t="n"/>
      <c r="J13" s="54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143">
        <f>Bets!A8</f>
        <v/>
      </c>
      <c r="B14" s="144" t="n"/>
      <c r="C14" s="144" t="n"/>
      <c r="D14" s="144" t="n"/>
      <c r="E14" s="145">
        <f>IF(Bets!AN8="Y","PLACED — frozen","")</f>
        <v/>
      </c>
      <c r="F14" s="146">
        <f>IF(Bets!AN8="Y",Bets!I8,IF(B14="",Bets!I8,B14))</f>
        <v/>
      </c>
      <c r="G14" s="146">
        <f>IF(Bets!AN8="Y",Bets!J8,IF(C14="",Bets!J8,C14))</f>
        <v/>
      </c>
      <c r="H14" s="146">
        <f>IF(Bets!AN8="Y",Bets!K8,IF(D14="",Bets!K8,D14))</f>
        <v/>
      </c>
      <c r="I14" s="52" t="n"/>
      <c r="J14" s="54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143">
        <f>Bets!A9</f>
        <v/>
      </c>
      <c r="B15" s="144" t="n"/>
      <c r="C15" s="144" t="n"/>
      <c r="D15" s="144" t="n"/>
      <c r="E15" s="145">
        <f>IF(Bets!AN9="Y","PLACED — frozen","")</f>
        <v/>
      </c>
      <c r="F15" s="146">
        <f>IF(Bets!AN9="Y",Bets!I9,IF(B15="",Bets!I9,B15))</f>
        <v/>
      </c>
      <c r="G15" s="146">
        <f>IF(Bets!AN9="Y",Bets!J9,IF(C15="",Bets!J9,C15))</f>
        <v/>
      </c>
      <c r="H15" s="146">
        <f>IF(Bets!AN9="Y",Bets!K9,IF(D15="",Bets!K9,D15))</f>
        <v/>
      </c>
      <c r="I15" s="52" t="n"/>
      <c r="J15" s="54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 ht="15" customHeight="1" s="153">
      <c r="A16" s="143">
        <f>Bets!A10</f>
        <v/>
      </c>
      <c r="B16" s="144" t="n"/>
      <c r="C16" s="144" t="n"/>
      <c r="D16" s="144" t="n"/>
      <c r="E16" s="145">
        <f>IF(Bets!AN10="Y","PLACED — frozen","")</f>
        <v/>
      </c>
      <c r="F16" s="146">
        <f>IF(Bets!AN10="Y",Bets!I10,IF(B16="",Bets!I10,B16))</f>
        <v/>
      </c>
      <c r="G16" s="146">
        <f>IF(Bets!AN10="Y",Bets!J10,IF(C16="",Bets!J10,C16))</f>
        <v/>
      </c>
      <c r="H16" s="146">
        <f>IF(Bets!AN10="Y",Bets!K10,IF(D16="",Bets!K10,D16))</f>
        <v/>
      </c>
      <c r="I16" s="52" t="n"/>
      <c r="J16" s="54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 ht="15" customHeight="1" s="153">
      <c r="A17" s="143">
        <f>Bets!A11</f>
        <v/>
      </c>
      <c r="B17" s="144" t="n"/>
      <c r="C17" s="144" t="n"/>
      <c r="D17" s="144" t="n"/>
      <c r="E17" s="145">
        <f>IF(Bets!AN11="Y","PLACED — frozen","")</f>
        <v/>
      </c>
      <c r="F17" s="146">
        <f>IF(Bets!AN11="Y",Bets!I11,IF(B17="",Bets!I11,B17))</f>
        <v/>
      </c>
      <c r="G17" s="146">
        <f>IF(Bets!AN11="Y",Bets!J11,IF(C17="",Bets!J11,C17))</f>
        <v/>
      </c>
      <c r="H17" s="146">
        <f>IF(Bets!AN11="Y",Bets!K11,IF(D17="",Bets!K11,D17))</f>
        <v/>
      </c>
      <c r="I17" s="52" t="n"/>
      <c r="J17" s="54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 ht="15" customHeight="1" s="153">
      <c r="A18" s="143">
        <f>Bets!A12</f>
        <v/>
      </c>
      <c r="B18" s="144" t="n"/>
      <c r="C18" s="144" t="n"/>
      <c r="D18" s="144" t="n"/>
      <c r="E18" s="145">
        <f>IF(Bets!AN12="Y","PLACED — frozen","")</f>
        <v/>
      </c>
      <c r="F18" s="146">
        <f>IF(Bets!AN12="Y",Bets!I12,IF(B18="",Bets!I12,B18))</f>
        <v/>
      </c>
      <c r="G18" s="146">
        <f>IF(Bets!AN12="Y",Bets!J12,IF(C18="",Bets!J12,C18))</f>
        <v/>
      </c>
      <c r="H18" s="146">
        <f>IF(Bets!AN12="Y",Bets!K12,IF(D18="",Bets!K12,D18))</f>
        <v/>
      </c>
      <c r="I18" s="52" t="n"/>
      <c r="J18" s="54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 ht="15" customHeight="1" s="153">
      <c r="A19" s="143">
        <f>Bets!A13</f>
        <v/>
      </c>
      <c r="B19" s="144" t="n"/>
      <c r="C19" s="144" t="n"/>
      <c r="D19" s="144" t="n"/>
      <c r="E19" s="145">
        <f>IF(Bets!AN13="Y","PLACED — frozen","")</f>
        <v/>
      </c>
      <c r="F19" s="146">
        <f>IF(Bets!AN13="Y",Bets!I13,IF(B19="",Bets!I13,B19))</f>
        <v/>
      </c>
      <c r="G19" s="146">
        <f>IF(Bets!AN13="Y",Bets!J13,IF(C19="",Bets!J13,C19))</f>
        <v/>
      </c>
      <c r="H19" s="146">
        <f>IF(Bets!AN13="Y",Bets!K13,IF(D19="",Bets!K13,D19))</f>
        <v/>
      </c>
      <c r="I19" s="52" t="n"/>
      <c r="J19" s="54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15" customHeight="1" s="153">
      <c r="A20" s="143">
        <f>Bets!A14</f>
        <v/>
      </c>
      <c r="B20" s="144" t="n"/>
      <c r="C20" s="144" t="n"/>
      <c r="D20" s="144" t="n"/>
      <c r="E20" s="145">
        <f>IF(Bets!AN14="Y","PLACED — frozen","")</f>
        <v/>
      </c>
      <c r="F20" s="146">
        <f>IF(Bets!AN14="Y",Bets!I14,IF(B20="",Bets!I14,B20))</f>
        <v/>
      </c>
      <c r="G20" s="146">
        <f>IF(Bets!AN14="Y",Bets!J14,IF(C20="",Bets!J14,C20))</f>
        <v/>
      </c>
      <c r="H20" s="146">
        <f>IF(Bets!AN14="Y",Bets!K14,IF(D20="",Bets!K14,D20))</f>
        <v/>
      </c>
      <c r="I20" s="52" t="n"/>
      <c r="J20" s="54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" customHeight="1" s="153">
      <c r="A21" s="143">
        <f>Bets!A15</f>
        <v/>
      </c>
      <c r="B21" s="144" t="n"/>
      <c r="C21" s="144" t="n"/>
      <c r="D21" s="144" t="n"/>
      <c r="E21" s="145">
        <f>IF(Bets!AN15="Y","PLACED — frozen","")</f>
        <v/>
      </c>
      <c r="F21" s="146">
        <f>IF(Bets!AN15="Y",Bets!I15,IF(B21="",Bets!I15,B21))</f>
        <v/>
      </c>
      <c r="G21" s="146">
        <f>IF(Bets!AN15="Y",Bets!J15,IF(C21="",Bets!J15,C21))</f>
        <v/>
      </c>
      <c r="H21" s="146">
        <f>IF(Bets!AN15="Y",Bets!K15,IF(D21="",Bets!K15,D21))</f>
        <v/>
      </c>
      <c r="I21" s="52" t="n"/>
      <c r="J21" s="54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" customHeight="1" s="153">
      <c r="A22" s="143">
        <f>Bets!A16</f>
        <v/>
      </c>
      <c r="B22" s="144" t="n"/>
      <c r="C22" s="144" t="n"/>
      <c r="D22" s="144" t="n"/>
      <c r="E22" s="145">
        <f>IF(Bets!AN16="Y","PLACED — frozen","")</f>
        <v/>
      </c>
      <c r="F22" s="146">
        <f>IF(Bets!AN16="Y",Bets!I16,IF(B22="",Bets!I16,B22))</f>
        <v/>
      </c>
      <c r="G22" s="146">
        <f>IF(Bets!AN16="Y",Bets!J16,IF(C22="",Bets!J16,C22))</f>
        <v/>
      </c>
      <c r="H22" s="146">
        <f>IF(Bets!AN16="Y",Bets!K16,IF(D22="",Bets!K16,D22))</f>
        <v/>
      </c>
      <c r="I22" s="52" t="n"/>
      <c r="J22" s="54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" customHeight="1" s="153">
      <c r="A23" s="143">
        <f>Bets!A17</f>
        <v/>
      </c>
      <c r="B23" s="144" t="n"/>
      <c r="C23" s="144" t="n"/>
      <c r="D23" s="144" t="n"/>
      <c r="E23" s="145">
        <f>IF(Bets!AN17="Y","PLACED — frozen","")</f>
        <v/>
      </c>
      <c r="F23" s="146">
        <f>IF(Bets!AN17="Y",Bets!I17,IF(B23="",Bets!I17,B23))</f>
        <v/>
      </c>
      <c r="G23" s="146">
        <f>IF(Bets!AN17="Y",Bets!J17,IF(C23="",Bets!J17,C23))</f>
        <v/>
      </c>
      <c r="H23" s="146">
        <f>IF(Bets!AN17="Y",Bets!K17,IF(D23="",Bets!K17,D23))</f>
        <v/>
      </c>
      <c r="I23" s="52" t="n"/>
      <c r="J23" s="54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" customHeight="1" s="153">
      <c r="A24" s="143">
        <f>Bets!A18</f>
        <v/>
      </c>
      <c r="B24" s="144" t="n"/>
      <c r="C24" s="144" t="n"/>
      <c r="D24" s="144" t="n"/>
      <c r="E24" s="145">
        <f>IF(Bets!AN18="Y","PLACED — frozen","")</f>
        <v/>
      </c>
      <c r="F24" s="146">
        <f>IF(Bets!AN18="Y",Bets!I18,IF(B24="",Bets!I18,B24))</f>
        <v/>
      </c>
      <c r="G24" s="146">
        <f>IF(Bets!AN18="Y",Bets!J18,IF(C24="",Bets!J18,C24))</f>
        <v/>
      </c>
      <c r="H24" s="146">
        <f>IF(Bets!AN18="Y",Bets!K18,IF(D24="",Bets!K18,D24))</f>
        <v/>
      </c>
      <c r="I24" s="52" t="n"/>
      <c r="J24" s="54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" customHeight="1" s="153">
      <c r="A25" s="143">
        <f>Bets!A19</f>
        <v/>
      </c>
      <c r="B25" s="144" t="n"/>
      <c r="C25" s="144" t="n"/>
      <c r="D25" s="144" t="n"/>
      <c r="E25" s="145">
        <f>IF(Bets!AN19="Y","PLACED — frozen","")</f>
        <v/>
      </c>
      <c r="F25" s="146">
        <f>IF(Bets!AN19="Y",Bets!I19,IF(B25="",Bets!I19,B25))</f>
        <v/>
      </c>
      <c r="G25" s="146">
        <f>IF(Bets!AN19="Y",Bets!J19,IF(C25="",Bets!J19,C25))</f>
        <v/>
      </c>
      <c r="H25" s="146">
        <f>IF(Bets!AN19="Y",Bets!K19,IF(D25="",Bets!K19,D25))</f>
        <v/>
      </c>
      <c r="I25" s="52" t="n"/>
      <c r="J25" s="54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" customHeight="1" s="153">
      <c r="A26" s="143">
        <f>Bets!A20</f>
        <v/>
      </c>
      <c r="B26" s="144" t="n"/>
      <c r="C26" s="144" t="n"/>
      <c r="D26" s="144" t="n"/>
      <c r="E26" s="145">
        <f>IF(Bets!AN20="Y","PLACED — frozen","")</f>
        <v/>
      </c>
      <c r="F26" s="146">
        <f>IF(Bets!AN20="Y",Bets!I20,IF(B26="",Bets!I20,B26))</f>
        <v/>
      </c>
      <c r="G26" s="146">
        <f>IF(Bets!AN20="Y",Bets!J20,IF(C26="",Bets!J20,C26))</f>
        <v/>
      </c>
      <c r="H26" s="146">
        <f>IF(Bets!AN20="Y",Bets!K20,IF(D26="",Bets!K20,D26))</f>
        <v/>
      </c>
      <c r="I26" s="52" t="n"/>
      <c r="J26" s="54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" customHeight="1" s="153">
      <c r="A27" s="143">
        <f>Bets!A21</f>
        <v/>
      </c>
      <c r="B27" s="144" t="n"/>
      <c r="C27" s="144" t="n"/>
      <c r="D27" s="144" t="n"/>
      <c r="E27" s="145">
        <f>IF(Bets!AN21="Y","PLACED — frozen","")</f>
        <v/>
      </c>
      <c r="F27" s="146">
        <f>IF(Bets!AN21="Y",Bets!I21,IF(B27="",Bets!I21,B27))</f>
        <v/>
      </c>
      <c r="G27" s="146">
        <f>IF(Bets!AN21="Y",Bets!J21,IF(C27="",Bets!J21,C27))</f>
        <v/>
      </c>
      <c r="H27" s="146">
        <f>IF(Bets!AN21="Y",Bets!K21,IF(D27="",Bets!K21,D27))</f>
        <v/>
      </c>
      <c r="I27" s="52" t="n"/>
      <c r="J27" s="54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" customHeight="1" s="153">
      <c r="A28" s="143">
        <f>Bets!A22</f>
        <v/>
      </c>
      <c r="B28" s="144" t="n"/>
      <c r="C28" s="144" t="n"/>
      <c r="D28" s="144" t="n"/>
      <c r="E28" s="145">
        <f>IF(Bets!AN22="Y","PLACED — frozen","")</f>
        <v/>
      </c>
      <c r="F28" s="146">
        <f>IF(Bets!AN22="Y",Bets!I22,IF(B28="",Bets!I22,B28))</f>
        <v/>
      </c>
      <c r="G28" s="146">
        <f>IF(Bets!AN22="Y",Bets!J22,IF(C28="",Bets!J22,C28))</f>
        <v/>
      </c>
      <c r="H28" s="146">
        <f>IF(Bets!AN22="Y",Bets!K22,IF(D28="",Bets!K22,D28))</f>
        <v/>
      </c>
      <c r="I28" s="52" t="n"/>
      <c r="J28" s="54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" customHeight="1" s="153">
      <c r="A29" s="143">
        <f>Bets!A23</f>
        <v/>
      </c>
      <c r="B29" s="144" t="n"/>
      <c r="C29" s="144" t="n"/>
      <c r="D29" s="144" t="n"/>
      <c r="E29" s="145">
        <f>IF(Bets!AN23="Y","PLACED — frozen","")</f>
        <v/>
      </c>
      <c r="F29" s="146">
        <f>IF(Bets!AN23="Y",Bets!I23,IF(B29="",Bets!I23,B29))</f>
        <v/>
      </c>
      <c r="G29" s="146">
        <f>IF(Bets!AN23="Y",Bets!J23,IF(C29="",Bets!J23,C29))</f>
        <v/>
      </c>
      <c r="H29" s="146">
        <f>IF(Bets!AN23="Y",Bets!K23,IF(D29="",Bets!K23,D29))</f>
        <v/>
      </c>
      <c r="I29" s="52" t="n"/>
      <c r="J29" s="54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" customHeight="1" s="153">
      <c r="A30" s="143">
        <f>Bets!A24</f>
        <v/>
      </c>
      <c r="B30" s="144" t="n"/>
      <c r="C30" s="144" t="n"/>
      <c r="D30" s="144" t="n"/>
      <c r="E30" s="145">
        <f>IF(Bets!AN24="Y","PLACED — frozen","")</f>
        <v/>
      </c>
      <c r="F30" s="146">
        <f>IF(Bets!AN24="Y",Bets!I24,IF(B30="",Bets!I24,B30))</f>
        <v/>
      </c>
      <c r="G30" s="146">
        <f>IF(Bets!AN24="Y",Bets!J24,IF(C30="",Bets!J24,C30))</f>
        <v/>
      </c>
      <c r="H30" s="146">
        <f>IF(Bets!AN24="Y",Bets!K24,IF(D30="",Bets!K24,D30))</f>
        <v/>
      </c>
      <c r="I30" s="52" t="n"/>
      <c r="J30" s="54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" customHeight="1" s="153">
      <c r="A31" s="143">
        <f>Bets!A25</f>
        <v/>
      </c>
      <c r="B31" s="144" t="n"/>
      <c r="C31" s="144" t="n"/>
      <c r="D31" s="144" t="n"/>
      <c r="E31" s="145">
        <f>IF(Bets!AN25="Y","PLACED — frozen","")</f>
        <v/>
      </c>
      <c r="F31" s="146">
        <f>IF(Bets!AN25="Y",Bets!I25,IF(B31="",Bets!I25,B31))</f>
        <v/>
      </c>
      <c r="G31" s="146">
        <f>IF(Bets!AN25="Y",Bets!J25,IF(C31="",Bets!J25,C31))</f>
        <v/>
      </c>
      <c r="H31" s="146">
        <f>IF(Bets!AN25="Y",Bets!K25,IF(D31="",Bets!K25,D31))</f>
        <v/>
      </c>
      <c r="I31" s="52" t="n"/>
      <c r="J31" s="54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" customHeight="1" s="153">
      <c r="A32" s="143">
        <f>Bets!A26</f>
        <v/>
      </c>
      <c r="B32" s="144" t="n"/>
      <c r="C32" s="144" t="n"/>
      <c r="D32" s="144" t="n"/>
      <c r="E32" s="145">
        <f>IF(Bets!AN26="Y","PLACED — frozen","")</f>
        <v/>
      </c>
      <c r="F32" s="146">
        <f>IF(Bets!AN26="Y",Bets!I26,IF(B32="",Bets!I26,B32))</f>
        <v/>
      </c>
      <c r="G32" s="146">
        <f>IF(Bets!AN26="Y",Bets!J26,IF(C32="",Bets!J26,C32))</f>
        <v/>
      </c>
      <c r="H32" s="146">
        <f>IF(Bets!AN26="Y",Bets!K26,IF(D32="",Bets!K26,D32))</f>
        <v/>
      </c>
      <c r="I32" s="52" t="n"/>
      <c r="J32" s="54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" customHeight="1" s="153">
      <c r="A33" s="143">
        <f>Bets!A27</f>
        <v/>
      </c>
      <c r="B33" s="144" t="n"/>
      <c r="C33" s="144" t="n"/>
      <c r="D33" s="144" t="n"/>
      <c r="E33" s="145">
        <f>IF(Bets!AN27="Y","PLACED — frozen","")</f>
        <v/>
      </c>
      <c r="F33" s="146">
        <f>IF(Bets!AN27="Y",Bets!I27,IF(B33="",Bets!I27,B33))</f>
        <v/>
      </c>
      <c r="G33" s="146">
        <f>IF(Bets!AN27="Y",Bets!J27,IF(C33="",Bets!J27,C33))</f>
        <v/>
      </c>
      <c r="H33" s="146">
        <f>IF(Bets!AN27="Y",Bets!K27,IF(D33="",Bets!K27,D33))</f>
        <v/>
      </c>
      <c r="I33" s="52" t="n"/>
      <c r="J33" s="54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" customHeight="1" s="153">
      <c r="A34" s="143">
        <f>Bets!A28</f>
        <v/>
      </c>
      <c r="B34" s="144" t="n"/>
      <c r="C34" s="144" t="n"/>
      <c r="D34" s="144" t="n"/>
      <c r="E34" s="145">
        <f>IF(Bets!AN28="Y","PLACED — frozen","")</f>
        <v/>
      </c>
      <c r="F34" s="146">
        <f>IF(Bets!AN28="Y",Bets!I28,IF(B34="",Bets!I28,B34))</f>
        <v/>
      </c>
      <c r="G34" s="146">
        <f>IF(Bets!AN28="Y",Bets!J28,IF(C34="",Bets!J28,C34))</f>
        <v/>
      </c>
      <c r="H34" s="146">
        <f>IF(Bets!AN28="Y",Bets!K28,IF(D34="",Bets!K28,D34))</f>
        <v/>
      </c>
      <c r="I34" s="52" t="n"/>
      <c r="J34" s="54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" customHeight="1" s="153">
      <c r="A35" s="143">
        <f>Bets!A29</f>
        <v/>
      </c>
      <c r="B35" s="144" t="n"/>
      <c r="C35" s="144" t="n"/>
      <c r="D35" s="144" t="n"/>
      <c r="E35" s="145">
        <f>IF(Bets!AN29="Y","PLACED — frozen","")</f>
        <v/>
      </c>
      <c r="F35" s="146">
        <f>IF(Bets!AN29="Y",Bets!I29,IF(B35="",Bets!I29,B35))</f>
        <v/>
      </c>
      <c r="G35" s="146">
        <f>IF(Bets!AN29="Y",Bets!J29,IF(C35="",Bets!J29,C35))</f>
        <v/>
      </c>
      <c r="H35" s="146">
        <f>IF(Bets!AN29="Y",Bets!K29,IF(D35="",Bets!K29,D35))</f>
        <v/>
      </c>
      <c r="I35" s="52" t="n"/>
      <c r="J35" s="54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" customHeight="1" s="153">
      <c r="A36" s="143">
        <f>Bets!A30</f>
        <v/>
      </c>
      <c r="B36" s="144" t="n"/>
      <c r="C36" s="144" t="n"/>
      <c r="D36" s="144" t="n"/>
      <c r="E36" s="145">
        <f>IF(Bets!AN30="Y","PLACED — frozen","")</f>
        <v/>
      </c>
      <c r="F36" s="146">
        <f>IF(Bets!AN30="Y",Bets!I30,IF(B36="",Bets!I30,B36))</f>
        <v/>
      </c>
      <c r="G36" s="146">
        <f>IF(Bets!AN30="Y",Bets!J30,IF(C36="",Bets!J30,C36))</f>
        <v/>
      </c>
      <c r="H36" s="146">
        <f>IF(Bets!AN30="Y",Bets!K30,IF(D36="",Bets!K30,D36))</f>
        <v/>
      </c>
      <c r="I36" s="52" t="n"/>
      <c r="J36" s="54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" customHeight="1" s="153">
      <c r="A37" s="143">
        <f>Bets!A31</f>
        <v/>
      </c>
      <c r="B37" s="144" t="n"/>
      <c r="C37" s="144" t="n"/>
      <c r="D37" s="144" t="n"/>
      <c r="E37" s="145">
        <f>IF(Bets!AN31="Y","PLACED — frozen","")</f>
        <v/>
      </c>
      <c r="F37" s="146">
        <f>IF(Bets!AN31="Y",Bets!I31,IF(B37="",Bets!I31,B37))</f>
        <v/>
      </c>
      <c r="G37" s="146">
        <f>IF(Bets!AN31="Y",Bets!J31,IF(C37="",Bets!J31,C37))</f>
        <v/>
      </c>
      <c r="H37" s="146">
        <f>IF(Bets!AN31="Y",Bets!K31,IF(D37="",Bets!K31,D37))</f>
        <v/>
      </c>
      <c r="I37" s="52" t="n"/>
      <c r="J37" s="54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" customHeight="1" s="153">
      <c r="A38" s="143">
        <f>Bets!A32</f>
        <v/>
      </c>
      <c r="B38" s="144" t="n"/>
      <c r="C38" s="144" t="n"/>
      <c r="D38" s="144" t="n"/>
      <c r="E38" s="145">
        <f>IF(Bets!AN32="Y","PLACED — frozen","")</f>
        <v/>
      </c>
      <c r="F38" s="146">
        <f>IF(Bets!AN32="Y",Bets!I32,IF(B38="",Bets!I32,B38))</f>
        <v/>
      </c>
      <c r="G38" s="146">
        <f>IF(Bets!AN32="Y",Bets!J32,IF(C38="",Bets!J32,C38))</f>
        <v/>
      </c>
      <c r="H38" s="146">
        <f>IF(Bets!AN32="Y",Bets!K32,IF(D38="",Bets!K32,D38))</f>
        <v/>
      </c>
      <c r="I38" s="52" t="n"/>
      <c r="J38" s="54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" customHeight="1" s="153">
      <c r="A39" s="143">
        <f>Bets!A33</f>
        <v/>
      </c>
      <c r="B39" s="144" t="n"/>
      <c r="C39" s="144" t="n"/>
      <c r="D39" s="144" t="n"/>
      <c r="E39" s="145">
        <f>IF(Bets!AN33="Y","PLACED — frozen","")</f>
        <v/>
      </c>
      <c r="F39" s="146">
        <f>IF(Bets!AN33="Y",Bets!I33,IF(B39="",Bets!I33,B39))</f>
        <v/>
      </c>
      <c r="G39" s="146">
        <f>IF(Bets!AN33="Y",Bets!J33,IF(C39="",Bets!J33,C39))</f>
        <v/>
      </c>
      <c r="H39" s="146">
        <f>IF(Bets!AN33="Y",Bets!K33,IF(D39="",Bets!K33,D39))</f>
        <v/>
      </c>
      <c r="I39" s="52" t="n"/>
      <c r="J39" s="54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" customHeight="1" s="153">
      <c r="A40" s="143">
        <f>Bets!A34</f>
        <v/>
      </c>
      <c r="B40" s="144" t="n"/>
      <c r="C40" s="144" t="n"/>
      <c r="D40" s="144" t="n"/>
      <c r="E40" s="145">
        <f>IF(Bets!AN34="Y","PLACED — frozen","")</f>
        <v/>
      </c>
      <c r="F40" s="146">
        <f>IF(Bets!AN34="Y",Bets!I34,IF(B40="",Bets!I34,B40))</f>
        <v/>
      </c>
      <c r="G40" s="146">
        <f>IF(Bets!AN34="Y",Bets!J34,IF(C40="",Bets!J34,C40))</f>
        <v/>
      </c>
      <c r="H40" s="146">
        <f>IF(Bets!AN34="Y",Bets!K34,IF(D40="",Bets!K34,D40))</f>
        <v/>
      </c>
      <c r="I40" s="52" t="n"/>
      <c r="J40" s="54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" customHeight="1" s="153">
      <c r="A41" s="143">
        <f>Bets!A35</f>
        <v/>
      </c>
      <c r="B41" s="144" t="n"/>
      <c r="C41" s="144" t="n"/>
      <c r="D41" s="144" t="n"/>
      <c r="E41" s="145">
        <f>IF(Bets!AN35="Y","PLACED — frozen","")</f>
        <v/>
      </c>
      <c r="F41" s="146">
        <f>IF(Bets!AN35="Y",Bets!I35,IF(B41="",Bets!I35,B41))</f>
        <v/>
      </c>
      <c r="G41" s="146">
        <f>IF(Bets!AN35="Y",Bets!J35,IF(C41="",Bets!J35,C41))</f>
        <v/>
      </c>
      <c r="H41" s="146">
        <f>IF(Bets!AN35="Y",Bets!K35,IF(D41="",Bets!K35,D41))</f>
        <v/>
      </c>
      <c r="I41" s="52" t="n"/>
      <c r="J41" s="54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" customHeight="1" s="153">
      <c r="A42" s="143">
        <f>Bets!A36</f>
        <v/>
      </c>
      <c r="B42" s="144" t="n"/>
      <c r="C42" s="144" t="n"/>
      <c r="D42" s="144" t="n"/>
      <c r="E42" s="145">
        <f>IF(Bets!AN36="Y","PLACED — frozen","")</f>
        <v/>
      </c>
      <c r="F42" s="146">
        <f>IF(Bets!AN36="Y",Bets!I36,IF(B42="",Bets!I36,B42))</f>
        <v/>
      </c>
      <c r="G42" s="146">
        <f>IF(Bets!AN36="Y",Bets!J36,IF(C42="",Bets!J36,C42))</f>
        <v/>
      </c>
      <c r="H42" s="146">
        <f>IF(Bets!AN36="Y",Bets!K36,IF(D42="",Bets!K36,D42))</f>
        <v/>
      </c>
      <c r="I42" s="52" t="n"/>
      <c r="J42" s="54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" customHeight="1" s="153">
      <c r="A43" s="143">
        <f>Bets!A37</f>
        <v/>
      </c>
      <c r="B43" s="144" t="n"/>
      <c r="C43" s="144" t="n"/>
      <c r="D43" s="144" t="n"/>
      <c r="E43" s="145">
        <f>IF(Bets!AN37="Y","PLACED — frozen","")</f>
        <v/>
      </c>
      <c r="F43" s="146">
        <f>IF(Bets!AN37="Y",Bets!I37,IF(B43="",Bets!I37,B43))</f>
        <v/>
      </c>
      <c r="G43" s="146">
        <f>IF(Bets!AN37="Y",Bets!J37,IF(C43="",Bets!J37,C43))</f>
        <v/>
      </c>
      <c r="H43" s="146">
        <f>IF(Bets!AN37="Y",Bets!K37,IF(D43="",Bets!K37,D43))</f>
        <v/>
      </c>
      <c r="I43" s="52" t="n"/>
      <c r="J43" s="54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" customHeight="1" s="153">
      <c r="A44" s="143">
        <f>Bets!A38</f>
        <v/>
      </c>
      <c r="B44" s="144" t="n"/>
      <c r="C44" s="144" t="n"/>
      <c r="D44" s="144" t="n"/>
      <c r="E44" s="145">
        <f>IF(Bets!AN38="Y","PLACED — frozen","")</f>
        <v/>
      </c>
      <c r="F44" s="146">
        <f>IF(Bets!AN38="Y",Bets!I38,IF(B44="",Bets!I38,B44))</f>
        <v/>
      </c>
      <c r="G44" s="146">
        <f>IF(Bets!AN38="Y",Bets!J38,IF(C44="",Bets!J38,C44))</f>
        <v/>
      </c>
      <c r="H44" s="146">
        <f>IF(Bets!AN38="Y",Bets!K38,IF(D44="",Bets!K38,D44))</f>
        <v/>
      </c>
      <c r="I44" s="52" t="n"/>
      <c r="J44" s="54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" customHeight="1" s="153">
      <c r="A45" s="143">
        <f>Bets!A39</f>
        <v/>
      </c>
      <c r="B45" s="144" t="n"/>
      <c r="C45" s="144" t="n"/>
      <c r="D45" s="144" t="n"/>
      <c r="E45" s="145">
        <f>IF(Bets!AN39="Y","PLACED — frozen","")</f>
        <v/>
      </c>
      <c r="F45" s="146">
        <f>IF(Bets!AN39="Y",Bets!I39,IF(B45="",Bets!I39,B45))</f>
        <v/>
      </c>
      <c r="G45" s="146">
        <f>IF(Bets!AN39="Y",Bets!J39,IF(C45="",Bets!J39,C45))</f>
        <v/>
      </c>
      <c r="H45" s="146">
        <f>IF(Bets!AN39="Y",Bets!K39,IF(D45="",Bets!K39,D45))</f>
        <v/>
      </c>
      <c r="I45" s="52" t="n"/>
      <c r="J45" s="54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" customHeight="1" s="153">
      <c r="A46" s="143">
        <f>Bets!A40</f>
        <v/>
      </c>
      <c r="B46" s="144" t="n"/>
      <c r="C46" s="144" t="n"/>
      <c r="D46" s="144" t="n"/>
      <c r="E46" s="145">
        <f>IF(Bets!AN40="Y","PLACED — frozen","")</f>
        <v/>
      </c>
      <c r="F46" s="146">
        <f>IF(Bets!AN40="Y",Bets!I40,IF(B46="",Bets!I40,B46))</f>
        <v/>
      </c>
      <c r="G46" s="146">
        <f>IF(Bets!AN40="Y",Bets!J40,IF(C46="",Bets!J40,C46))</f>
        <v/>
      </c>
      <c r="H46" s="146">
        <f>IF(Bets!AN40="Y",Bets!K40,IF(D46="",Bets!K40,D46))</f>
        <v/>
      </c>
      <c r="I46" s="52" t="n"/>
      <c r="J46" s="54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" customHeight="1" s="153">
      <c r="A47" s="143">
        <f>Bets!A41</f>
        <v/>
      </c>
      <c r="B47" s="144" t="n"/>
      <c r="C47" s="144" t="n"/>
      <c r="D47" s="144" t="n"/>
      <c r="E47" s="145">
        <f>IF(Bets!AN41="Y","PLACED — frozen","")</f>
        <v/>
      </c>
      <c r="F47" s="146">
        <f>IF(Bets!AN41="Y",Bets!I41,IF(B47="",Bets!I41,B47))</f>
        <v/>
      </c>
      <c r="G47" s="146">
        <f>IF(Bets!AN41="Y",Bets!J41,IF(C47="",Bets!J41,C47))</f>
        <v/>
      </c>
      <c r="H47" s="146">
        <f>IF(Bets!AN41="Y",Bets!K41,IF(D47="",Bets!K41,D47))</f>
        <v/>
      </c>
      <c r="I47" s="52" t="n"/>
      <c r="J47" s="54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" customHeight="1" s="153">
      <c r="A48" s="143">
        <f>Bets!A42</f>
        <v/>
      </c>
      <c r="B48" s="144" t="n"/>
      <c r="C48" s="144" t="n"/>
      <c r="D48" s="144" t="n"/>
      <c r="E48" s="145">
        <f>IF(Bets!AN42="Y","PLACED — frozen","")</f>
        <v/>
      </c>
      <c r="F48" s="146">
        <f>IF(Bets!AN42="Y",Bets!I42,IF(B48="",Bets!I42,B48))</f>
        <v/>
      </c>
      <c r="G48" s="146">
        <f>IF(Bets!AN42="Y",Bets!J42,IF(C48="",Bets!J42,C48))</f>
        <v/>
      </c>
      <c r="H48" s="146">
        <f>IF(Bets!AN42="Y",Bets!K42,IF(D48="",Bets!K42,D48))</f>
        <v/>
      </c>
      <c r="I48" s="52" t="n"/>
      <c r="J48" s="54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" customHeight="1" s="153">
      <c r="A49" s="143">
        <f>Bets!A43</f>
        <v/>
      </c>
      <c r="B49" s="144" t="n"/>
      <c r="C49" s="144" t="n"/>
      <c r="D49" s="144" t="n"/>
      <c r="E49" s="145">
        <f>IF(Bets!AN43="Y","PLACED — frozen","")</f>
        <v/>
      </c>
      <c r="F49" s="146">
        <f>IF(Bets!AN43="Y",Bets!I43,IF(B49="",Bets!I43,B49))</f>
        <v/>
      </c>
      <c r="G49" s="146">
        <f>IF(Bets!AN43="Y",Bets!J43,IF(C49="",Bets!J43,C49))</f>
        <v/>
      </c>
      <c r="H49" s="146">
        <f>IF(Bets!AN43="Y",Bets!K43,IF(D49="",Bets!K43,D49))</f>
        <v/>
      </c>
      <c r="I49" s="52" t="n"/>
      <c r="J49" s="54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" customHeight="1" s="153">
      <c r="A50" s="143">
        <f>Bets!A44</f>
        <v/>
      </c>
      <c r="B50" s="144" t="n"/>
      <c r="C50" s="144" t="n"/>
      <c r="D50" s="144" t="n"/>
      <c r="E50" s="145">
        <f>IF(Bets!AN44="Y","PLACED — frozen","")</f>
        <v/>
      </c>
      <c r="F50" s="146">
        <f>IF(Bets!AN44="Y",Bets!I44,IF(B50="",Bets!I44,B50))</f>
        <v/>
      </c>
      <c r="G50" s="146">
        <f>IF(Bets!AN44="Y",Bets!J44,IF(C50="",Bets!J44,C50))</f>
        <v/>
      </c>
      <c r="H50" s="146">
        <f>IF(Bets!AN44="Y",Bets!K44,IF(D50="",Bets!K44,D50))</f>
        <v/>
      </c>
      <c r="I50" s="52" t="n"/>
      <c r="J50" s="54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" customHeight="1" s="153">
      <c r="A51" s="143">
        <f>Bets!A45</f>
        <v/>
      </c>
      <c r="B51" s="144" t="n"/>
      <c r="C51" s="144" t="n"/>
      <c r="D51" s="144" t="n"/>
      <c r="E51" s="145">
        <f>IF(Bets!AN45="Y","PLACED — frozen","")</f>
        <v/>
      </c>
      <c r="F51" s="146">
        <f>IF(Bets!AN45="Y",Bets!I45,IF(B51="",Bets!I45,B51))</f>
        <v/>
      </c>
      <c r="G51" s="146">
        <f>IF(Bets!AN45="Y",Bets!J45,IF(C51="",Bets!J45,C51))</f>
        <v/>
      </c>
      <c r="H51" s="146">
        <f>IF(Bets!AN45="Y",Bets!K45,IF(D51="",Bets!K45,D51))</f>
        <v/>
      </c>
      <c r="I51" s="52" t="n"/>
      <c r="J51" s="54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" customHeight="1" s="153">
      <c r="A52" s="143">
        <f>Bets!A46</f>
        <v/>
      </c>
      <c r="B52" s="144" t="n"/>
      <c r="C52" s="144" t="n"/>
      <c r="D52" s="144" t="n"/>
      <c r="E52" s="145">
        <f>IF(Bets!AN46="Y","PLACED — frozen","")</f>
        <v/>
      </c>
      <c r="F52" s="146">
        <f>IF(Bets!AN46="Y",Bets!I46,IF(B52="",Bets!I46,B52))</f>
        <v/>
      </c>
      <c r="G52" s="146">
        <f>IF(Bets!AN46="Y",Bets!J46,IF(C52="",Bets!J46,C52))</f>
        <v/>
      </c>
      <c r="H52" s="146">
        <f>IF(Bets!AN46="Y",Bets!K46,IF(D52="",Bets!K46,D52))</f>
        <v/>
      </c>
      <c r="I52" s="52" t="n"/>
      <c r="J52" s="54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" customHeight="1" s="153">
      <c r="A53" s="143">
        <f>Bets!A47</f>
        <v/>
      </c>
      <c r="B53" s="144" t="n"/>
      <c r="C53" s="144" t="n"/>
      <c r="D53" s="144" t="n"/>
      <c r="E53" s="145">
        <f>IF(Bets!AN47="Y","PLACED — frozen","")</f>
        <v/>
      </c>
      <c r="F53" s="146">
        <f>IF(Bets!AN47="Y",Bets!I47,IF(B53="",Bets!I47,B53))</f>
        <v/>
      </c>
      <c r="G53" s="146">
        <f>IF(Bets!AN47="Y",Bets!J47,IF(C53="",Bets!J47,C53))</f>
        <v/>
      </c>
      <c r="H53" s="146">
        <f>IF(Bets!AN47="Y",Bets!K47,IF(D53="",Bets!K47,D53))</f>
        <v/>
      </c>
      <c r="I53" s="52" t="n"/>
      <c r="J53" s="54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" customHeight="1" s="153">
      <c r="A54" s="143">
        <f>Bets!A48</f>
        <v/>
      </c>
      <c r="B54" s="144" t="n"/>
      <c r="C54" s="144" t="n"/>
      <c r="D54" s="144" t="n"/>
      <c r="E54" s="145">
        <f>IF(Bets!AN48="Y","PLACED — frozen","")</f>
        <v/>
      </c>
      <c r="F54" s="146">
        <f>IF(Bets!AN48="Y",Bets!I48,IF(B54="",Bets!I48,B54))</f>
        <v/>
      </c>
      <c r="G54" s="146">
        <f>IF(Bets!AN48="Y",Bets!J48,IF(C54="",Bets!J48,C54))</f>
        <v/>
      </c>
      <c r="H54" s="146">
        <f>IF(Bets!AN48="Y",Bets!K48,IF(D54="",Bets!K48,D54))</f>
        <v/>
      </c>
      <c r="I54" s="52" t="n"/>
      <c r="J54" s="54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" customHeight="1" s="153">
      <c r="A55" s="143">
        <f>Bets!A49</f>
        <v/>
      </c>
      <c r="B55" s="144" t="n"/>
      <c r="C55" s="144" t="n"/>
      <c r="D55" s="144" t="n"/>
      <c r="E55" s="145">
        <f>IF(Bets!AN49="Y","PLACED — frozen","")</f>
        <v/>
      </c>
      <c r="F55" s="146">
        <f>IF(Bets!AN49="Y",Bets!I49,IF(B55="",Bets!I49,B55))</f>
        <v/>
      </c>
      <c r="G55" s="146">
        <f>IF(Bets!AN49="Y",Bets!J49,IF(C55="",Bets!J49,C55))</f>
        <v/>
      </c>
      <c r="H55" s="146">
        <f>IF(Bets!AN49="Y",Bets!K49,IF(D55="",Bets!K49,D55))</f>
        <v/>
      </c>
      <c r="I55" s="52" t="n"/>
      <c r="J55" s="54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" customHeight="1" s="153">
      <c r="A56" s="143">
        <f>Bets!A50</f>
        <v/>
      </c>
      <c r="B56" s="144" t="n"/>
      <c r="C56" s="144" t="n"/>
      <c r="D56" s="144" t="n"/>
      <c r="E56" s="145">
        <f>IF(Bets!AN50="Y","PLACED — frozen","")</f>
        <v/>
      </c>
      <c r="F56" s="146">
        <f>IF(Bets!AN50="Y",Bets!I50,IF(B56="",Bets!I50,B56))</f>
        <v/>
      </c>
      <c r="G56" s="146">
        <f>IF(Bets!AN50="Y",Bets!J50,IF(C56="",Bets!J50,C56))</f>
        <v/>
      </c>
      <c r="H56" s="146">
        <f>IF(Bets!AN50="Y",Bets!K50,IF(D56="",Bets!K50,D56))</f>
        <v/>
      </c>
      <c r="I56" s="52" t="n"/>
      <c r="J56" s="54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" customHeight="1" s="153">
      <c r="A57" s="143">
        <f>Bets!A51</f>
        <v/>
      </c>
      <c r="B57" s="144" t="n"/>
      <c r="C57" s="144" t="n"/>
      <c r="D57" s="144" t="n"/>
      <c r="E57" s="145">
        <f>IF(Bets!AN51="Y","PLACED — frozen","")</f>
        <v/>
      </c>
      <c r="F57" s="146">
        <f>IF(Bets!AN51="Y",Bets!I51,IF(B57="",Bets!I51,B57))</f>
        <v/>
      </c>
      <c r="G57" s="146">
        <f>IF(Bets!AN51="Y",Bets!J51,IF(C57="",Bets!J51,C57))</f>
        <v/>
      </c>
      <c r="H57" s="146">
        <f>IF(Bets!AN51="Y",Bets!K51,IF(D57="",Bets!K51,D57))</f>
        <v/>
      </c>
      <c r="I57" s="52" t="n"/>
      <c r="J57" s="54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" customHeight="1" s="153">
      <c r="A58" s="143">
        <f>Bets!A52</f>
        <v/>
      </c>
      <c r="B58" s="144" t="n"/>
      <c r="C58" s="144" t="n"/>
      <c r="D58" s="144" t="n"/>
      <c r="E58" s="145">
        <f>IF(Bets!AN52="Y","PLACED — frozen","")</f>
        <v/>
      </c>
      <c r="F58" s="146">
        <f>IF(Bets!AN52="Y",Bets!I52,IF(B58="",Bets!I52,B58))</f>
        <v/>
      </c>
      <c r="G58" s="146">
        <f>IF(Bets!AN52="Y",Bets!J52,IF(C58="",Bets!J52,C58))</f>
        <v/>
      </c>
      <c r="H58" s="146">
        <f>IF(Bets!AN52="Y",Bets!K52,IF(D58="",Bets!K52,D58))</f>
        <v/>
      </c>
      <c r="I58" s="52" t="n"/>
      <c r="J58" s="54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" customHeight="1" s="153">
      <c r="A59" s="143">
        <f>Bets!A53</f>
        <v/>
      </c>
      <c r="B59" s="144" t="n"/>
      <c r="C59" s="144" t="n"/>
      <c r="D59" s="144" t="n"/>
      <c r="E59" s="145">
        <f>IF(Bets!AN53="Y","PLACED — frozen","")</f>
        <v/>
      </c>
      <c r="F59" s="146">
        <f>IF(Bets!AN53="Y",Bets!I53,IF(B59="",Bets!I53,B59))</f>
        <v/>
      </c>
      <c r="G59" s="146">
        <f>IF(Bets!AN53="Y",Bets!J53,IF(C59="",Bets!J53,C59))</f>
        <v/>
      </c>
      <c r="H59" s="146">
        <f>IF(Bets!AN53="Y",Bets!K53,IF(D59="",Bets!K53,D59))</f>
        <v/>
      </c>
      <c r="I59" s="52" t="n"/>
      <c r="J59" s="54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" customHeight="1" s="153">
      <c r="A60" s="143">
        <f>Bets!A54</f>
        <v/>
      </c>
      <c r="B60" s="144" t="n"/>
      <c r="C60" s="144" t="n"/>
      <c r="D60" s="144" t="n"/>
      <c r="E60" s="145">
        <f>IF(Bets!AN54="Y","PLACED — frozen","")</f>
        <v/>
      </c>
      <c r="F60" s="146">
        <f>IF(Bets!AN54="Y",Bets!I54,IF(B60="",Bets!I54,B60))</f>
        <v/>
      </c>
      <c r="G60" s="146">
        <f>IF(Bets!AN54="Y",Bets!J54,IF(C60="",Bets!J54,C60))</f>
        <v/>
      </c>
      <c r="H60" s="146">
        <f>IF(Bets!AN54="Y",Bets!K54,IF(D60="",Bets!K54,D60))</f>
        <v/>
      </c>
      <c r="I60" s="52" t="n"/>
      <c r="J60" s="54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" customHeight="1" s="153">
      <c r="A61" s="143">
        <f>Bets!A55</f>
        <v/>
      </c>
      <c r="B61" s="144" t="n"/>
      <c r="C61" s="144" t="n"/>
      <c r="D61" s="144" t="n"/>
      <c r="E61" s="145">
        <f>IF(Bets!AN55="Y","PLACED — frozen","")</f>
        <v/>
      </c>
      <c r="F61" s="146">
        <f>IF(Bets!AN55="Y",Bets!I55,IF(B61="",Bets!I55,B61))</f>
        <v/>
      </c>
      <c r="G61" s="146">
        <f>IF(Bets!AN55="Y",Bets!J55,IF(C61="",Bets!J55,C61))</f>
        <v/>
      </c>
      <c r="H61" s="146">
        <f>IF(Bets!AN55="Y",Bets!K55,IF(D61="",Bets!K55,D61))</f>
        <v/>
      </c>
      <c r="I61" s="52" t="n"/>
      <c r="J61" s="54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" customHeight="1" s="153">
      <c r="A62" s="143">
        <f>Bets!A56</f>
        <v/>
      </c>
      <c r="B62" s="144" t="n"/>
      <c r="C62" s="144" t="n"/>
      <c r="D62" s="144" t="n"/>
      <c r="E62" s="145">
        <f>IF(Bets!AN56="Y","PLACED — frozen","")</f>
        <v/>
      </c>
      <c r="F62" s="146">
        <f>IF(Bets!AN56="Y",Bets!I56,IF(B62="",Bets!I56,B62))</f>
        <v/>
      </c>
      <c r="G62" s="146">
        <f>IF(Bets!AN56="Y",Bets!J56,IF(C62="",Bets!J56,C62))</f>
        <v/>
      </c>
      <c r="H62" s="146">
        <f>IF(Bets!AN56="Y",Bets!K56,IF(D62="",Bets!K56,D62))</f>
        <v/>
      </c>
      <c r="I62" s="52" t="n"/>
      <c r="J62" s="54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" customHeight="1" s="153">
      <c r="A63" s="143">
        <f>Bets!A57</f>
        <v/>
      </c>
      <c r="B63" s="144" t="n"/>
      <c r="C63" s="144" t="n"/>
      <c r="D63" s="144" t="n"/>
      <c r="E63" s="145">
        <f>IF(Bets!AN57="Y","PLACED — frozen","")</f>
        <v/>
      </c>
      <c r="F63" s="146">
        <f>IF(Bets!AN57="Y",Bets!I57,IF(B63="",Bets!I57,B63))</f>
        <v/>
      </c>
      <c r="G63" s="146">
        <f>IF(Bets!AN57="Y",Bets!J57,IF(C63="",Bets!J57,C63))</f>
        <v/>
      </c>
      <c r="H63" s="146">
        <f>IF(Bets!AN57="Y",Bets!K57,IF(D63="",Bets!K57,D63))</f>
        <v/>
      </c>
      <c r="I63" s="52" t="n"/>
      <c r="J63" s="54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" customHeight="1" s="153">
      <c r="A64" s="143">
        <f>Bets!A58</f>
        <v/>
      </c>
      <c r="B64" s="144" t="n"/>
      <c r="C64" s="144" t="n"/>
      <c r="D64" s="144" t="n"/>
      <c r="E64" s="145">
        <f>IF(Bets!AN58="Y","PLACED — frozen","")</f>
        <v/>
      </c>
      <c r="F64" s="146">
        <f>IF(Bets!AN58="Y",Bets!I58,IF(B64="",Bets!I58,B64))</f>
        <v/>
      </c>
      <c r="G64" s="146">
        <f>IF(Bets!AN58="Y",Bets!J58,IF(C64="",Bets!J58,C64))</f>
        <v/>
      </c>
      <c r="H64" s="146">
        <f>IF(Bets!AN58="Y",Bets!K58,IF(D64="",Bets!K58,D64))</f>
        <v/>
      </c>
      <c r="I64" s="52" t="n"/>
      <c r="J64" s="54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" customHeight="1" s="153">
      <c r="A65" s="143">
        <f>Bets!A59</f>
        <v/>
      </c>
      <c r="B65" s="144" t="n"/>
      <c r="C65" s="144" t="n"/>
      <c r="D65" s="144" t="n"/>
      <c r="E65" s="145">
        <f>IF(Bets!AN59="Y","PLACED — frozen","")</f>
        <v/>
      </c>
      <c r="F65" s="146">
        <f>IF(Bets!AN59="Y",Bets!I59,IF(B65="",Bets!I59,B65))</f>
        <v/>
      </c>
      <c r="G65" s="146">
        <f>IF(Bets!AN59="Y",Bets!J59,IF(C65="",Bets!J59,C65))</f>
        <v/>
      </c>
      <c r="H65" s="146">
        <f>IF(Bets!AN59="Y",Bets!K59,IF(D65="",Bets!K59,D65))</f>
        <v/>
      </c>
      <c r="I65" s="52" t="n"/>
      <c r="J65" s="54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" customHeight="1" s="153">
      <c r="A66" s="143">
        <f>Bets!A60</f>
        <v/>
      </c>
      <c r="B66" s="144" t="n"/>
      <c r="C66" s="144" t="n"/>
      <c r="D66" s="144" t="n"/>
      <c r="E66" s="145">
        <f>IF(Bets!AN60="Y","PLACED — frozen","")</f>
        <v/>
      </c>
      <c r="F66" s="146">
        <f>IF(Bets!AN60="Y",Bets!I60,IF(B66="",Bets!I60,B66))</f>
        <v/>
      </c>
      <c r="G66" s="146">
        <f>IF(Bets!AN60="Y",Bets!J60,IF(C66="",Bets!J60,C66))</f>
        <v/>
      </c>
      <c r="H66" s="146">
        <f>IF(Bets!AN60="Y",Bets!K60,IF(D66="",Bets!K60,D66))</f>
        <v/>
      </c>
      <c r="I66" s="52" t="n"/>
      <c r="J66" s="54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" customHeight="1" s="153">
      <c r="A67" s="143">
        <f>Bets!A61</f>
        <v/>
      </c>
      <c r="B67" s="144" t="n"/>
      <c r="C67" s="144" t="n"/>
      <c r="D67" s="144" t="n"/>
      <c r="E67" s="145">
        <f>IF(Bets!AN61="Y","PLACED — frozen","")</f>
        <v/>
      </c>
      <c r="F67" s="146">
        <f>IF(Bets!AN61="Y",Bets!I61,IF(B67="",Bets!I61,B67))</f>
        <v/>
      </c>
      <c r="G67" s="146">
        <f>IF(Bets!AN61="Y",Bets!J61,IF(C67="",Bets!J61,C67))</f>
        <v/>
      </c>
      <c r="H67" s="146">
        <f>IF(Bets!AN61="Y",Bets!K61,IF(D67="",Bets!K61,D67))</f>
        <v/>
      </c>
      <c r="I67" s="52" t="n"/>
      <c r="J67" s="54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" customHeight="1" s="153">
      <c r="A68" s="143">
        <f>Bets!A62</f>
        <v/>
      </c>
      <c r="B68" s="144" t="n"/>
      <c r="C68" s="144" t="n"/>
      <c r="D68" s="144" t="n"/>
      <c r="E68" s="145">
        <f>IF(Bets!AN62="Y","PLACED — frozen","")</f>
        <v/>
      </c>
      <c r="F68" s="146">
        <f>IF(Bets!AN62="Y",Bets!I62,IF(B68="",Bets!I62,B68))</f>
        <v/>
      </c>
      <c r="G68" s="146">
        <f>IF(Bets!AN62="Y",Bets!J62,IF(C68="",Bets!J62,C68))</f>
        <v/>
      </c>
      <c r="H68" s="146">
        <f>IF(Bets!AN62="Y",Bets!K62,IF(D68="",Bets!K62,D68))</f>
        <v/>
      </c>
      <c r="I68" s="52" t="n"/>
      <c r="J68" s="54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" customHeight="1" s="153">
      <c r="A69" s="143">
        <f>Bets!A63</f>
        <v/>
      </c>
      <c r="B69" s="144" t="n"/>
      <c r="C69" s="144" t="n"/>
      <c r="D69" s="144" t="n"/>
      <c r="E69" s="145">
        <f>IF(Bets!AN63="Y","PLACED — frozen","")</f>
        <v/>
      </c>
      <c r="F69" s="146">
        <f>IF(Bets!AN63="Y",Bets!I63,IF(B69="",Bets!I63,B69))</f>
        <v/>
      </c>
      <c r="G69" s="146">
        <f>IF(Bets!AN63="Y",Bets!J63,IF(C69="",Bets!J63,C69))</f>
        <v/>
      </c>
      <c r="H69" s="146">
        <f>IF(Bets!AN63="Y",Bets!K63,IF(D69="",Bets!K63,D69))</f>
        <v/>
      </c>
      <c r="I69" s="52" t="n"/>
      <c r="J69" s="54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" customHeight="1" s="153">
      <c r="A70" s="143">
        <f>Bets!A64</f>
        <v/>
      </c>
      <c r="B70" s="144" t="n"/>
      <c r="C70" s="144" t="n"/>
      <c r="D70" s="144" t="n"/>
      <c r="E70" s="145">
        <f>IF(Bets!AN64="Y","PLACED — frozen","")</f>
        <v/>
      </c>
      <c r="F70" s="146">
        <f>IF(Bets!AN64="Y",Bets!I64,IF(B70="",Bets!I64,B70))</f>
        <v/>
      </c>
      <c r="G70" s="146">
        <f>IF(Bets!AN64="Y",Bets!J64,IF(C70="",Bets!J64,C70))</f>
        <v/>
      </c>
      <c r="H70" s="146">
        <f>IF(Bets!AN64="Y",Bets!K64,IF(D70="",Bets!K64,D70))</f>
        <v/>
      </c>
      <c r="I70" s="52" t="n"/>
      <c r="J70" s="54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" customHeight="1" s="153">
      <c r="A71" s="143">
        <f>Bets!A65</f>
        <v/>
      </c>
      <c r="B71" s="144" t="n"/>
      <c r="C71" s="144" t="n"/>
      <c r="D71" s="144" t="n"/>
      <c r="E71" s="145">
        <f>IF(Bets!AN65="Y","PLACED — frozen","")</f>
        <v/>
      </c>
      <c r="F71" s="146">
        <f>IF(Bets!AN65="Y",Bets!I65,IF(B71="",Bets!I65,B71))</f>
        <v/>
      </c>
      <c r="G71" s="146">
        <f>IF(Bets!AN65="Y",Bets!J65,IF(C71="",Bets!J65,C71))</f>
        <v/>
      </c>
      <c r="H71" s="146">
        <f>IF(Bets!AN65="Y",Bets!K65,IF(D71="",Bets!K65,D71))</f>
        <v/>
      </c>
      <c r="I71" s="52" t="n"/>
      <c r="J71" s="54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" customHeight="1" s="153">
      <c r="A72" s="143">
        <f>Bets!A66</f>
        <v/>
      </c>
      <c r="B72" s="144" t="n"/>
      <c r="C72" s="144" t="n"/>
      <c r="D72" s="144" t="n"/>
      <c r="E72" s="145">
        <f>IF(Bets!AN66="Y","PLACED — frozen","")</f>
        <v/>
      </c>
      <c r="F72" s="146">
        <f>IF(Bets!AN66="Y",Bets!I66,IF(B72="",Bets!I66,B72))</f>
        <v/>
      </c>
      <c r="G72" s="146">
        <f>IF(Bets!AN66="Y",Bets!J66,IF(C72="",Bets!J66,C72))</f>
        <v/>
      </c>
      <c r="H72" s="146">
        <f>IF(Bets!AN66="Y",Bets!K66,IF(D72="",Bets!K66,D72))</f>
        <v/>
      </c>
      <c r="I72" s="52" t="n"/>
      <c r="J72" s="54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" customHeight="1" s="153">
      <c r="A73" s="143">
        <f>Bets!A67</f>
        <v/>
      </c>
      <c r="B73" s="144" t="n"/>
      <c r="C73" s="144" t="n"/>
      <c r="D73" s="144" t="n"/>
      <c r="E73" s="145">
        <f>IF(Bets!AN67="Y","PLACED — frozen","")</f>
        <v/>
      </c>
      <c r="F73" s="146">
        <f>IF(Bets!AN67="Y",Bets!I67,IF(B73="",Bets!I67,B73))</f>
        <v/>
      </c>
      <c r="G73" s="146">
        <f>IF(Bets!AN67="Y",Bets!J67,IF(C73="",Bets!J67,C73))</f>
        <v/>
      </c>
      <c r="H73" s="146">
        <f>IF(Bets!AN67="Y",Bets!K67,IF(D73="",Bets!K67,D73))</f>
        <v/>
      </c>
      <c r="I73" s="52" t="n"/>
      <c r="J73" s="54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" customHeight="1" s="153">
      <c r="A74" s="143">
        <f>Bets!A68</f>
        <v/>
      </c>
      <c r="B74" s="144" t="n"/>
      <c r="C74" s="144" t="n"/>
      <c r="D74" s="144" t="n"/>
      <c r="E74" s="145">
        <f>IF(Bets!AN68="Y","PLACED — frozen","")</f>
        <v/>
      </c>
      <c r="F74" s="146">
        <f>IF(Bets!AN68="Y",Bets!I68,IF(B74="",Bets!I68,B74))</f>
        <v/>
      </c>
      <c r="G74" s="146">
        <f>IF(Bets!AN68="Y",Bets!J68,IF(C74="",Bets!J68,C74))</f>
        <v/>
      </c>
      <c r="H74" s="146">
        <f>IF(Bets!AN68="Y",Bets!K68,IF(D74="",Bets!K68,D74))</f>
        <v/>
      </c>
      <c r="I74" s="52" t="n"/>
      <c r="J74" s="54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" customHeight="1" s="153">
      <c r="A75" s="143">
        <f>Bets!A69</f>
        <v/>
      </c>
      <c r="B75" s="144" t="n"/>
      <c r="C75" s="144" t="n"/>
      <c r="D75" s="144" t="n"/>
      <c r="E75" s="145">
        <f>IF(Bets!AN69="Y","PLACED — frozen","")</f>
        <v/>
      </c>
      <c r="F75" s="146">
        <f>IF(Bets!AN69="Y",Bets!I69,IF(B75="",Bets!I69,B75))</f>
        <v/>
      </c>
      <c r="G75" s="146">
        <f>IF(Bets!AN69="Y",Bets!J69,IF(C75="",Bets!J69,C75))</f>
        <v/>
      </c>
      <c r="H75" s="146">
        <f>IF(Bets!AN69="Y",Bets!K69,IF(D75="",Bets!K69,D75))</f>
        <v/>
      </c>
      <c r="I75" s="52" t="n"/>
      <c r="J75" s="54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" customHeight="1" s="153">
      <c r="A76" s="143">
        <f>Bets!A70</f>
        <v/>
      </c>
      <c r="B76" s="144" t="n"/>
      <c r="C76" s="144" t="n"/>
      <c r="D76" s="144" t="n"/>
      <c r="E76" s="145">
        <f>IF(Bets!AN70="Y","PLACED — frozen","")</f>
        <v/>
      </c>
      <c r="F76" s="146">
        <f>IF(Bets!AN70="Y",Bets!I70,IF(B76="",Bets!I70,B76))</f>
        <v/>
      </c>
      <c r="G76" s="146">
        <f>IF(Bets!AN70="Y",Bets!J70,IF(C76="",Bets!J70,C76))</f>
        <v/>
      </c>
      <c r="H76" s="146">
        <f>IF(Bets!AN70="Y",Bets!K70,IF(D76="",Bets!K70,D76))</f>
        <v/>
      </c>
      <c r="I76" s="52" t="n"/>
      <c r="J76" s="54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" customHeight="1" s="153">
      <c r="A77" s="143">
        <f>Bets!A71</f>
        <v/>
      </c>
      <c r="B77" s="144" t="n"/>
      <c r="C77" s="144" t="n"/>
      <c r="D77" s="144" t="n"/>
      <c r="E77" s="145">
        <f>IF(Bets!AN71="Y","PLACED — frozen","")</f>
        <v/>
      </c>
      <c r="F77" s="146">
        <f>IF(Bets!AN71="Y",Bets!I71,IF(B77="",Bets!I71,B77))</f>
        <v/>
      </c>
      <c r="G77" s="146">
        <f>IF(Bets!AN71="Y",Bets!J71,IF(C77="",Bets!J71,C77))</f>
        <v/>
      </c>
      <c r="H77" s="146">
        <f>IF(Bets!AN71="Y",Bets!K71,IF(D77="",Bets!K71,D77))</f>
        <v/>
      </c>
      <c r="I77" s="52" t="n"/>
      <c r="J77" s="54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" customHeight="1" s="153">
      <c r="A78" s="143">
        <f>Bets!A72</f>
        <v/>
      </c>
      <c r="B78" s="144" t="n"/>
      <c r="C78" s="144" t="n"/>
      <c r="D78" s="144" t="n"/>
      <c r="E78" s="145">
        <f>IF(Bets!AN72="Y","PLACED — frozen","")</f>
        <v/>
      </c>
      <c r="F78" s="146">
        <f>IF(Bets!AN72="Y",Bets!I72,IF(B78="",Bets!I72,B78))</f>
        <v/>
      </c>
      <c r="G78" s="146">
        <f>IF(Bets!AN72="Y",Bets!J72,IF(C78="",Bets!J72,C78))</f>
        <v/>
      </c>
      <c r="H78" s="146">
        <f>IF(Bets!AN72="Y",Bets!K72,IF(D78="",Bets!K72,D78))</f>
        <v/>
      </c>
      <c r="I78" s="52" t="n"/>
      <c r="J78" s="54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" customHeight="1" s="153">
      <c r="A79" s="143">
        <f>Bets!A73</f>
        <v/>
      </c>
      <c r="B79" s="144" t="n"/>
      <c r="C79" s="144" t="n"/>
      <c r="D79" s="144" t="n"/>
      <c r="E79" s="145">
        <f>IF(Bets!AN73="Y","PLACED — frozen","")</f>
        <v/>
      </c>
      <c r="F79" s="146">
        <f>IF(Bets!AN73="Y",Bets!I73,IF(B79="",Bets!I73,B79))</f>
        <v/>
      </c>
      <c r="G79" s="146">
        <f>IF(Bets!AN73="Y",Bets!J73,IF(C79="",Bets!J73,C79))</f>
        <v/>
      </c>
      <c r="H79" s="146">
        <f>IF(Bets!AN73="Y",Bets!K73,IF(D79="",Bets!K73,D79))</f>
        <v/>
      </c>
      <c r="I79" s="52" t="n"/>
      <c r="J79" s="54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2" t="n"/>
      <c r="J80" s="54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2" t="n"/>
      <c r="J81" s="54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2" t="n"/>
      <c r="J82" s="54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2" t="n"/>
      <c r="J83" s="54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2" t="n"/>
      <c r="J84" s="54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2" t="n"/>
      <c r="J85" s="54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2" t="n"/>
      <c r="J86" s="54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2" t="n"/>
      <c r="J87" s="54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2" t="n"/>
      <c r="J88" s="54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2" t="n"/>
      <c r="J89" s="54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2" t="n"/>
      <c r="J90" s="54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2" t="n"/>
      <c r="J91" s="54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2" t="n"/>
      <c r="J92" s="54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2" t="n"/>
      <c r="J93" s="54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2" t="n"/>
      <c r="J94" s="54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2" t="n"/>
      <c r="J95" s="54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2" t="n"/>
      <c r="J96" s="54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2" t="n"/>
      <c r="J97" s="54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2" t="n"/>
      <c r="J98" s="54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2" t="n"/>
      <c r="J99" s="54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2" t="n"/>
      <c r="J100" s="54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2" t="n"/>
      <c r="J101" s="54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2" t="n"/>
      <c r="J102" s="54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2" t="n"/>
      <c r="J103" s="54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2" t="n"/>
      <c r="J104" s="54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2" t="n"/>
      <c r="J105" s="54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2" t="n"/>
      <c r="J106" s="54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2" t="n"/>
      <c r="J107" s="54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2" t="n"/>
      <c r="J108" s="54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2" t="n"/>
      <c r="J109" s="54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2" t="n"/>
      <c r="J110" s="54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2" t="n"/>
      <c r="J111" s="54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2" t="n"/>
      <c r="J112" s="54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2" t="n"/>
      <c r="J113" s="54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2" t="n"/>
      <c r="J114" s="54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2" t="n"/>
      <c r="J115" s="54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2" t="n"/>
      <c r="J116" s="54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2" t="n"/>
      <c r="J117" s="54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2" t="n"/>
      <c r="J118" s="54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2" t="n"/>
      <c r="J119" s="54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2" t="n"/>
      <c r="J120" s="54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2" t="n"/>
      <c r="J121" s="54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2" t="n"/>
      <c r="J122" s="54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2" t="n"/>
      <c r="J123" s="54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2" t="n"/>
      <c r="J124" s="54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2" t="n"/>
      <c r="J125" s="54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2" t="n"/>
      <c r="J126" s="54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2" t="n"/>
      <c r="J127" s="54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2" t="n"/>
      <c r="J128" s="54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2" t="n"/>
      <c r="J129" s="54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2" t="n"/>
      <c r="J130" s="54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2" t="n"/>
      <c r="J131" s="54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2" t="n"/>
      <c r="J132" s="54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2" t="n"/>
      <c r="J133" s="54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2" t="n"/>
      <c r="J134" s="54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2" t="n"/>
      <c r="J135" s="54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2" t="n"/>
      <c r="J136" s="54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2" t="n"/>
      <c r="J137" s="54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2" t="n"/>
      <c r="J138" s="54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2" t="n"/>
      <c r="J139" s="54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2" t="n"/>
      <c r="J140" s="54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2" t="n"/>
      <c r="J141" s="54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2" t="n"/>
      <c r="J142" s="54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2" t="n"/>
      <c r="J143" s="54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2" t="n"/>
      <c r="J144" s="54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2" t="n"/>
      <c r="J145" s="54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2" t="n"/>
      <c r="J146" s="54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2" t="n"/>
      <c r="J147" s="54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2" t="n"/>
      <c r="J148" s="54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2" t="n"/>
      <c r="J149" s="54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2" t="n"/>
      <c r="J150" s="54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2" t="n"/>
      <c r="J151" s="54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2" t="n"/>
      <c r="J152" s="54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2" t="n"/>
      <c r="J153" s="54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2" t="n"/>
      <c r="J154" s="54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2" t="n"/>
      <c r="J155" s="54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2" t="n"/>
      <c r="J156" s="54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2" t="n"/>
      <c r="J157" s="54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2" t="n"/>
      <c r="J158" s="54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2" t="n"/>
      <c r="J159" s="54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2" t="n"/>
      <c r="J160" s="54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2" t="n"/>
      <c r="J161" s="54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2" t="n"/>
      <c r="J162" s="54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2" t="n"/>
      <c r="J163" s="54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2" t="n"/>
      <c r="J164" s="54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2" t="n"/>
      <c r="J165" s="54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2" t="n"/>
      <c r="J166" s="54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2" t="n"/>
      <c r="J167" s="54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2" t="n"/>
      <c r="J168" s="54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2" t="n"/>
      <c r="J169" s="54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2" t="n"/>
      <c r="J170" s="54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2" t="n"/>
      <c r="J171" s="54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2" t="n"/>
      <c r="J172" s="54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2" t="n"/>
      <c r="J173" s="54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2" t="n"/>
      <c r="J174" s="54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2" t="n"/>
      <c r="J175" s="54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2" t="n"/>
      <c r="J176" s="54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2" t="n"/>
      <c r="J177" s="54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2" t="n"/>
      <c r="J178" s="54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2" t="n"/>
      <c r="J179" s="54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2" t="n"/>
      <c r="J180" s="54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2" t="n"/>
      <c r="J181" s="54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2" t="n"/>
      <c r="J182" s="54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2" t="n"/>
      <c r="J183" s="54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2" t="n"/>
      <c r="J184" s="54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2" t="n"/>
      <c r="J185" s="54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2" t="n"/>
      <c r="J186" s="54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2" t="n"/>
      <c r="J187" s="54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2" t="n"/>
      <c r="J188" s="54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2" t="n"/>
      <c r="J189" s="54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2" t="n"/>
      <c r="J190" s="54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2" t="n"/>
      <c r="J191" s="54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2" t="n"/>
      <c r="J192" s="54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2" t="n"/>
      <c r="J193" s="54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2" t="n"/>
      <c r="J194" s="54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2" t="n"/>
      <c r="J195" s="54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2" t="n"/>
      <c r="J196" s="54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2" t="n"/>
      <c r="J197" s="54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2" t="n"/>
      <c r="J198" s="54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2" t="n"/>
      <c r="J199" s="54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2" t="n"/>
      <c r="J200" s="54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2" t="n"/>
      <c r="J201" s="54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2" t="n"/>
      <c r="J202" s="54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2" t="n"/>
      <c r="J203" s="54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2" t="n"/>
      <c r="J204" s="54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2" t="n"/>
      <c r="J205" s="54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2" t="n"/>
      <c r="J206" s="54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2" t="n"/>
      <c r="J207" s="54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2" t="n"/>
      <c r="J208" s="54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2" t="n"/>
      <c r="J209" s="54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2" t="n"/>
      <c r="J210" s="54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2" t="n"/>
      <c r="J211" s="54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2" t="n"/>
      <c r="J212" s="54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2" t="n"/>
      <c r="J213" s="54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2" t="n"/>
      <c r="J214" s="54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2" t="n"/>
      <c r="J215" s="54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2" t="n"/>
      <c r="J216" s="54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2" t="n"/>
      <c r="J217" s="54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2" t="n"/>
      <c r="J218" s="54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2" t="n"/>
      <c r="J219" s="54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2" t="n"/>
      <c r="J220" s="54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2" t="n"/>
      <c r="J221" s="54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2" t="n"/>
      <c r="J222" s="54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2" t="n"/>
      <c r="J223" s="54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2" t="n"/>
      <c r="J224" s="54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2" t="n"/>
      <c r="J225" s="54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2" t="n"/>
      <c r="J226" s="54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2" t="n"/>
      <c r="J227" s="54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2" t="n"/>
      <c r="J228" s="54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2" t="n"/>
      <c r="J229" s="54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2" t="n"/>
      <c r="J230" s="54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2" t="n"/>
      <c r="J231" s="54" t="n"/>
      <c r="K231" s="52" t="n"/>
      <c r="L231" s="52" t="n"/>
      <c r="M231" s="52" t="n"/>
      <c r="N231" s="52" t="n"/>
      <c r="O231" s="52" t="n"/>
      <c r="P231" s="52" t="n"/>
      <c r="Q231" s="52" t="n"/>
      <c r="R231" s="52" t="n"/>
      <c r="S231" s="52" t="n"/>
      <c r="T231" s="52" t="n"/>
      <c r="U231" s="52" t="n"/>
      <c r="V231" s="52" t="n"/>
      <c r="W231" s="52" t="n"/>
      <c r="X231" s="52" t="n"/>
      <c r="Y231" s="52" t="n"/>
      <c r="Z231" s="52" t="n"/>
    </row>
    <row r="232" ht="15.75" customHeight="1" s="153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2" t="n"/>
      <c r="J232" s="54" t="n"/>
      <c r="K232" s="52" t="n"/>
      <c r="L232" s="52" t="n"/>
      <c r="M232" s="52" t="n"/>
      <c r="N232" s="52" t="n"/>
      <c r="O232" s="52" t="n"/>
      <c r="P232" s="52" t="n"/>
      <c r="Q232" s="52" t="n"/>
      <c r="R232" s="52" t="n"/>
      <c r="S232" s="52" t="n"/>
      <c r="T232" s="52" t="n"/>
      <c r="U232" s="52" t="n"/>
      <c r="V232" s="52" t="n"/>
      <c r="W232" s="52" t="n"/>
      <c r="X232" s="52" t="n"/>
      <c r="Y232" s="52" t="n"/>
      <c r="Z232" s="52" t="n"/>
    </row>
    <row r="233" ht="15.75" customHeight="1" s="153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2" t="n"/>
      <c r="J233" s="54" t="n"/>
      <c r="K233" s="52" t="n"/>
      <c r="L233" s="52" t="n"/>
      <c r="M233" s="52" t="n"/>
      <c r="N233" s="52" t="n"/>
      <c r="O233" s="52" t="n"/>
      <c r="P233" s="52" t="n"/>
      <c r="Q233" s="52" t="n"/>
      <c r="R233" s="52" t="n"/>
      <c r="S233" s="52" t="n"/>
      <c r="T233" s="52" t="n"/>
      <c r="U233" s="52" t="n"/>
      <c r="V233" s="52" t="n"/>
      <c r="W233" s="52" t="n"/>
      <c r="X233" s="52" t="n"/>
      <c r="Y233" s="52" t="n"/>
      <c r="Z233" s="52" t="n"/>
    </row>
    <row r="234" ht="15.75" customHeight="1" s="153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2" t="n"/>
      <c r="J234" s="54" t="n"/>
      <c r="K234" s="52" t="n"/>
      <c r="L234" s="52" t="n"/>
      <c r="M234" s="52" t="n"/>
      <c r="N234" s="52" t="n"/>
      <c r="O234" s="52" t="n"/>
      <c r="P234" s="52" t="n"/>
      <c r="Q234" s="52" t="n"/>
      <c r="R234" s="52" t="n"/>
      <c r="S234" s="52" t="n"/>
      <c r="T234" s="52" t="n"/>
      <c r="U234" s="52" t="n"/>
      <c r="V234" s="52" t="n"/>
      <c r="W234" s="52" t="n"/>
      <c r="X234" s="52" t="n"/>
      <c r="Y234" s="52" t="n"/>
      <c r="Z234" s="52" t="n"/>
    </row>
    <row r="235" ht="15.75" customHeight="1" s="153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2" t="n"/>
      <c r="J235" s="54" t="n"/>
      <c r="K235" s="52" t="n"/>
      <c r="L235" s="52" t="n"/>
      <c r="M235" s="52" t="n"/>
      <c r="N235" s="52" t="n"/>
      <c r="O235" s="52" t="n"/>
      <c r="P235" s="52" t="n"/>
      <c r="Q235" s="52" t="n"/>
      <c r="R235" s="52" t="n"/>
      <c r="S235" s="52" t="n"/>
      <c r="T235" s="52" t="n"/>
      <c r="U235" s="52" t="n"/>
      <c r="V235" s="52" t="n"/>
      <c r="W235" s="52" t="n"/>
      <c r="X235" s="52" t="n"/>
      <c r="Y235" s="52" t="n"/>
      <c r="Z235" s="52" t="n"/>
    </row>
    <row r="236" ht="15.75" customHeight="1" s="153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2" t="n"/>
      <c r="J236" s="54" t="n"/>
      <c r="K236" s="52" t="n"/>
      <c r="L236" s="52" t="n"/>
      <c r="M236" s="52" t="n"/>
      <c r="N236" s="52" t="n"/>
      <c r="O236" s="52" t="n"/>
      <c r="P236" s="52" t="n"/>
      <c r="Q236" s="52" t="n"/>
      <c r="R236" s="52" t="n"/>
      <c r="S236" s="52" t="n"/>
      <c r="T236" s="52" t="n"/>
      <c r="U236" s="52" t="n"/>
      <c r="V236" s="52" t="n"/>
      <c r="W236" s="52" t="n"/>
      <c r="X236" s="52" t="n"/>
      <c r="Y236" s="52" t="n"/>
      <c r="Z236" s="52" t="n"/>
    </row>
    <row r="237" ht="15.75" customHeight="1" s="153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2" t="n"/>
      <c r="J237" s="54" t="n"/>
      <c r="K237" s="52" t="n"/>
      <c r="L237" s="52" t="n"/>
      <c r="M237" s="52" t="n"/>
      <c r="N237" s="52" t="n"/>
      <c r="O237" s="52" t="n"/>
      <c r="P237" s="52" t="n"/>
      <c r="Q237" s="52" t="n"/>
      <c r="R237" s="52" t="n"/>
      <c r="S237" s="52" t="n"/>
      <c r="T237" s="52" t="n"/>
      <c r="U237" s="52" t="n"/>
      <c r="V237" s="52" t="n"/>
      <c r="W237" s="52" t="n"/>
      <c r="X237" s="52" t="n"/>
      <c r="Y237" s="52" t="n"/>
      <c r="Z237" s="52" t="n"/>
    </row>
    <row r="238" ht="15.75" customHeight="1" s="153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2" t="n"/>
      <c r="J238" s="54" t="n"/>
      <c r="K238" s="52" t="n"/>
      <c r="L238" s="52" t="n"/>
      <c r="M238" s="52" t="n"/>
      <c r="N238" s="52" t="n"/>
      <c r="O238" s="52" t="n"/>
      <c r="P238" s="52" t="n"/>
      <c r="Q238" s="52" t="n"/>
      <c r="R238" s="52" t="n"/>
      <c r="S238" s="52" t="n"/>
      <c r="T238" s="52" t="n"/>
      <c r="U238" s="52" t="n"/>
      <c r="V238" s="52" t="n"/>
      <c r="W238" s="52" t="n"/>
      <c r="X238" s="52" t="n"/>
      <c r="Y238" s="52" t="n"/>
      <c r="Z238" s="52" t="n"/>
    </row>
    <row r="239" ht="15.75" customHeight="1" s="153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2" t="n"/>
      <c r="J239" s="54" t="n"/>
      <c r="K239" s="52" t="n"/>
      <c r="L239" s="52" t="n"/>
      <c r="M239" s="52" t="n"/>
      <c r="N239" s="52" t="n"/>
      <c r="O239" s="52" t="n"/>
      <c r="P239" s="52" t="n"/>
      <c r="Q239" s="52" t="n"/>
      <c r="R239" s="52" t="n"/>
      <c r="S239" s="52" t="n"/>
      <c r="T239" s="52" t="n"/>
      <c r="U239" s="52" t="n"/>
      <c r="V239" s="52" t="n"/>
      <c r="W239" s="52" t="n"/>
      <c r="X239" s="52" t="n"/>
      <c r="Y239" s="52" t="n"/>
      <c r="Z239" s="52" t="n"/>
    </row>
    <row r="240" ht="15.75" customHeight="1" s="153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2" t="n"/>
      <c r="J240" s="54" t="n"/>
      <c r="K240" s="52" t="n"/>
      <c r="L240" s="52" t="n"/>
      <c r="M240" s="52" t="n"/>
      <c r="N240" s="52" t="n"/>
      <c r="O240" s="52" t="n"/>
      <c r="P240" s="52" t="n"/>
      <c r="Q240" s="52" t="n"/>
      <c r="R240" s="52" t="n"/>
      <c r="S240" s="52" t="n"/>
      <c r="T240" s="52" t="n"/>
      <c r="U240" s="52" t="n"/>
      <c r="V240" s="52" t="n"/>
      <c r="W240" s="52" t="n"/>
      <c r="X240" s="52" t="n"/>
      <c r="Y240" s="52" t="n"/>
      <c r="Z240" s="52" t="n"/>
    </row>
    <row r="241" ht="15.75" customHeight="1" s="153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2" t="n"/>
      <c r="J241" s="54" t="n"/>
      <c r="K241" s="52" t="n"/>
      <c r="L241" s="52" t="n"/>
      <c r="M241" s="52" t="n"/>
      <c r="N241" s="52" t="n"/>
      <c r="O241" s="52" t="n"/>
      <c r="P241" s="52" t="n"/>
      <c r="Q241" s="52" t="n"/>
      <c r="R241" s="52" t="n"/>
      <c r="S241" s="52" t="n"/>
      <c r="T241" s="52" t="n"/>
      <c r="U241" s="52" t="n"/>
      <c r="V241" s="52" t="n"/>
      <c r="W241" s="52" t="n"/>
      <c r="X241" s="52" t="n"/>
      <c r="Y241" s="52" t="n"/>
      <c r="Z241" s="52" t="n"/>
    </row>
    <row r="242" ht="15.75" customHeight="1" s="153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2" t="n"/>
      <c r="J242" s="54" t="n"/>
      <c r="K242" s="52" t="n"/>
      <c r="L242" s="52" t="n"/>
      <c r="M242" s="52" t="n"/>
      <c r="N242" s="52" t="n"/>
      <c r="O242" s="52" t="n"/>
      <c r="P242" s="52" t="n"/>
      <c r="Q242" s="52" t="n"/>
      <c r="R242" s="52" t="n"/>
      <c r="S242" s="52" t="n"/>
      <c r="T242" s="52" t="n"/>
      <c r="U242" s="52" t="n"/>
      <c r="V242" s="52" t="n"/>
      <c r="W242" s="52" t="n"/>
      <c r="X242" s="52" t="n"/>
      <c r="Y242" s="52" t="n"/>
      <c r="Z242" s="52" t="n"/>
    </row>
    <row r="243" ht="15.75" customHeight="1" s="153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2" t="n"/>
      <c r="J243" s="54" t="n"/>
      <c r="K243" s="52" t="n"/>
      <c r="L243" s="52" t="n"/>
      <c r="M243" s="52" t="n"/>
      <c r="N243" s="52" t="n"/>
      <c r="O243" s="52" t="n"/>
      <c r="P243" s="52" t="n"/>
      <c r="Q243" s="52" t="n"/>
      <c r="R243" s="52" t="n"/>
      <c r="S243" s="52" t="n"/>
      <c r="T243" s="52" t="n"/>
      <c r="U243" s="52" t="n"/>
      <c r="V243" s="52" t="n"/>
      <c r="W243" s="52" t="n"/>
      <c r="X243" s="52" t="n"/>
      <c r="Y243" s="52" t="n"/>
      <c r="Z243" s="52" t="n"/>
    </row>
    <row r="244" ht="15.75" customHeight="1" s="153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2" t="n"/>
      <c r="J244" s="54" t="n"/>
      <c r="K244" s="52" t="n"/>
      <c r="L244" s="52" t="n"/>
      <c r="M244" s="52" t="n"/>
      <c r="N244" s="52" t="n"/>
      <c r="O244" s="52" t="n"/>
      <c r="P244" s="52" t="n"/>
      <c r="Q244" s="52" t="n"/>
      <c r="R244" s="52" t="n"/>
      <c r="S244" s="52" t="n"/>
      <c r="T244" s="52" t="n"/>
      <c r="U244" s="52" t="n"/>
      <c r="V244" s="52" t="n"/>
      <c r="W244" s="52" t="n"/>
      <c r="X244" s="52" t="n"/>
      <c r="Y244" s="52" t="n"/>
      <c r="Z244" s="52" t="n"/>
    </row>
    <row r="245" ht="15.75" customHeight="1" s="153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2" t="n"/>
      <c r="J245" s="54" t="n"/>
      <c r="K245" s="52" t="n"/>
      <c r="L245" s="52" t="n"/>
      <c r="M245" s="52" t="n"/>
      <c r="N245" s="52" t="n"/>
      <c r="O245" s="52" t="n"/>
      <c r="P245" s="52" t="n"/>
      <c r="Q245" s="52" t="n"/>
      <c r="R245" s="52" t="n"/>
      <c r="S245" s="52" t="n"/>
      <c r="T245" s="52" t="n"/>
      <c r="U245" s="52" t="n"/>
      <c r="V245" s="52" t="n"/>
      <c r="W245" s="52" t="n"/>
      <c r="X245" s="52" t="n"/>
      <c r="Y245" s="52" t="n"/>
      <c r="Z245" s="52" t="n"/>
    </row>
    <row r="246" ht="15.75" customHeight="1" s="153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2" t="n"/>
      <c r="J246" s="54" t="n"/>
      <c r="K246" s="52" t="n"/>
      <c r="L246" s="52" t="n"/>
      <c r="M246" s="52" t="n"/>
      <c r="N246" s="52" t="n"/>
      <c r="O246" s="52" t="n"/>
      <c r="P246" s="52" t="n"/>
      <c r="Q246" s="52" t="n"/>
      <c r="R246" s="52" t="n"/>
      <c r="S246" s="52" t="n"/>
      <c r="T246" s="52" t="n"/>
      <c r="U246" s="52" t="n"/>
      <c r="V246" s="52" t="n"/>
      <c r="W246" s="52" t="n"/>
      <c r="X246" s="52" t="n"/>
      <c r="Y246" s="52" t="n"/>
      <c r="Z246" s="52" t="n"/>
    </row>
    <row r="247" ht="15.75" customHeight="1" s="153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2" t="n"/>
      <c r="J247" s="54" t="n"/>
      <c r="K247" s="52" t="n"/>
      <c r="L247" s="52" t="n"/>
      <c r="M247" s="52" t="n"/>
      <c r="N247" s="52" t="n"/>
      <c r="O247" s="52" t="n"/>
      <c r="P247" s="52" t="n"/>
      <c r="Q247" s="52" t="n"/>
      <c r="R247" s="52" t="n"/>
      <c r="S247" s="52" t="n"/>
      <c r="T247" s="52" t="n"/>
      <c r="U247" s="52" t="n"/>
      <c r="V247" s="52" t="n"/>
      <c r="W247" s="52" t="n"/>
      <c r="X247" s="52" t="n"/>
      <c r="Y247" s="52" t="n"/>
      <c r="Z247" s="52" t="n"/>
    </row>
    <row r="248" ht="15.75" customHeight="1" s="153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2" t="n"/>
      <c r="J248" s="54" t="n"/>
      <c r="K248" s="52" t="n"/>
      <c r="L248" s="52" t="n"/>
      <c r="M248" s="52" t="n"/>
      <c r="N248" s="52" t="n"/>
      <c r="O248" s="52" t="n"/>
      <c r="P248" s="52" t="n"/>
      <c r="Q248" s="52" t="n"/>
      <c r="R248" s="52" t="n"/>
      <c r="S248" s="52" t="n"/>
      <c r="T248" s="52" t="n"/>
      <c r="U248" s="52" t="n"/>
      <c r="V248" s="52" t="n"/>
      <c r="W248" s="52" t="n"/>
      <c r="X248" s="52" t="n"/>
      <c r="Y248" s="52" t="n"/>
      <c r="Z248" s="52" t="n"/>
    </row>
    <row r="249" ht="15.75" customHeight="1" s="153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2" t="n"/>
      <c r="J249" s="54" t="n"/>
      <c r="K249" s="52" t="n"/>
      <c r="L249" s="52" t="n"/>
      <c r="M249" s="52" t="n"/>
      <c r="N249" s="52" t="n"/>
      <c r="O249" s="52" t="n"/>
      <c r="P249" s="52" t="n"/>
      <c r="Q249" s="52" t="n"/>
      <c r="R249" s="52" t="n"/>
      <c r="S249" s="52" t="n"/>
      <c r="T249" s="52" t="n"/>
      <c r="U249" s="52" t="n"/>
      <c r="V249" s="52" t="n"/>
      <c r="W249" s="52" t="n"/>
      <c r="X249" s="52" t="n"/>
      <c r="Y249" s="52" t="n"/>
      <c r="Z249" s="52" t="n"/>
    </row>
    <row r="250" ht="15.75" customHeight="1" s="153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2" t="n"/>
      <c r="J250" s="54" t="n"/>
      <c r="K250" s="52" t="n"/>
      <c r="L250" s="52" t="n"/>
      <c r="M250" s="52" t="n"/>
      <c r="N250" s="52" t="n"/>
      <c r="O250" s="52" t="n"/>
      <c r="P250" s="52" t="n"/>
      <c r="Q250" s="52" t="n"/>
      <c r="R250" s="52" t="n"/>
      <c r="S250" s="52" t="n"/>
      <c r="T250" s="52" t="n"/>
      <c r="U250" s="52" t="n"/>
      <c r="V250" s="52" t="n"/>
      <c r="W250" s="52" t="n"/>
      <c r="X250" s="52" t="n"/>
      <c r="Y250" s="52" t="n"/>
      <c r="Z250" s="52" t="n"/>
    </row>
    <row r="251" ht="15.75" customHeight="1" s="153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2" t="n"/>
      <c r="J251" s="54" t="n"/>
      <c r="K251" s="52" t="n"/>
      <c r="L251" s="52" t="n"/>
      <c r="M251" s="52" t="n"/>
      <c r="N251" s="52" t="n"/>
      <c r="O251" s="52" t="n"/>
      <c r="P251" s="52" t="n"/>
      <c r="Q251" s="52" t="n"/>
      <c r="R251" s="52" t="n"/>
      <c r="S251" s="52" t="n"/>
      <c r="T251" s="52" t="n"/>
      <c r="U251" s="52" t="n"/>
      <c r="V251" s="52" t="n"/>
      <c r="W251" s="52" t="n"/>
      <c r="X251" s="52" t="n"/>
      <c r="Y251" s="52" t="n"/>
      <c r="Z251" s="52" t="n"/>
    </row>
    <row r="252" ht="15.75" customHeight="1" s="153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2" t="n"/>
      <c r="J252" s="54" t="n"/>
      <c r="K252" s="52" t="n"/>
      <c r="L252" s="52" t="n"/>
      <c r="M252" s="52" t="n"/>
      <c r="N252" s="52" t="n"/>
      <c r="O252" s="52" t="n"/>
      <c r="P252" s="52" t="n"/>
      <c r="Q252" s="52" t="n"/>
      <c r="R252" s="52" t="n"/>
      <c r="S252" s="52" t="n"/>
      <c r="T252" s="52" t="n"/>
      <c r="U252" s="52" t="n"/>
      <c r="V252" s="52" t="n"/>
      <c r="W252" s="52" t="n"/>
      <c r="X252" s="52" t="n"/>
      <c r="Y252" s="52" t="n"/>
      <c r="Z252" s="52" t="n"/>
    </row>
    <row r="253" ht="15.75" customHeight="1" s="153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2" t="n"/>
      <c r="J253" s="54" t="n"/>
      <c r="K253" s="52" t="n"/>
      <c r="L253" s="52" t="n"/>
      <c r="M253" s="52" t="n"/>
      <c r="N253" s="52" t="n"/>
      <c r="O253" s="52" t="n"/>
      <c r="P253" s="52" t="n"/>
      <c r="Q253" s="52" t="n"/>
      <c r="R253" s="52" t="n"/>
      <c r="S253" s="52" t="n"/>
      <c r="T253" s="52" t="n"/>
      <c r="U253" s="52" t="n"/>
      <c r="V253" s="52" t="n"/>
      <c r="W253" s="52" t="n"/>
      <c r="X253" s="52" t="n"/>
      <c r="Y253" s="52" t="n"/>
      <c r="Z253" s="52" t="n"/>
    </row>
    <row r="254" ht="15.75" customHeight="1" s="153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2" t="n"/>
      <c r="J254" s="54" t="n"/>
      <c r="K254" s="52" t="n"/>
      <c r="L254" s="52" t="n"/>
      <c r="M254" s="52" t="n"/>
      <c r="N254" s="52" t="n"/>
      <c r="O254" s="52" t="n"/>
      <c r="P254" s="52" t="n"/>
      <c r="Q254" s="52" t="n"/>
      <c r="R254" s="52" t="n"/>
      <c r="S254" s="52" t="n"/>
      <c r="T254" s="52" t="n"/>
      <c r="U254" s="52" t="n"/>
      <c r="V254" s="52" t="n"/>
      <c r="W254" s="52" t="n"/>
      <c r="X254" s="52" t="n"/>
      <c r="Y254" s="52" t="n"/>
      <c r="Z254" s="52" t="n"/>
    </row>
    <row r="255" ht="15.75" customHeight="1" s="153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2" t="n"/>
      <c r="J255" s="54" t="n"/>
      <c r="K255" s="52" t="n"/>
      <c r="L255" s="52" t="n"/>
      <c r="M255" s="52" t="n"/>
      <c r="N255" s="52" t="n"/>
      <c r="O255" s="52" t="n"/>
      <c r="P255" s="52" t="n"/>
      <c r="Q255" s="52" t="n"/>
      <c r="R255" s="52" t="n"/>
      <c r="S255" s="52" t="n"/>
      <c r="T255" s="52" t="n"/>
      <c r="U255" s="52" t="n"/>
      <c r="V255" s="52" t="n"/>
      <c r="W255" s="52" t="n"/>
      <c r="X255" s="52" t="n"/>
      <c r="Y255" s="52" t="n"/>
      <c r="Z255" s="52" t="n"/>
    </row>
    <row r="256" ht="15.75" customHeight="1" s="153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2" t="n"/>
      <c r="J256" s="54" t="n"/>
      <c r="K256" s="52" t="n"/>
      <c r="L256" s="52" t="n"/>
      <c r="M256" s="52" t="n"/>
      <c r="N256" s="52" t="n"/>
      <c r="O256" s="52" t="n"/>
      <c r="P256" s="52" t="n"/>
      <c r="Q256" s="52" t="n"/>
      <c r="R256" s="52" t="n"/>
      <c r="S256" s="52" t="n"/>
      <c r="T256" s="52" t="n"/>
      <c r="U256" s="52" t="n"/>
      <c r="V256" s="52" t="n"/>
      <c r="W256" s="52" t="n"/>
      <c r="X256" s="52" t="n"/>
      <c r="Y256" s="52" t="n"/>
      <c r="Z256" s="52" t="n"/>
    </row>
    <row r="257" ht="15.75" customHeight="1" s="153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2" t="n"/>
      <c r="J257" s="54" t="n"/>
      <c r="K257" s="52" t="n"/>
      <c r="L257" s="52" t="n"/>
      <c r="M257" s="52" t="n"/>
      <c r="N257" s="52" t="n"/>
      <c r="O257" s="52" t="n"/>
      <c r="P257" s="52" t="n"/>
      <c r="Q257" s="52" t="n"/>
      <c r="R257" s="52" t="n"/>
      <c r="S257" s="52" t="n"/>
      <c r="T257" s="52" t="n"/>
      <c r="U257" s="52" t="n"/>
      <c r="V257" s="52" t="n"/>
      <c r="W257" s="52" t="n"/>
      <c r="X257" s="52" t="n"/>
      <c r="Y257" s="52" t="n"/>
      <c r="Z257" s="52" t="n"/>
    </row>
    <row r="258" ht="15.75" customHeight="1" s="153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2" t="n"/>
      <c r="J258" s="54" t="n"/>
      <c r="K258" s="52" t="n"/>
      <c r="L258" s="52" t="n"/>
      <c r="M258" s="52" t="n"/>
      <c r="N258" s="52" t="n"/>
      <c r="O258" s="52" t="n"/>
      <c r="P258" s="52" t="n"/>
      <c r="Q258" s="52" t="n"/>
      <c r="R258" s="52" t="n"/>
      <c r="S258" s="52" t="n"/>
      <c r="T258" s="52" t="n"/>
      <c r="U258" s="52" t="n"/>
      <c r="V258" s="52" t="n"/>
      <c r="W258" s="52" t="n"/>
      <c r="X258" s="52" t="n"/>
      <c r="Y258" s="52" t="n"/>
      <c r="Z258" s="52" t="n"/>
    </row>
    <row r="259" ht="15.75" customHeight="1" s="153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2" t="n"/>
      <c r="J259" s="54" t="n"/>
      <c r="K259" s="52" t="n"/>
      <c r="L259" s="52" t="n"/>
      <c r="M259" s="52" t="n"/>
      <c r="N259" s="52" t="n"/>
      <c r="O259" s="52" t="n"/>
      <c r="P259" s="52" t="n"/>
      <c r="Q259" s="52" t="n"/>
      <c r="R259" s="52" t="n"/>
      <c r="S259" s="52" t="n"/>
      <c r="T259" s="52" t="n"/>
      <c r="U259" s="52" t="n"/>
      <c r="V259" s="52" t="n"/>
      <c r="W259" s="52" t="n"/>
      <c r="X259" s="52" t="n"/>
      <c r="Y259" s="52" t="n"/>
      <c r="Z259" s="52" t="n"/>
    </row>
    <row r="260" ht="15.75" customHeight="1" s="153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2" t="n"/>
      <c r="J260" s="54" t="n"/>
      <c r="K260" s="52" t="n"/>
      <c r="L260" s="52" t="n"/>
      <c r="M260" s="52" t="n"/>
      <c r="N260" s="52" t="n"/>
      <c r="O260" s="52" t="n"/>
      <c r="P260" s="52" t="n"/>
      <c r="Q260" s="52" t="n"/>
      <c r="R260" s="52" t="n"/>
      <c r="S260" s="52" t="n"/>
      <c r="T260" s="52" t="n"/>
      <c r="U260" s="52" t="n"/>
      <c r="V260" s="52" t="n"/>
      <c r="W260" s="52" t="n"/>
      <c r="X260" s="52" t="n"/>
      <c r="Y260" s="52" t="n"/>
      <c r="Z260" s="52" t="n"/>
    </row>
    <row r="261" ht="15.75" customHeight="1" s="153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2" t="n"/>
      <c r="J261" s="54" t="n"/>
      <c r="K261" s="52" t="n"/>
      <c r="L261" s="52" t="n"/>
      <c r="M261" s="52" t="n"/>
      <c r="N261" s="52" t="n"/>
      <c r="O261" s="52" t="n"/>
      <c r="P261" s="52" t="n"/>
      <c r="Q261" s="52" t="n"/>
      <c r="R261" s="52" t="n"/>
      <c r="S261" s="52" t="n"/>
      <c r="T261" s="52" t="n"/>
      <c r="U261" s="52" t="n"/>
      <c r="V261" s="52" t="n"/>
      <c r="W261" s="52" t="n"/>
      <c r="X261" s="52" t="n"/>
      <c r="Y261" s="52" t="n"/>
      <c r="Z261" s="52" t="n"/>
    </row>
    <row r="262" ht="15.75" customHeight="1" s="153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2" t="n"/>
      <c r="J262" s="54" t="n"/>
      <c r="K262" s="52" t="n"/>
      <c r="L262" s="52" t="n"/>
      <c r="M262" s="52" t="n"/>
      <c r="N262" s="52" t="n"/>
      <c r="O262" s="52" t="n"/>
      <c r="P262" s="52" t="n"/>
      <c r="Q262" s="52" t="n"/>
      <c r="R262" s="52" t="n"/>
      <c r="S262" s="52" t="n"/>
      <c r="T262" s="52" t="n"/>
      <c r="U262" s="52" t="n"/>
      <c r="V262" s="52" t="n"/>
      <c r="W262" s="52" t="n"/>
      <c r="X262" s="52" t="n"/>
      <c r="Y262" s="52" t="n"/>
      <c r="Z262" s="52" t="n"/>
    </row>
    <row r="263" ht="15.75" customHeight="1" s="153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2" t="n"/>
      <c r="J263" s="54" t="n"/>
      <c r="K263" s="52" t="n"/>
      <c r="L263" s="52" t="n"/>
      <c r="M263" s="52" t="n"/>
      <c r="N263" s="52" t="n"/>
      <c r="O263" s="52" t="n"/>
      <c r="P263" s="52" t="n"/>
      <c r="Q263" s="52" t="n"/>
      <c r="R263" s="52" t="n"/>
      <c r="S263" s="52" t="n"/>
      <c r="T263" s="52" t="n"/>
      <c r="U263" s="52" t="n"/>
      <c r="V263" s="52" t="n"/>
      <c r="W263" s="52" t="n"/>
      <c r="X263" s="52" t="n"/>
      <c r="Y263" s="52" t="n"/>
      <c r="Z263" s="52" t="n"/>
    </row>
    <row r="264" ht="15.75" customHeight="1" s="153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2" t="n"/>
      <c r="J264" s="54" t="n"/>
      <c r="K264" s="52" t="n"/>
      <c r="L264" s="52" t="n"/>
      <c r="M264" s="52" t="n"/>
      <c r="N264" s="52" t="n"/>
      <c r="O264" s="52" t="n"/>
      <c r="P264" s="52" t="n"/>
      <c r="Q264" s="52" t="n"/>
      <c r="R264" s="52" t="n"/>
      <c r="S264" s="52" t="n"/>
      <c r="T264" s="52" t="n"/>
      <c r="U264" s="52" t="n"/>
      <c r="V264" s="52" t="n"/>
      <c r="W264" s="52" t="n"/>
      <c r="X264" s="52" t="n"/>
      <c r="Y264" s="52" t="n"/>
      <c r="Z264" s="52" t="n"/>
    </row>
    <row r="265" ht="15.75" customHeight="1" s="153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2" t="n"/>
      <c r="J265" s="54" t="n"/>
      <c r="K265" s="52" t="n"/>
      <c r="L265" s="52" t="n"/>
      <c r="M265" s="52" t="n"/>
      <c r="N265" s="52" t="n"/>
      <c r="O265" s="52" t="n"/>
      <c r="P265" s="52" t="n"/>
      <c r="Q265" s="52" t="n"/>
      <c r="R265" s="52" t="n"/>
      <c r="S265" s="52" t="n"/>
      <c r="T265" s="52" t="n"/>
      <c r="U265" s="52" t="n"/>
      <c r="V265" s="52" t="n"/>
      <c r="W265" s="52" t="n"/>
      <c r="X265" s="52" t="n"/>
      <c r="Y265" s="52" t="n"/>
      <c r="Z265" s="52" t="n"/>
    </row>
    <row r="266" ht="15.75" customHeight="1" s="153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2" t="n"/>
      <c r="J266" s="54" t="n"/>
      <c r="K266" s="52" t="n"/>
      <c r="L266" s="52" t="n"/>
      <c r="M266" s="52" t="n"/>
      <c r="N266" s="52" t="n"/>
      <c r="O266" s="52" t="n"/>
      <c r="P266" s="52" t="n"/>
      <c r="Q266" s="52" t="n"/>
      <c r="R266" s="52" t="n"/>
      <c r="S266" s="52" t="n"/>
      <c r="T266" s="52" t="n"/>
      <c r="U266" s="52" t="n"/>
      <c r="V266" s="52" t="n"/>
      <c r="W266" s="52" t="n"/>
      <c r="X266" s="52" t="n"/>
      <c r="Y266" s="52" t="n"/>
      <c r="Z266" s="52" t="n"/>
    </row>
    <row r="267" ht="15.75" customHeight="1" s="153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2" t="n"/>
      <c r="J267" s="54" t="n"/>
      <c r="K267" s="52" t="n"/>
      <c r="L267" s="52" t="n"/>
      <c r="M267" s="52" t="n"/>
      <c r="N267" s="52" t="n"/>
      <c r="O267" s="52" t="n"/>
      <c r="P267" s="52" t="n"/>
      <c r="Q267" s="52" t="n"/>
      <c r="R267" s="52" t="n"/>
      <c r="S267" s="52" t="n"/>
      <c r="T267" s="52" t="n"/>
      <c r="U267" s="52" t="n"/>
      <c r="V267" s="52" t="n"/>
      <c r="W267" s="52" t="n"/>
      <c r="X267" s="52" t="n"/>
      <c r="Y267" s="52" t="n"/>
      <c r="Z267" s="52" t="n"/>
    </row>
    <row r="268" ht="15.75" customHeight="1" s="153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2" t="n"/>
      <c r="J268" s="54" t="n"/>
      <c r="K268" s="52" t="n"/>
      <c r="L268" s="52" t="n"/>
      <c r="M268" s="52" t="n"/>
      <c r="N268" s="52" t="n"/>
      <c r="O268" s="52" t="n"/>
      <c r="P268" s="52" t="n"/>
      <c r="Q268" s="52" t="n"/>
      <c r="R268" s="52" t="n"/>
      <c r="S268" s="52" t="n"/>
      <c r="T268" s="52" t="n"/>
      <c r="U268" s="52" t="n"/>
      <c r="V268" s="52" t="n"/>
      <c r="W268" s="52" t="n"/>
      <c r="X268" s="52" t="n"/>
      <c r="Y268" s="52" t="n"/>
      <c r="Z268" s="52" t="n"/>
    </row>
    <row r="269" ht="15.75" customHeight="1" s="153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2" t="n"/>
      <c r="J269" s="54" t="n"/>
      <c r="K269" s="52" t="n"/>
      <c r="L269" s="52" t="n"/>
      <c r="M269" s="52" t="n"/>
      <c r="N269" s="52" t="n"/>
      <c r="O269" s="52" t="n"/>
      <c r="P269" s="52" t="n"/>
      <c r="Q269" s="52" t="n"/>
      <c r="R269" s="52" t="n"/>
      <c r="S269" s="52" t="n"/>
      <c r="T269" s="52" t="n"/>
      <c r="U269" s="52" t="n"/>
      <c r="V269" s="52" t="n"/>
      <c r="W269" s="52" t="n"/>
      <c r="X269" s="52" t="n"/>
      <c r="Y269" s="52" t="n"/>
      <c r="Z269" s="52" t="n"/>
    </row>
    <row r="270" ht="15.75" customHeight="1" s="153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2" t="n"/>
      <c r="J270" s="54" t="n"/>
      <c r="K270" s="52" t="n"/>
      <c r="L270" s="52" t="n"/>
      <c r="M270" s="52" t="n"/>
      <c r="N270" s="52" t="n"/>
      <c r="O270" s="52" t="n"/>
      <c r="P270" s="52" t="n"/>
      <c r="Q270" s="52" t="n"/>
      <c r="R270" s="52" t="n"/>
      <c r="S270" s="52" t="n"/>
      <c r="T270" s="52" t="n"/>
      <c r="U270" s="52" t="n"/>
      <c r="V270" s="52" t="n"/>
      <c r="W270" s="52" t="n"/>
      <c r="X270" s="52" t="n"/>
      <c r="Y270" s="52" t="n"/>
      <c r="Z270" s="52" t="n"/>
    </row>
    <row r="271" ht="15.75" customHeight="1" s="153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2" t="n"/>
      <c r="J271" s="54" t="n"/>
      <c r="K271" s="52" t="n"/>
      <c r="L271" s="52" t="n"/>
      <c r="M271" s="52" t="n"/>
      <c r="N271" s="52" t="n"/>
      <c r="O271" s="52" t="n"/>
      <c r="P271" s="52" t="n"/>
      <c r="Q271" s="52" t="n"/>
      <c r="R271" s="52" t="n"/>
      <c r="S271" s="52" t="n"/>
      <c r="T271" s="52" t="n"/>
      <c r="U271" s="52" t="n"/>
      <c r="V271" s="52" t="n"/>
      <c r="W271" s="52" t="n"/>
      <c r="X271" s="52" t="n"/>
      <c r="Y271" s="52" t="n"/>
      <c r="Z271" s="52" t="n"/>
    </row>
    <row r="272" ht="15.75" customHeight="1" s="153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2" t="n"/>
      <c r="J272" s="54" t="n"/>
      <c r="K272" s="52" t="n"/>
      <c r="L272" s="52" t="n"/>
      <c r="M272" s="52" t="n"/>
      <c r="N272" s="52" t="n"/>
      <c r="O272" s="52" t="n"/>
      <c r="P272" s="52" t="n"/>
      <c r="Q272" s="52" t="n"/>
      <c r="R272" s="52" t="n"/>
      <c r="S272" s="52" t="n"/>
      <c r="T272" s="52" t="n"/>
      <c r="U272" s="52" t="n"/>
      <c r="V272" s="52" t="n"/>
      <c r="W272" s="52" t="n"/>
      <c r="X272" s="52" t="n"/>
      <c r="Y272" s="52" t="n"/>
      <c r="Z272" s="52" t="n"/>
    </row>
    <row r="273" ht="15.75" customHeight="1" s="153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2" t="n"/>
      <c r="J273" s="54" t="n"/>
      <c r="K273" s="52" t="n"/>
      <c r="L273" s="52" t="n"/>
      <c r="M273" s="52" t="n"/>
      <c r="N273" s="52" t="n"/>
      <c r="O273" s="52" t="n"/>
      <c r="P273" s="52" t="n"/>
      <c r="Q273" s="52" t="n"/>
      <c r="R273" s="52" t="n"/>
      <c r="S273" s="52" t="n"/>
      <c r="T273" s="52" t="n"/>
      <c r="U273" s="52" t="n"/>
      <c r="V273" s="52" t="n"/>
      <c r="W273" s="52" t="n"/>
      <c r="X273" s="52" t="n"/>
      <c r="Y273" s="52" t="n"/>
      <c r="Z273" s="52" t="n"/>
    </row>
    <row r="274" ht="15.75" customHeight="1" s="153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2" t="n"/>
      <c r="J274" s="54" t="n"/>
      <c r="K274" s="52" t="n"/>
      <c r="L274" s="52" t="n"/>
      <c r="M274" s="52" t="n"/>
      <c r="N274" s="52" t="n"/>
      <c r="O274" s="52" t="n"/>
      <c r="P274" s="52" t="n"/>
      <c r="Q274" s="52" t="n"/>
      <c r="R274" s="52" t="n"/>
      <c r="S274" s="52" t="n"/>
      <c r="T274" s="52" t="n"/>
      <c r="U274" s="52" t="n"/>
      <c r="V274" s="52" t="n"/>
      <c r="W274" s="52" t="n"/>
      <c r="X274" s="52" t="n"/>
      <c r="Y274" s="52" t="n"/>
      <c r="Z274" s="52" t="n"/>
    </row>
    <row r="275" ht="15.75" customHeight="1" s="153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2" t="n"/>
      <c r="J275" s="54" t="n"/>
      <c r="K275" s="52" t="n"/>
      <c r="L275" s="52" t="n"/>
      <c r="M275" s="52" t="n"/>
      <c r="N275" s="52" t="n"/>
      <c r="O275" s="52" t="n"/>
      <c r="P275" s="52" t="n"/>
      <c r="Q275" s="52" t="n"/>
      <c r="R275" s="52" t="n"/>
      <c r="S275" s="52" t="n"/>
      <c r="T275" s="52" t="n"/>
      <c r="U275" s="52" t="n"/>
      <c r="V275" s="52" t="n"/>
      <c r="W275" s="52" t="n"/>
      <c r="X275" s="52" t="n"/>
      <c r="Y275" s="52" t="n"/>
      <c r="Z275" s="52" t="n"/>
    </row>
    <row r="276" ht="15.75" customHeight="1" s="153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2" t="n"/>
      <c r="J276" s="54" t="n"/>
      <c r="K276" s="52" t="n"/>
      <c r="L276" s="52" t="n"/>
      <c r="M276" s="52" t="n"/>
      <c r="N276" s="52" t="n"/>
      <c r="O276" s="52" t="n"/>
      <c r="P276" s="52" t="n"/>
      <c r="Q276" s="52" t="n"/>
      <c r="R276" s="52" t="n"/>
      <c r="S276" s="52" t="n"/>
      <c r="T276" s="52" t="n"/>
      <c r="U276" s="52" t="n"/>
      <c r="V276" s="52" t="n"/>
      <c r="W276" s="52" t="n"/>
      <c r="X276" s="52" t="n"/>
      <c r="Y276" s="52" t="n"/>
      <c r="Z276" s="52" t="n"/>
    </row>
    <row r="277" ht="15.75" customHeight="1" s="153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2" t="n"/>
      <c r="J277" s="54" t="n"/>
      <c r="K277" s="52" t="n"/>
      <c r="L277" s="52" t="n"/>
      <c r="M277" s="52" t="n"/>
      <c r="N277" s="52" t="n"/>
      <c r="O277" s="52" t="n"/>
      <c r="P277" s="52" t="n"/>
      <c r="Q277" s="52" t="n"/>
      <c r="R277" s="52" t="n"/>
      <c r="S277" s="52" t="n"/>
      <c r="T277" s="52" t="n"/>
      <c r="U277" s="52" t="n"/>
      <c r="V277" s="52" t="n"/>
      <c r="W277" s="52" t="n"/>
      <c r="X277" s="52" t="n"/>
      <c r="Y277" s="52" t="n"/>
      <c r="Z277" s="52" t="n"/>
    </row>
    <row r="278" ht="15.75" customHeight="1" s="153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2" t="n"/>
      <c r="J278" s="54" t="n"/>
      <c r="K278" s="52" t="n"/>
      <c r="L278" s="52" t="n"/>
      <c r="M278" s="52" t="n"/>
      <c r="N278" s="52" t="n"/>
      <c r="O278" s="52" t="n"/>
      <c r="P278" s="52" t="n"/>
      <c r="Q278" s="52" t="n"/>
      <c r="R278" s="52" t="n"/>
      <c r="S278" s="52" t="n"/>
      <c r="T278" s="52" t="n"/>
      <c r="U278" s="52" t="n"/>
      <c r="V278" s="52" t="n"/>
      <c r="W278" s="52" t="n"/>
      <c r="X278" s="52" t="n"/>
      <c r="Y278" s="52" t="n"/>
      <c r="Z278" s="52" t="n"/>
    </row>
    <row r="279" ht="15.75" customHeight="1" s="153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2" t="n"/>
      <c r="J279" s="54" t="n"/>
      <c r="K279" s="52" t="n"/>
      <c r="L279" s="52" t="n"/>
      <c r="M279" s="52" t="n"/>
      <c r="N279" s="52" t="n"/>
      <c r="O279" s="52" t="n"/>
      <c r="P279" s="52" t="n"/>
      <c r="Q279" s="52" t="n"/>
      <c r="R279" s="52" t="n"/>
      <c r="S279" s="52" t="n"/>
      <c r="T279" s="52" t="n"/>
      <c r="U279" s="52" t="n"/>
      <c r="V279" s="52" t="n"/>
      <c r="W279" s="52" t="n"/>
      <c r="X279" s="52" t="n"/>
      <c r="Y279" s="52" t="n"/>
      <c r="Z279" s="52" t="n"/>
    </row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5">
    <mergeCell ref="A1:H1"/>
    <mergeCell ref="A4:H4"/>
    <mergeCell ref="A3:H3"/>
    <mergeCell ref="A2:H2"/>
    <mergeCell ref="A5:H5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51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" customWidth="1" style="153" min="1" max="1"/>
    <col width="6" customWidth="1" style="153" min="2" max="2"/>
    <col width="11" customWidth="1" style="153" min="3" max="5"/>
    <col width="14" customWidth="1" style="153" min="6" max="6"/>
    <col width="11" customWidth="1" style="153" min="7" max="7"/>
    <col width="9" customWidth="1" style="153" min="8" max="11"/>
    <col width="12" customWidth="1" style="153" min="12" max="12"/>
    <col width="10" customWidth="1" style="153" min="13" max="13"/>
    <col width="9" customWidth="1" style="153" min="14" max="14"/>
    <col width="16.71" customWidth="1" style="153" min="15" max="15"/>
    <col width="12" customWidth="1" style="153" min="16" max="16"/>
    <col width="11" customWidth="1" style="153" min="17" max="18"/>
  </cols>
  <sheetData>
    <row r="1">
      <c r="A1" s="147" t="inlineStr">
        <is>
          <t>champion / advance / per-stage / group-winner / to-qualify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</row>
    <row r="2">
      <c r="A2" s="148" t="inlineStr">
        <is>
          <t>Source: /predictions_live.json · team_predictions[] · pre-seeded at v2.3.1 build · Apps Script refreshes deltas every 10 min · type bookie odds in col L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</row>
    <row r="3">
      <c r="A3" s="149" t="inlineStr">
        <is>
          <t>Team</t>
        </is>
      </c>
      <c r="B3" s="149" t="inlineStr">
        <is>
          <t>Group</t>
        </is>
      </c>
      <c r="C3" s="149" t="inlineStr">
        <is>
          <t>p_champion</t>
        </is>
      </c>
      <c r="D3" s="149" t="inlineStr">
        <is>
          <t>p_champ_p05</t>
        </is>
      </c>
      <c r="E3" s="149" t="inlineStr">
        <is>
          <t>p_champ_p95</t>
        </is>
      </c>
      <c r="F3" s="149" t="inlineStr">
        <is>
          <t>Spread (p95-p05)</t>
        </is>
      </c>
      <c r="G3" s="149" t="inlineStr">
        <is>
          <t>p_advance</t>
        </is>
      </c>
      <c r="H3" s="149" t="inlineStr">
        <is>
          <t>p_R16</t>
        </is>
      </c>
      <c r="I3" s="149" t="inlineStr">
        <is>
          <t>p_QF</t>
        </is>
      </c>
      <c r="J3" s="149" t="inlineStr">
        <is>
          <t>p_SF</t>
        </is>
      </c>
      <c r="K3" s="149" t="inlineStr">
        <is>
          <t>p_Final</t>
        </is>
      </c>
      <c r="L3" s="149" t="inlineStr">
        <is>
          <t>Bookie odds</t>
        </is>
      </c>
      <c r="M3" s="149" t="inlineStr">
        <is>
          <t>Implied</t>
        </is>
      </c>
      <c r="N3" s="149" t="inlineStr">
        <is>
          <t>EV %</t>
        </is>
      </c>
      <c r="O3" s="149" t="inlineStr">
        <is>
          <t>BET?</t>
        </is>
      </c>
      <c r="P3" s="149" t="inlineStr">
        <is>
          <t>p_winner_grp</t>
        </is>
      </c>
      <c r="Q3" s="149" t="inlineStr">
        <is>
          <t>p_2nd_grp</t>
        </is>
      </c>
      <c r="R3" s="149" t="inlineStr">
        <is>
          <t>p_3rd_place</t>
        </is>
      </c>
    </row>
    <row r="4">
      <c r="A4" s="150" t="inlineStr">
        <is>
          <t>Argentina</t>
        </is>
      </c>
      <c r="B4" s="77" t="inlineStr">
        <is>
          <t>J</t>
        </is>
      </c>
      <c r="C4" s="77" t="n">
        <v>0.23648</v>
      </c>
      <c r="D4" s="77" t="n">
        <v>0.23024</v>
      </c>
      <c r="E4" s="77" t="n">
        <v>0.2418</v>
      </c>
      <c r="F4" s="77" t="n">
        <v>0.01155999999999999</v>
      </c>
      <c r="G4" s="77" t="n">
        <v>1</v>
      </c>
      <c r="H4" s="77" t="n">
        <v>0.9278000000000001</v>
      </c>
      <c r="I4" s="77" t="n">
        <v>0.8158</v>
      </c>
      <c r="J4" s="77" t="n">
        <v>0.59684</v>
      </c>
      <c r="K4" s="77" t="n">
        <v>0.40908</v>
      </c>
      <c r="L4" s="52" t="n"/>
      <c r="M4" s="77">
        <f>IF(L4="","",1/L4)</f>
        <v/>
      </c>
      <c r="N4" s="77">
        <f>IF(OR(L4="",C4=""),"",C4*L4-1)</f>
        <v/>
      </c>
      <c r="O4" s="77">
        <f>IF(Method!$B$55=TRUE(),"🛑 PAUSED",IF(N4="","",IF(N4&lt;Method!$B$7,"PASS","BET")))</f>
        <v/>
      </c>
      <c r="P4" s="77" t="n">
        <v>1</v>
      </c>
      <c r="Q4" s="77" t="n">
        <v>0</v>
      </c>
      <c r="R4" s="77" t="n">
        <v>0.12144</v>
      </c>
    </row>
    <row r="5">
      <c r="A5" s="77" t="inlineStr">
        <is>
          <t>Spain</t>
        </is>
      </c>
      <c r="B5" s="77" t="inlineStr">
        <is>
          <t>H</t>
        </is>
      </c>
      <c r="C5" s="77" t="n">
        <v>0.23192</v>
      </c>
      <c r="D5" s="77" t="n">
        <v>0.21972</v>
      </c>
      <c r="E5" s="77" t="n">
        <v>0.2376</v>
      </c>
      <c r="F5" s="77" t="n">
        <v>0.01788000000000001</v>
      </c>
      <c r="G5" s="77" t="n">
        <v>1</v>
      </c>
      <c r="H5" s="77" t="n">
        <v>1</v>
      </c>
      <c r="I5" s="77" t="n">
        <v>0.68072</v>
      </c>
      <c r="J5" s="77" t="n">
        <v>0.58816</v>
      </c>
      <c r="K5" s="77" t="n">
        <v>0.3686</v>
      </c>
      <c r="L5" s="52" t="n"/>
      <c r="M5" s="77">
        <f>IF(L5="","",1/L5)</f>
        <v/>
      </c>
      <c r="N5" s="77">
        <f>IF(OR(L5="",C5=""),"",C5*L5-1)</f>
        <v/>
      </c>
      <c r="O5" s="77">
        <f>IF(Method!$B$55=TRUE(),"🛑 PAUSED",IF(N5="","",IF(N5&lt;Method!$B$7,"PASS","BET")))</f>
        <v/>
      </c>
      <c r="P5" s="77" t="n">
        <v>1</v>
      </c>
      <c r="Q5" s="77" t="n">
        <v>0</v>
      </c>
      <c r="R5" s="77" t="n">
        <v>0.14728</v>
      </c>
    </row>
    <row r="6">
      <c r="A6" s="77" t="inlineStr">
        <is>
          <t>France</t>
        </is>
      </c>
      <c r="B6" s="77" t="inlineStr">
        <is>
          <t>I</t>
        </is>
      </c>
      <c r="C6" s="77" t="n">
        <v>0.16024</v>
      </c>
      <c r="D6" s="77" t="n">
        <v>0.15564</v>
      </c>
      <c r="E6" s="77" t="n">
        <v>0.16656</v>
      </c>
      <c r="F6" s="77" t="n">
        <v>0.01091999999999999</v>
      </c>
      <c r="G6" s="77" t="n">
        <v>1</v>
      </c>
      <c r="H6" s="77" t="n">
        <v>1</v>
      </c>
      <c r="I6" s="77" t="n">
        <v>0.80364</v>
      </c>
      <c r="J6" s="77" t="n">
        <v>0.5328799999999999</v>
      </c>
      <c r="K6" s="77" t="n">
        <v>0.3019999999999999</v>
      </c>
      <c r="L6" s="52" t="n"/>
      <c r="M6" s="77">
        <f>IF(L6="","",1/L6)</f>
        <v/>
      </c>
      <c r="N6" s="77">
        <f>IF(OR(L6="",C6=""),"",C6*L6-1)</f>
        <v/>
      </c>
      <c r="O6" s="77">
        <f>IF(Method!$B$55=TRUE(),"🛑 PAUSED",IF(N6="","",IF(N6&lt;Method!$B$7,"PASS","BET")))</f>
        <v/>
      </c>
      <c r="P6" s="77" t="n">
        <v>1</v>
      </c>
      <c r="Q6" s="77" t="n">
        <v>0</v>
      </c>
      <c r="R6" s="77" t="n">
        <v>0.13164</v>
      </c>
    </row>
    <row r="7">
      <c r="A7" s="77" t="inlineStr">
        <is>
          <t>England</t>
        </is>
      </c>
      <c r="B7" s="77" t="inlineStr">
        <is>
          <t>L</t>
        </is>
      </c>
      <c r="C7" s="77" t="n">
        <v>0.08024000000000001</v>
      </c>
      <c r="D7" s="77" t="n">
        <v>0.07868</v>
      </c>
      <c r="E7" s="77" t="n">
        <v>0.08184</v>
      </c>
      <c r="F7" s="77" t="n">
        <v>0.003159999999999996</v>
      </c>
      <c r="G7" s="77" t="n">
        <v>1</v>
      </c>
      <c r="H7" s="77" t="n">
        <v>1</v>
      </c>
      <c r="I7" s="77" t="n">
        <v>0.59616</v>
      </c>
      <c r="J7" s="77" t="n">
        <v>0.34328</v>
      </c>
      <c r="K7" s="77" t="n">
        <v>0.16124</v>
      </c>
      <c r="L7" s="52" t="n"/>
      <c r="M7" s="77">
        <f>IF(L7="","",1/L7)</f>
        <v/>
      </c>
      <c r="N7" s="77">
        <f>IF(OR(L7="",C7=""),"",C7*L7-1)</f>
        <v/>
      </c>
      <c r="O7" s="77">
        <f>IF(Method!$B$55=TRUE(),"🛑 PAUSED",IF(N7="","",IF(N7&lt;Method!$B$7,"PASS","BET")))</f>
        <v/>
      </c>
      <c r="P7" s="77" t="n">
        <v>1</v>
      </c>
      <c r="Q7" s="77" t="n">
        <v>0</v>
      </c>
      <c r="R7" s="77" t="n">
        <v>0.10288</v>
      </c>
    </row>
    <row r="8">
      <c r="A8" s="77" t="inlineStr">
        <is>
          <t>Colombia</t>
        </is>
      </c>
      <c r="B8" s="77" t="inlineStr">
        <is>
          <t>K</t>
        </is>
      </c>
      <c r="C8" s="77" t="n">
        <v>0.05808</v>
      </c>
      <c r="D8" s="77" t="n">
        <v>0.05576</v>
      </c>
      <c r="E8" s="77" t="n">
        <v>0.06168</v>
      </c>
      <c r="F8" s="77" t="n">
        <v>0.005920000000000002</v>
      </c>
      <c r="G8" s="77" t="n">
        <v>1</v>
      </c>
      <c r="H8" s="77" t="n">
        <v>0.8748400000000001</v>
      </c>
      <c r="I8" s="77" t="n">
        <v>0.56172</v>
      </c>
      <c r="J8" s="77" t="n">
        <v>0.23892</v>
      </c>
      <c r="K8" s="77" t="n">
        <v>0.12676</v>
      </c>
      <c r="L8" s="52" t="n"/>
      <c r="M8" s="77">
        <f>IF(L8="","",1/L8)</f>
        <v/>
      </c>
      <c r="N8" s="77">
        <f>IF(OR(L8="",C8=""),"",C8*L8-1)</f>
        <v/>
      </c>
      <c r="O8" s="77">
        <f>IF(Method!$B$55=TRUE(),"🛑 PAUSED",IF(N8="","",IF(N8&lt;Method!$B$7,"PASS","BET")))</f>
        <v/>
      </c>
      <c r="P8" s="77" t="n">
        <v>1</v>
      </c>
      <c r="Q8" s="77" t="n">
        <v>0</v>
      </c>
      <c r="R8" s="77" t="n">
        <v>0.05904</v>
      </c>
    </row>
    <row r="9">
      <c r="A9" s="77" t="inlineStr">
        <is>
          <t>Brazil</t>
        </is>
      </c>
      <c r="B9" s="77" t="inlineStr">
        <is>
          <t>C</t>
        </is>
      </c>
      <c r="C9" s="77" t="n">
        <v>0.04868</v>
      </c>
      <c r="D9" s="77" t="n">
        <v>0.04504</v>
      </c>
      <c r="E9" s="77" t="n">
        <v>0.05136</v>
      </c>
      <c r="F9" s="77" t="n">
        <v>0.006320000000000006</v>
      </c>
      <c r="G9" s="77" t="n">
        <v>1</v>
      </c>
      <c r="H9" s="77" t="n">
        <v>1</v>
      </c>
      <c r="I9" s="77" t="n">
        <v>0.55572</v>
      </c>
      <c r="J9" s="77" t="n">
        <v>0.27408</v>
      </c>
      <c r="K9" s="77" t="n">
        <v>0.11316</v>
      </c>
      <c r="L9" s="52" t="n"/>
      <c r="M9" s="77">
        <f>IF(L9="","",1/L9)</f>
        <v/>
      </c>
      <c r="N9" s="77">
        <f>IF(OR(L9="",C9=""),"",C9*L9-1)</f>
        <v/>
      </c>
      <c r="O9" s="77">
        <f>IF(Method!$B$55=TRUE(),"🛑 PAUSED",IF(N9="","",IF(N9&lt;Method!$B$7,"PASS","BET")))</f>
        <v/>
      </c>
      <c r="P9" s="77" t="n">
        <v>1</v>
      </c>
      <c r="Q9" s="77" t="n">
        <v>0</v>
      </c>
      <c r="R9" s="77" t="n">
        <v>0.07964</v>
      </c>
    </row>
    <row r="10">
      <c r="A10" s="77" t="inlineStr">
        <is>
          <t>Portugal</t>
        </is>
      </c>
      <c r="B10" s="77" t="inlineStr">
        <is>
          <t>K</t>
        </is>
      </c>
      <c r="C10" s="77" t="n">
        <v>0.04824000000000001</v>
      </c>
      <c r="D10" s="77" t="n">
        <v>0.04628</v>
      </c>
      <c r="E10" s="77" t="n">
        <v>0.0504</v>
      </c>
      <c r="F10" s="77" t="n">
        <v>0.004119999999999999</v>
      </c>
      <c r="G10" s="77" t="n">
        <v>1</v>
      </c>
      <c r="H10" s="77" t="n">
        <v>1</v>
      </c>
      <c r="I10" s="77" t="n">
        <v>0.31928</v>
      </c>
      <c r="J10" s="77" t="n">
        <v>0.2092</v>
      </c>
      <c r="K10" s="77" t="n">
        <v>0.10856</v>
      </c>
      <c r="L10" s="52" t="n"/>
      <c r="M10" s="77">
        <f>IF(L10="","",1/L10)</f>
        <v/>
      </c>
      <c r="N10" s="77">
        <f>IF(OR(L10="",C10=""),"",C10*L10-1)</f>
        <v/>
      </c>
      <c r="O10" s="77">
        <f>IF(Method!$B$55=TRUE(),"🛑 PAUSED",IF(N10="","",IF(N10&lt;Method!$B$7,"PASS","BET")))</f>
        <v/>
      </c>
      <c r="P10" s="77" t="n">
        <v>0</v>
      </c>
      <c r="Q10" s="77" t="n">
        <v>1</v>
      </c>
      <c r="R10" s="77" t="n">
        <v>0.0486</v>
      </c>
    </row>
    <row r="11">
      <c r="A11" s="77" t="inlineStr">
        <is>
          <t>Morocco</t>
        </is>
      </c>
      <c r="B11" s="77" t="inlineStr">
        <is>
          <t>C</t>
        </is>
      </c>
      <c r="C11" s="77" t="n">
        <v>0.04412000000000001</v>
      </c>
      <c r="D11" s="77" t="n">
        <v>0.04016</v>
      </c>
      <c r="E11" s="77" t="n">
        <v>0.04648</v>
      </c>
      <c r="F11" s="77" t="n">
        <v>0.006319999999999999</v>
      </c>
      <c r="G11" s="77" t="n">
        <v>1</v>
      </c>
      <c r="H11" s="77" t="n">
        <v>1</v>
      </c>
      <c r="I11" s="77" t="n">
        <v>0.6110399999999999</v>
      </c>
      <c r="J11" s="77" t="n">
        <v>0.2862</v>
      </c>
      <c r="K11" s="77" t="n">
        <v>0.10992</v>
      </c>
      <c r="L11" s="52" t="n"/>
      <c r="M11" s="77">
        <f>IF(L11="","",1/L11)</f>
        <v/>
      </c>
      <c r="N11" s="77">
        <f>IF(OR(L11="",C11=""),"",C11*L11-1)</f>
        <v/>
      </c>
      <c r="O11" s="77">
        <f>IF(Method!$B$55=TRUE(),"🛑 PAUSED",IF(N11="","",IF(N11&lt;Method!$B$7,"PASS","BET")))</f>
        <v/>
      </c>
      <c r="P11" s="77" t="n">
        <v>0</v>
      </c>
      <c r="Q11" s="77" t="n">
        <v>1</v>
      </c>
      <c r="R11" s="77" t="n">
        <v>0.07944</v>
      </c>
    </row>
    <row r="12">
      <c r="A12" s="77" t="inlineStr">
        <is>
          <t>Norway</t>
        </is>
      </c>
      <c r="B12" s="77" t="inlineStr">
        <is>
          <t>I</t>
        </is>
      </c>
      <c r="C12" s="77" t="n">
        <v>0.02384</v>
      </c>
      <c r="D12" s="77" t="n">
        <v>0.023</v>
      </c>
      <c r="E12" s="77" t="n">
        <v>0.0252</v>
      </c>
      <c r="F12" s="77" t="n">
        <v>0.002200000000000001</v>
      </c>
      <c r="G12" s="77" t="n">
        <v>1</v>
      </c>
      <c r="H12" s="77" t="n">
        <v>1</v>
      </c>
      <c r="I12" s="77" t="n">
        <v>0.44428</v>
      </c>
      <c r="J12" s="77" t="n">
        <v>0.20468</v>
      </c>
      <c r="K12" s="77" t="n">
        <v>0.06795999999999999</v>
      </c>
      <c r="L12" s="52" t="n"/>
      <c r="M12" s="77">
        <f>IF(L12="","",1/L12)</f>
        <v/>
      </c>
      <c r="N12" s="77">
        <f>IF(OR(L12="",C12=""),"",C12*L12-1)</f>
        <v/>
      </c>
      <c r="O12" s="77">
        <f>IF(Method!$B$55=TRUE(),"🛑 PAUSED",IF(N12="","",IF(N12&lt;Method!$B$7,"PASS","BET")))</f>
        <v/>
      </c>
      <c r="P12" s="77" t="n">
        <v>0</v>
      </c>
      <c r="Q12" s="77" t="n">
        <v>1</v>
      </c>
      <c r="R12" s="77" t="n">
        <v>0.057</v>
      </c>
    </row>
    <row r="13">
      <c r="A13" s="77" t="inlineStr">
        <is>
          <t>Mexico</t>
        </is>
      </c>
      <c r="B13" s="77" t="inlineStr">
        <is>
          <t>A</t>
        </is>
      </c>
      <c r="C13" s="77" t="n">
        <v>0.02188</v>
      </c>
      <c r="D13" s="77" t="n">
        <v>0.01808</v>
      </c>
      <c r="E13" s="77" t="n">
        <v>0.02456</v>
      </c>
      <c r="F13" s="77" t="n">
        <v>0.006480000000000003</v>
      </c>
      <c r="G13" s="77" t="n">
        <v>1</v>
      </c>
      <c r="H13" s="77" t="n">
        <v>1</v>
      </c>
      <c r="I13" s="77" t="n">
        <v>0.4038399999999999</v>
      </c>
      <c r="J13" s="77" t="n">
        <v>0.17796</v>
      </c>
      <c r="K13" s="77" t="n">
        <v>0.06124</v>
      </c>
      <c r="L13" s="52" t="n"/>
      <c r="M13" s="77">
        <f>IF(L13="","",1/L13)</f>
        <v/>
      </c>
      <c r="N13" s="77">
        <f>IF(OR(L13="",C13=""),"",C13*L13-1)</f>
        <v/>
      </c>
      <c r="O13" s="77">
        <f>IF(Method!$B$55=TRUE(),"🛑 PAUSED",IF(N13="","",IF(N13&lt;Method!$B$7,"PASS","BET")))</f>
        <v/>
      </c>
      <c r="P13" s="77" t="n">
        <v>1</v>
      </c>
      <c r="Q13" s="77" t="n">
        <v>0</v>
      </c>
      <c r="R13" s="77" t="n">
        <v>0.05127999999999999</v>
      </c>
    </row>
    <row r="14">
      <c r="A14" s="77" t="inlineStr">
        <is>
          <t>Belgium</t>
        </is>
      </c>
      <c r="B14" s="77" t="inlineStr">
        <is>
          <t>G</t>
        </is>
      </c>
      <c r="C14" s="77" t="n">
        <v>0.0172</v>
      </c>
      <c r="D14" s="77" t="n">
        <v>0.01488</v>
      </c>
      <c r="E14" s="77" t="n">
        <v>0.01916</v>
      </c>
      <c r="F14" s="77" t="n">
        <v>0.004279999999999999</v>
      </c>
      <c r="G14" s="77" t="n">
        <v>1</v>
      </c>
      <c r="H14" s="77" t="n">
        <v>1</v>
      </c>
      <c r="I14" s="77" t="n">
        <v>0.6442399999999999</v>
      </c>
      <c r="J14" s="77" t="n">
        <v>0.1504</v>
      </c>
      <c r="K14" s="77" t="n">
        <v>0.05567999999999999</v>
      </c>
      <c r="L14" s="52" t="n"/>
      <c r="M14" s="77">
        <f>IF(L14="","",1/L14)</f>
        <v/>
      </c>
      <c r="N14" s="77">
        <f>IF(OR(L14="",C14=""),"",C14*L14-1)</f>
        <v/>
      </c>
      <c r="O14" s="77">
        <f>IF(Method!$B$55=TRUE(),"🛑 PAUSED",IF(N14="","",IF(N14&lt;Method!$B$7,"PASS","BET")))</f>
        <v/>
      </c>
      <c r="P14" s="77" t="n">
        <v>1</v>
      </c>
      <c r="Q14" s="77" t="n">
        <v>0</v>
      </c>
      <c r="R14" s="77" t="n">
        <v>0.03632000000000001</v>
      </c>
    </row>
    <row r="15">
      <c r="A15" s="77" t="inlineStr">
        <is>
          <t>Switzerland</t>
        </is>
      </c>
      <c r="B15" s="77" t="inlineStr">
        <is>
          <t>B</t>
        </is>
      </c>
      <c r="C15" s="77" t="n">
        <v>0.01264</v>
      </c>
      <c r="D15" s="77" t="n">
        <v>0.00976</v>
      </c>
      <c r="E15" s="77" t="n">
        <v>0.01492</v>
      </c>
      <c r="F15" s="77" t="n">
        <v>0.00516</v>
      </c>
      <c r="G15" s="77" t="n">
        <v>1</v>
      </c>
      <c r="H15" s="77" t="n">
        <v>1</v>
      </c>
      <c r="I15" s="77" t="n">
        <v>0.41808</v>
      </c>
      <c r="J15" s="77" t="n">
        <v>0.10796</v>
      </c>
      <c r="K15" s="77" t="n">
        <v>0.04404</v>
      </c>
      <c r="L15" s="52" t="n"/>
      <c r="M15" s="77">
        <f>IF(L15="","",1/L15)</f>
        <v/>
      </c>
      <c r="N15" s="77">
        <f>IF(OR(L15="",C15=""),"",C15*L15-1)</f>
        <v/>
      </c>
      <c r="O15" s="77">
        <f>IF(Method!$B$55=TRUE(),"🛑 PAUSED",IF(N15="","",IF(N15&lt;Method!$B$7,"PASS","BET")))</f>
        <v/>
      </c>
      <c r="P15" s="77" t="n">
        <v>1</v>
      </c>
      <c r="Q15" s="77" t="n">
        <v>0</v>
      </c>
      <c r="R15" s="77" t="n">
        <v>0.02428</v>
      </c>
    </row>
    <row r="16">
      <c r="A16" s="77" t="inlineStr">
        <is>
          <t>Canada</t>
        </is>
      </c>
      <c r="B16" s="77" t="inlineStr">
        <is>
          <t>B</t>
        </is>
      </c>
      <c r="C16" s="77" t="n">
        <v>0.006520000000000001</v>
      </c>
      <c r="D16" s="77" t="n">
        <v>0.00472</v>
      </c>
      <c r="E16" s="77" t="n">
        <v>0.008359999999999999</v>
      </c>
      <c r="F16" s="77" t="n">
        <v>0.003639999999999999</v>
      </c>
      <c r="G16" s="77" t="n">
        <v>1</v>
      </c>
      <c r="H16" s="77" t="n">
        <v>1</v>
      </c>
      <c r="I16" s="77" t="n">
        <v>0.38896</v>
      </c>
      <c r="J16" s="77" t="n">
        <v>0.10292</v>
      </c>
      <c r="K16" s="77" t="n">
        <v>0.0242</v>
      </c>
      <c r="L16" s="52" t="n"/>
      <c r="M16" s="77">
        <f>IF(L16="","",1/L16)</f>
        <v/>
      </c>
      <c r="N16" s="77">
        <f>IF(OR(L16="",C16=""),"",C16*L16-1)</f>
        <v/>
      </c>
      <c r="O16" s="77">
        <f>IF(Method!$B$55=TRUE(),"🛑 PAUSED",IF(N16="","",IF(N16&lt;Method!$B$7,"PASS","BET")))</f>
        <v/>
      </c>
      <c r="P16" s="77" t="n">
        <v>0</v>
      </c>
      <c r="Q16" s="77" t="n">
        <v>1</v>
      </c>
      <c r="R16" s="77" t="n">
        <v>0.02412</v>
      </c>
    </row>
    <row r="17">
      <c r="A17" s="77" t="inlineStr">
        <is>
          <t>Paraguay</t>
        </is>
      </c>
      <c r="B17" s="77" t="inlineStr">
        <is>
          <t>D</t>
        </is>
      </c>
      <c r="C17" s="77" t="n">
        <v>0.00436</v>
      </c>
      <c r="D17" s="77" t="n">
        <v>0.0026</v>
      </c>
      <c r="E17" s="77" t="n">
        <v>0.00616</v>
      </c>
      <c r="F17" s="77" t="n">
        <v>0.00356</v>
      </c>
      <c r="G17" s="77" t="n">
        <v>1</v>
      </c>
      <c r="H17" s="77" t="n">
        <v>1</v>
      </c>
      <c r="I17" s="77" t="n">
        <v>0.19636</v>
      </c>
      <c r="J17" s="77" t="n">
        <v>0.078</v>
      </c>
      <c r="K17" s="77" t="n">
        <v>0.0186</v>
      </c>
      <c r="L17" s="52" t="n"/>
      <c r="M17" s="77">
        <f>IF(L17="","",1/L17)</f>
        <v/>
      </c>
      <c r="N17" s="77">
        <f>IF(OR(L17="",C17=""),"",C17*L17-1)</f>
        <v/>
      </c>
      <c r="O17" s="77">
        <f>IF(Method!$B$55=TRUE(),"🛑 PAUSED",IF(N17="","",IF(N17&lt;Method!$B$7,"PASS","BET")))</f>
        <v/>
      </c>
      <c r="P17" s="77" t="n">
        <v>0</v>
      </c>
      <c r="Q17" s="77" t="n">
        <v>0</v>
      </c>
      <c r="R17" s="77" t="n">
        <v>0.01736</v>
      </c>
    </row>
    <row r="18">
      <c r="A18" s="77" t="inlineStr">
        <is>
          <t>Australia</t>
        </is>
      </c>
      <c r="B18" s="77" t="inlineStr">
        <is>
          <t>D</t>
        </is>
      </c>
      <c r="C18" s="77" t="n">
        <v>0.00264</v>
      </c>
      <c r="D18" s="77" t="n">
        <v>0.00164</v>
      </c>
      <c r="E18" s="77" t="n">
        <v>0.00332</v>
      </c>
      <c r="F18" s="77" t="n">
        <v>0.00168</v>
      </c>
      <c r="G18" s="77" t="n">
        <v>1</v>
      </c>
      <c r="H18" s="77" t="n">
        <v>0.5880400000000001</v>
      </c>
      <c r="I18" s="77" t="n">
        <v>0.1054</v>
      </c>
      <c r="J18" s="77" t="n">
        <v>0.0352</v>
      </c>
      <c r="K18" s="77" t="n">
        <v>0.01232</v>
      </c>
      <c r="L18" s="52" t="n"/>
      <c r="M18" s="77">
        <f>IF(L18="","",1/L18)</f>
        <v/>
      </c>
      <c r="N18" s="77">
        <f>IF(OR(L18="",C18=""),"",C18*L18-1)</f>
        <v/>
      </c>
      <c r="O18" s="77">
        <f>IF(Method!$B$55=TRUE(),"🛑 PAUSED",IF(N18="","",IF(N18&lt;Method!$B$7,"PASS","BET")))</f>
        <v/>
      </c>
      <c r="P18" s="77" t="n">
        <v>0</v>
      </c>
      <c r="Q18" s="77" t="n">
        <v>1</v>
      </c>
      <c r="R18" s="77" t="n">
        <v>0.00708</v>
      </c>
    </row>
    <row r="19">
      <c r="A19" s="77" t="inlineStr">
        <is>
          <t>United States</t>
        </is>
      </c>
      <c r="B19" s="77" t="inlineStr">
        <is>
          <t>D</t>
        </is>
      </c>
      <c r="C19" s="77" t="n">
        <v>0.00248</v>
      </c>
      <c r="D19" s="77" t="n">
        <v>0.00168</v>
      </c>
      <c r="E19" s="77" t="n">
        <v>0.00328</v>
      </c>
      <c r="F19" s="77" t="n">
        <v>0.0016</v>
      </c>
      <c r="G19" s="77" t="n">
        <v>1</v>
      </c>
      <c r="H19" s="77" t="n">
        <v>1</v>
      </c>
      <c r="I19" s="77" t="n">
        <v>0.35576</v>
      </c>
      <c r="J19" s="77" t="n">
        <v>0.05224000000000001</v>
      </c>
      <c r="K19" s="77" t="n">
        <v>0.01244</v>
      </c>
      <c r="L19" s="52" t="n"/>
      <c r="M19" s="77">
        <f>IF(L19="","",1/L19)</f>
        <v/>
      </c>
      <c r="N19" s="77">
        <f>IF(OR(L19="",C19=""),"",C19*L19-1)</f>
        <v/>
      </c>
      <c r="O19" s="77">
        <f>IF(Method!$B$55=TRUE(),"🛑 PAUSED",IF(N19="","",IF(N19&lt;Method!$B$7,"PASS","BET")))</f>
        <v/>
      </c>
      <c r="P19" s="77" t="n">
        <v>1</v>
      </c>
      <c r="Q19" s="77" t="n">
        <v>0</v>
      </c>
      <c r="R19" s="77" t="n">
        <v>0.00912</v>
      </c>
    </row>
    <row r="20">
      <c r="A20" s="77" t="inlineStr">
        <is>
          <t>Egypt</t>
        </is>
      </c>
      <c r="B20" s="77" t="inlineStr">
        <is>
          <t>G</t>
        </is>
      </c>
      <c r="C20" s="77" t="n">
        <v>0.00044</v>
      </c>
      <c r="D20" s="77" t="n">
        <v>0.0002</v>
      </c>
      <c r="E20" s="77" t="n">
        <v>0.00076</v>
      </c>
      <c r="F20" s="77" t="n">
        <v>0.0005600000000000001</v>
      </c>
      <c r="G20" s="77" t="n">
        <v>1</v>
      </c>
      <c r="H20" s="77" t="n">
        <v>0.41196</v>
      </c>
      <c r="I20" s="77" t="n">
        <v>0.05632</v>
      </c>
      <c r="J20" s="77" t="n">
        <v>0.01472</v>
      </c>
      <c r="K20" s="77" t="n">
        <v>0.00352</v>
      </c>
      <c r="L20" s="52" t="n"/>
      <c r="M20" s="77">
        <f>IF(L20="","",1/L20)</f>
        <v/>
      </c>
      <c r="N20" s="77">
        <f>IF(OR(L20="",C20=""),"",C20*L20-1)</f>
        <v/>
      </c>
      <c r="O20" s="77">
        <f>IF(Method!$B$55=TRUE(),"🛑 PAUSED",IF(N20="","",IF(N20&lt;Method!$B$7,"PASS","BET")))</f>
        <v/>
      </c>
      <c r="P20" s="77" t="n">
        <v>0</v>
      </c>
      <c r="Q20" s="77" t="n">
        <v>1</v>
      </c>
      <c r="R20" s="77" t="n">
        <v>0.00276</v>
      </c>
    </row>
    <row r="21" ht="15.75" customHeight="1" s="153">
      <c r="A21" s="77" t="inlineStr">
        <is>
          <t>Algeria</t>
        </is>
      </c>
      <c r="B21" s="77" t="inlineStr">
        <is>
          <t>J</t>
        </is>
      </c>
      <c r="C21" s="77" t="n">
        <v>0</v>
      </c>
      <c r="D21" s="77" t="n">
        <v>0</v>
      </c>
      <c r="E21" s="77" t="n">
        <v>0</v>
      </c>
      <c r="F21" s="77" t="n">
        <v>0</v>
      </c>
      <c r="G21" s="77" t="n">
        <v>1</v>
      </c>
      <c r="H21" s="77" t="n">
        <v>0</v>
      </c>
      <c r="I21" s="77" t="n">
        <v>0</v>
      </c>
      <c r="J21" s="77" t="n">
        <v>0</v>
      </c>
      <c r="K21" s="77" t="n">
        <v>0</v>
      </c>
      <c r="L21" s="52" t="n"/>
      <c r="M21" s="77">
        <f>IF(L21="","",1/L21)</f>
        <v/>
      </c>
      <c r="N21" s="77">
        <f>IF(OR(L21="",C21=""),"",C21*L21-1)</f>
        <v/>
      </c>
      <c r="O21" s="77">
        <f>IF(Method!$B$55=TRUE(),"🛑 PAUSED",IF(N21="","",IF(N21&lt;Method!$B$7,"PASS","BET")))</f>
        <v/>
      </c>
      <c r="P21" s="77" t="n">
        <v>0</v>
      </c>
      <c r="Q21" s="77" t="n">
        <v>0</v>
      </c>
      <c r="R21" s="77" t="n">
        <v>0</v>
      </c>
    </row>
    <row r="22" ht="15.75" customHeight="1" s="153">
      <c r="A22" s="77" t="inlineStr">
        <is>
          <t>Austria</t>
        </is>
      </c>
      <c r="B22" s="77" t="inlineStr">
        <is>
          <t>J</t>
        </is>
      </c>
      <c r="C22" s="77" t="n">
        <v>0</v>
      </c>
      <c r="D22" s="77" t="n">
        <v>0</v>
      </c>
      <c r="E22" s="77" t="n">
        <v>0</v>
      </c>
      <c r="F22" s="77" t="n">
        <v>0</v>
      </c>
      <c r="G22" s="77" t="n">
        <v>1</v>
      </c>
      <c r="H22" s="77" t="n">
        <v>0</v>
      </c>
      <c r="I22" s="77" t="n">
        <v>0</v>
      </c>
      <c r="J22" s="77" t="n">
        <v>0</v>
      </c>
      <c r="K22" s="77" t="n">
        <v>0</v>
      </c>
      <c r="L22" s="52" t="n"/>
      <c r="M22" s="77">
        <f>IF(L22="","",1/L22)</f>
        <v/>
      </c>
      <c r="N22" s="77">
        <f>IF(OR(L22="",C22=""),"",C22*L22-1)</f>
        <v/>
      </c>
      <c r="O22" s="77">
        <f>IF(Method!$B$55=TRUE(),"🛑 PAUSED",IF(N22="","",IF(N22&lt;Method!$B$7,"PASS","BET")))</f>
        <v/>
      </c>
      <c r="P22" s="77" t="n">
        <v>0</v>
      </c>
      <c r="Q22" s="77" t="n">
        <v>1</v>
      </c>
      <c r="R22" s="77" t="n">
        <v>0</v>
      </c>
    </row>
    <row r="23" ht="15.75" customHeight="1" s="153">
      <c r="A23" s="77" t="inlineStr">
        <is>
          <t>Bosnia and Herzegovina</t>
        </is>
      </c>
      <c r="B23" s="77" t="inlineStr">
        <is>
          <t>B</t>
        </is>
      </c>
      <c r="C23" s="77" t="n">
        <v>0</v>
      </c>
      <c r="D23" s="77" t="n">
        <v>0</v>
      </c>
      <c r="E23" s="77" t="n">
        <v>0</v>
      </c>
      <c r="F23" s="77" t="n">
        <v>0</v>
      </c>
      <c r="G23" s="77" t="n">
        <v>1</v>
      </c>
      <c r="H23" s="77" t="n">
        <v>0</v>
      </c>
      <c r="I23" s="77" t="n">
        <v>0</v>
      </c>
      <c r="J23" s="77" t="n">
        <v>0</v>
      </c>
      <c r="K23" s="77" t="n">
        <v>0</v>
      </c>
      <c r="L23" s="52" t="n"/>
      <c r="M23" s="77">
        <f>IF(L23="","",1/L23)</f>
        <v/>
      </c>
      <c r="N23" s="77">
        <f>IF(OR(L23="",C23=""),"",C23*L23-1)</f>
        <v/>
      </c>
      <c r="O23" s="77">
        <f>IF(Method!$B$55=TRUE(),"🛑 PAUSED",IF(N23="","",IF(N23&lt;Method!$B$7,"PASS","BET")))</f>
        <v/>
      </c>
      <c r="P23" s="77" t="n">
        <v>0</v>
      </c>
      <c r="Q23" s="77" t="n">
        <v>0</v>
      </c>
      <c r="R23" s="77" t="n">
        <v>0</v>
      </c>
    </row>
    <row r="24" ht="15.75" customHeight="1" s="153">
      <c r="A24" s="77" t="inlineStr">
        <is>
          <t>Cape Verde</t>
        </is>
      </c>
      <c r="B24" s="77" t="inlineStr">
        <is>
          <t>H</t>
        </is>
      </c>
      <c r="C24" s="77" t="n">
        <v>0</v>
      </c>
      <c r="D24" s="77" t="n">
        <v>0</v>
      </c>
      <c r="E24" s="77" t="n">
        <v>0</v>
      </c>
      <c r="F24" s="77" t="n">
        <v>0</v>
      </c>
      <c r="G24" s="77" t="n">
        <v>1</v>
      </c>
      <c r="H24" s="77" t="n">
        <v>0.0722</v>
      </c>
      <c r="I24" s="77" t="n">
        <v>0.02248</v>
      </c>
      <c r="J24" s="77" t="n">
        <v>0.00364</v>
      </c>
      <c r="K24" s="77" t="n">
        <v>0.00044</v>
      </c>
      <c r="L24" s="52" t="n"/>
      <c r="M24" s="77">
        <f>IF(L24="","",1/L24)</f>
        <v/>
      </c>
      <c r="N24" s="77">
        <f>IF(OR(L24="",C24=""),"",C24*L24-1)</f>
        <v/>
      </c>
      <c r="O24" s="77">
        <f>IF(Method!$B$55=TRUE(),"🛑 PAUSED",IF(N24="","",IF(N24&lt;Method!$B$7,"PASS","BET")))</f>
        <v/>
      </c>
      <c r="P24" s="77" t="n">
        <v>0</v>
      </c>
      <c r="Q24" s="77" t="n">
        <v>1</v>
      </c>
      <c r="R24" s="77" t="n">
        <v>0.00052</v>
      </c>
    </row>
    <row r="25" ht="15.75" customHeight="1" s="153">
      <c r="A25" s="77" t="inlineStr">
        <is>
          <t>Croatia</t>
        </is>
      </c>
      <c r="B25" s="77" t="inlineStr">
        <is>
          <t>L</t>
        </is>
      </c>
      <c r="C25" s="77" t="n">
        <v>0</v>
      </c>
      <c r="D25" s="77" t="n">
        <v>0</v>
      </c>
      <c r="E25" s="77" t="n">
        <v>0</v>
      </c>
      <c r="F25" s="77" t="n">
        <v>0</v>
      </c>
      <c r="G25" s="77" t="n">
        <v>1</v>
      </c>
      <c r="H25" s="77" t="n">
        <v>0</v>
      </c>
      <c r="I25" s="77" t="n">
        <v>0</v>
      </c>
      <c r="J25" s="77" t="n">
        <v>0</v>
      </c>
      <c r="K25" s="77" t="n">
        <v>0</v>
      </c>
      <c r="L25" s="52" t="n"/>
      <c r="M25" s="77">
        <f>IF(L25="","",1/L25)</f>
        <v/>
      </c>
      <c r="N25" s="77">
        <f>IF(OR(L25="",C25=""),"",C25*L25-1)</f>
        <v/>
      </c>
      <c r="O25" s="77">
        <f>IF(Method!$B$55=TRUE(),"🛑 PAUSED",IF(N25="","",IF(N25&lt;Method!$B$7,"PASS","BET")))</f>
        <v/>
      </c>
      <c r="P25" s="77" t="n">
        <v>0</v>
      </c>
      <c r="Q25" s="77" t="n">
        <v>1</v>
      </c>
      <c r="R25" s="77" t="n">
        <v>0</v>
      </c>
    </row>
    <row r="26" ht="15.75" customHeight="1" s="153">
      <c r="A26" s="77" t="inlineStr">
        <is>
          <t>Curacao</t>
        </is>
      </c>
      <c r="B26" s="77" t="inlineStr">
        <is>
          <t>E</t>
        </is>
      </c>
      <c r="C26" s="77" t="n">
        <v>0</v>
      </c>
      <c r="D26" s="77" t="n">
        <v>0</v>
      </c>
      <c r="E26" s="77" t="n">
        <v>0</v>
      </c>
      <c r="F26" s="77" t="n">
        <v>0</v>
      </c>
      <c r="G26" s="77" t="n">
        <v>0</v>
      </c>
      <c r="H26" s="77" t="n">
        <v>0</v>
      </c>
      <c r="I26" s="77" t="n">
        <v>0</v>
      </c>
      <c r="J26" s="77" t="n">
        <v>0</v>
      </c>
      <c r="K26" s="77" t="n">
        <v>0</v>
      </c>
      <c r="L26" s="52" t="n"/>
      <c r="M26" s="77">
        <f>IF(L26="","",1/L26)</f>
        <v/>
      </c>
      <c r="N26" s="77">
        <f>IF(OR(L26="",C26=""),"",C26*L26-1)</f>
        <v/>
      </c>
      <c r="O26" s="77">
        <f>IF(Method!$B$55=TRUE(),"🛑 PAUSED",IF(N26="","",IF(N26&lt;Method!$B$7,"PASS","BET")))</f>
        <v/>
      </c>
      <c r="P26" s="77" t="n">
        <v>0</v>
      </c>
      <c r="Q26" s="77" t="n">
        <v>0</v>
      </c>
      <c r="R26" s="77" t="n">
        <v>0</v>
      </c>
    </row>
    <row r="27" ht="15.75" customHeight="1" s="153">
      <c r="A27" s="77" t="inlineStr">
        <is>
          <t>Czechia</t>
        </is>
      </c>
      <c r="B27" s="77" t="inlineStr">
        <is>
          <t>A</t>
        </is>
      </c>
      <c r="C27" s="77" t="n">
        <v>0</v>
      </c>
      <c r="D27" s="77" t="n">
        <v>0</v>
      </c>
      <c r="E27" s="77" t="n">
        <v>0</v>
      </c>
      <c r="F27" s="77" t="n">
        <v>0</v>
      </c>
      <c r="G27" s="77" t="n">
        <v>0</v>
      </c>
      <c r="H27" s="77" t="n">
        <v>0</v>
      </c>
      <c r="I27" s="77" t="n">
        <v>0</v>
      </c>
      <c r="J27" s="77" t="n">
        <v>0</v>
      </c>
      <c r="K27" s="77" t="n">
        <v>0</v>
      </c>
      <c r="L27" s="52" t="n"/>
      <c r="M27" s="77">
        <f>IF(L27="","",1/L27)</f>
        <v/>
      </c>
      <c r="N27" s="77">
        <f>IF(OR(L27="",C27=""),"",C27*L27-1)</f>
        <v/>
      </c>
      <c r="O27" s="77">
        <f>IF(Method!$B$55=TRUE(),"🛑 PAUSED",IF(N27="","",IF(N27&lt;Method!$B$7,"PASS","BET")))</f>
        <v/>
      </c>
      <c r="P27" s="77" t="n">
        <v>0</v>
      </c>
      <c r="Q27" s="77" t="n">
        <v>0</v>
      </c>
      <c r="R27" s="77" t="n">
        <v>0</v>
      </c>
    </row>
    <row r="28" ht="15.75" customHeight="1" s="153">
      <c r="A28" s="77" t="inlineStr">
        <is>
          <t>DR Congo</t>
        </is>
      </c>
      <c r="B28" s="77" t="inlineStr">
        <is>
          <t>K</t>
        </is>
      </c>
      <c r="C28" s="77" t="n">
        <v>0</v>
      </c>
      <c r="D28" s="77" t="n">
        <v>0</v>
      </c>
      <c r="E28" s="77" t="n">
        <v>0</v>
      </c>
      <c r="F28" s="77" t="n">
        <v>0</v>
      </c>
      <c r="G28" s="77" t="n">
        <v>1</v>
      </c>
      <c r="H28" s="77" t="n">
        <v>0</v>
      </c>
      <c r="I28" s="77" t="n">
        <v>0</v>
      </c>
      <c r="J28" s="77" t="n">
        <v>0</v>
      </c>
      <c r="K28" s="77" t="n">
        <v>0</v>
      </c>
      <c r="L28" s="52" t="n"/>
      <c r="M28" s="77">
        <f>IF(L28="","",1/L28)</f>
        <v/>
      </c>
      <c r="N28" s="77">
        <f>IF(OR(L28="",C28=""),"",C28*L28-1)</f>
        <v/>
      </c>
      <c r="O28" s="77">
        <f>IF(Method!$B$55=TRUE(),"🛑 PAUSED",IF(N28="","",IF(N28&lt;Method!$B$7,"PASS","BET")))</f>
        <v/>
      </c>
      <c r="P28" s="77" t="n">
        <v>0</v>
      </c>
      <c r="Q28" s="77" t="n">
        <v>0</v>
      </c>
      <c r="R28" s="77" t="n">
        <v>0</v>
      </c>
    </row>
    <row r="29" ht="15.75" customHeight="1" s="153">
      <c r="A29" s="77" t="inlineStr">
        <is>
          <t>Ecuador</t>
        </is>
      </c>
      <c r="B29" s="77" t="inlineStr">
        <is>
          <t>E</t>
        </is>
      </c>
      <c r="C29" s="77" t="n">
        <v>0</v>
      </c>
      <c r="D29" s="77" t="n">
        <v>0</v>
      </c>
      <c r="E29" s="77" t="n">
        <v>0</v>
      </c>
      <c r="F29" s="77" t="n">
        <v>0</v>
      </c>
      <c r="G29" s="77" t="n">
        <v>1</v>
      </c>
      <c r="H29" s="77" t="n">
        <v>0</v>
      </c>
      <c r="I29" s="77" t="n">
        <v>0</v>
      </c>
      <c r="J29" s="77" t="n">
        <v>0</v>
      </c>
      <c r="K29" s="77" t="n">
        <v>0</v>
      </c>
      <c r="L29" s="52" t="n"/>
      <c r="M29" s="77">
        <f>IF(L29="","",1/L29)</f>
        <v/>
      </c>
      <c r="N29" s="77">
        <f>IF(OR(L29="",C29=""),"",C29*L29-1)</f>
        <v/>
      </c>
      <c r="O29" s="77">
        <f>IF(Method!$B$55=TRUE(),"🛑 PAUSED",IF(N29="","",IF(N29&lt;Method!$B$7,"PASS","BET")))</f>
        <v/>
      </c>
      <c r="P29" s="77" t="n">
        <v>0</v>
      </c>
      <c r="Q29" s="77" t="n">
        <v>0</v>
      </c>
      <c r="R29" s="77" t="n">
        <v>0</v>
      </c>
    </row>
    <row r="30" ht="15.75" customHeight="1" s="153">
      <c r="A30" s="77" t="inlineStr">
        <is>
          <t>Germany</t>
        </is>
      </c>
      <c r="B30" s="77" t="inlineStr">
        <is>
          <t>E</t>
        </is>
      </c>
      <c r="C30" s="77" t="n">
        <v>0</v>
      </c>
      <c r="D30" s="77" t="n">
        <v>0</v>
      </c>
      <c r="E30" s="77" t="n">
        <v>0</v>
      </c>
      <c r="F30" s="77" t="n">
        <v>0</v>
      </c>
      <c r="G30" s="77" t="n">
        <v>1</v>
      </c>
      <c r="H30" s="77" t="n">
        <v>0</v>
      </c>
      <c r="I30" s="77" t="n">
        <v>0</v>
      </c>
      <c r="J30" s="77" t="n">
        <v>0</v>
      </c>
      <c r="K30" s="77" t="n">
        <v>0</v>
      </c>
      <c r="L30" s="52" t="n"/>
      <c r="M30" s="77">
        <f>IF(L30="","",1/L30)</f>
        <v/>
      </c>
      <c r="N30" s="77">
        <f>IF(OR(L30="",C30=""),"",C30*L30-1)</f>
        <v/>
      </c>
      <c r="O30" s="77">
        <f>IF(Method!$B$55=TRUE(),"🛑 PAUSED",IF(N30="","",IF(N30&lt;Method!$B$7,"PASS","BET")))</f>
        <v/>
      </c>
      <c r="P30" s="77" t="n">
        <v>1</v>
      </c>
      <c r="Q30" s="77" t="n">
        <v>0</v>
      </c>
      <c r="R30" s="77" t="n">
        <v>0</v>
      </c>
    </row>
    <row r="31" ht="15.75" customHeight="1" s="153">
      <c r="A31" s="77" t="inlineStr">
        <is>
          <t>Ghana</t>
        </is>
      </c>
      <c r="B31" s="77" t="inlineStr">
        <is>
          <t>L</t>
        </is>
      </c>
      <c r="C31" s="77" t="n">
        <v>0</v>
      </c>
      <c r="D31" s="77" t="n">
        <v>0</v>
      </c>
      <c r="E31" s="77" t="n">
        <v>0</v>
      </c>
      <c r="F31" s="77" t="n">
        <v>0</v>
      </c>
      <c r="G31" s="77" t="n">
        <v>1</v>
      </c>
      <c r="H31" s="77" t="n">
        <v>0.12516</v>
      </c>
      <c r="I31" s="77" t="n">
        <v>0.0202</v>
      </c>
      <c r="J31" s="77" t="n">
        <v>0.00272</v>
      </c>
      <c r="K31" s="77" t="n">
        <v>0.00024</v>
      </c>
      <c r="L31" s="52" t="n"/>
      <c r="M31" s="77">
        <f>IF(L31="","",1/L31)</f>
        <v/>
      </c>
      <c r="N31" s="77">
        <f>IF(OR(L31="",C31=""),"",C31*L31-1)</f>
        <v/>
      </c>
      <c r="O31" s="77">
        <f>IF(Method!$B$55=TRUE(),"🛑 PAUSED",IF(N31="","",IF(N31&lt;Method!$B$7,"PASS","BET")))</f>
        <v/>
      </c>
      <c r="P31" s="77" t="n">
        <v>0</v>
      </c>
      <c r="Q31" s="77" t="n">
        <v>0</v>
      </c>
      <c r="R31" s="77" t="n">
        <v>0.0002</v>
      </c>
    </row>
    <row r="32" ht="15.75" customHeight="1" s="153">
      <c r="A32" s="77" t="inlineStr">
        <is>
          <t>Haiti</t>
        </is>
      </c>
      <c r="B32" s="77" t="inlineStr">
        <is>
          <t>C</t>
        </is>
      </c>
      <c r="C32" s="77" t="n">
        <v>0</v>
      </c>
      <c r="D32" s="77" t="n">
        <v>0</v>
      </c>
      <c r="E32" s="77" t="n">
        <v>0</v>
      </c>
      <c r="F32" s="77" t="n">
        <v>0</v>
      </c>
      <c r="G32" s="77" t="n">
        <v>0</v>
      </c>
      <c r="H32" s="77" t="n">
        <v>0</v>
      </c>
      <c r="I32" s="77" t="n">
        <v>0</v>
      </c>
      <c r="J32" s="77" t="n">
        <v>0</v>
      </c>
      <c r="K32" s="77" t="n">
        <v>0</v>
      </c>
      <c r="L32" s="52" t="n"/>
      <c r="M32" s="77">
        <f>IF(L32="","",1/L32)</f>
        <v/>
      </c>
      <c r="N32" s="77">
        <f>IF(OR(L32="",C32=""),"",C32*L32-1)</f>
        <v/>
      </c>
      <c r="O32" s="77">
        <f>IF(Method!$B$55=TRUE(),"🛑 PAUSED",IF(N32="","",IF(N32&lt;Method!$B$7,"PASS","BET")))</f>
        <v/>
      </c>
      <c r="P32" s="77" t="n">
        <v>0</v>
      </c>
      <c r="Q32" s="77" t="n">
        <v>0</v>
      </c>
      <c r="R32" s="77" t="n">
        <v>0</v>
      </c>
    </row>
    <row r="33" ht="15.75" customHeight="1" s="153">
      <c r="A33" s="77" t="inlineStr">
        <is>
          <t>Iran</t>
        </is>
      </c>
      <c r="B33" s="77" t="inlineStr">
        <is>
          <t>G</t>
        </is>
      </c>
      <c r="C33" s="77" t="n">
        <v>0</v>
      </c>
      <c r="D33" s="77" t="n">
        <v>0</v>
      </c>
      <c r="E33" s="77" t="n">
        <v>0</v>
      </c>
      <c r="F33" s="77" t="n">
        <v>0</v>
      </c>
      <c r="G33" s="77" t="n">
        <v>0</v>
      </c>
      <c r="H33" s="77" t="n">
        <v>0</v>
      </c>
      <c r="I33" s="77" t="n">
        <v>0</v>
      </c>
      <c r="J33" s="77" t="n">
        <v>0</v>
      </c>
      <c r="K33" s="77" t="n">
        <v>0</v>
      </c>
      <c r="L33" s="52" t="n"/>
      <c r="M33" s="77">
        <f>IF(L33="","",1/L33)</f>
        <v/>
      </c>
      <c r="N33" s="77">
        <f>IF(OR(L33="",C33=""),"",C33*L33-1)</f>
        <v/>
      </c>
      <c r="O33" s="77">
        <f>IF(Method!$B$55=TRUE(),"🛑 PAUSED",IF(N33="","",IF(N33&lt;Method!$B$7,"PASS","BET")))</f>
        <v/>
      </c>
      <c r="P33" s="77" t="n">
        <v>0</v>
      </c>
      <c r="Q33" s="77" t="n">
        <v>0</v>
      </c>
      <c r="R33" s="77" t="n">
        <v>0</v>
      </c>
    </row>
    <row r="34" ht="15.75" customHeight="1" s="153">
      <c r="A34" s="77" t="inlineStr">
        <is>
          <t>Iraq</t>
        </is>
      </c>
      <c r="B34" s="77" t="inlineStr">
        <is>
          <t>I</t>
        </is>
      </c>
      <c r="C34" s="77" t="n">
        <v>0</v>
      </c>
      <c r="D34" s="77" t="n">
        <v>0</v>
      </c>
      <c r="E34" s="77" t="n">
        <v>0</v>
      </c>
      <c r="F34" s="77" t="n">
        <v>0</v>
      </c>
      <c r="G34" s="77" t="n">
        <v>0</v>
      </c>
      <c r="H34" s="77" t="n">
        <v>0</v>
      </c>
      <c r="I34" s="77" t="n">
        <v>0</v>
      </c>
      <c r="J34" s="77" t="n">
        <v>0</v>
      </c>
      <c r="K34" s="77" t="n">
        <v>0</v>
      </c>
      <c r="L34" s="52" t="n"/>
      <c r="M34" s="77">
        <f>IF(L34="","",1/L34)</f>
        <v/>
      </c>
      <c r="N34" s="77">
        <f>IF(OR(L34="",C34=""),"",C34*L34-1)</f>
        <v/>
      </c>
      <c r="O34" s="77">
        <f>IF(Method!$B$55=TRUE(),"🛑 PAUSED",IF(N34="","",IF(N34&lt;Method!$B$7,"PASS","BET")))</f>
        <v/>
      </c>
      <c r="P34" s="77" t="n">
        <v>0</v>
      </c>
      <c r="Q34" s="77" t="n">
        <v>0</v>
      </c>
      <c r="R34" s="77" t="n">
        <v>0</v>
      </c>
    </row>
    <row r="35" ht="15.75" customHeight="1" s="153">
      <c r="A35" s="77" t="inlineStr">
        <is>
          <t>Ivory Coast</t>
        </is>
      </c>
      <c r="B35" s="77" t="inlineStr">
        <is>
          <t>E</t>
        </is>
      </c>
      <c r="C35" s="77" t="n">
        <v>0</v>
      </c>
      <c r="D35" s="77" t="n">
        <v>0</v>
      </c>
      <c r="E35" s="77" t="n">
        <v>0</v>
      </c>
      <c r="F35" s="77" t="n">
        <v>0</v>
      </c>
      <c r="G35" s="77" t="n">
        <v>1</v>
      </c>
      <c r="H35" s="77" t="n">
        <v>0</v>
      </c>
      <c r="I35" s="77" t="n">
        <v>0</v>
      </c>
      <c r="J35" s="77" t="n">
        <v>0</v>
      </c>
      <c r="K35" s="77" t="n">
        <v>0</v>
      </c>
      <c r="L35" s="52" t="n"/>
      <c r="M35" s="77">
        <f>IF(L35="","",1/L35)</f>
        <v/>
      </c>
      <c r="N35" s="77">
        <f>IF(OR(L35="",C35=""),"",C35*L35-1)</f>
        <v/>
      </c>
      <c r="O35" s="77">
        <f>IF(Method!$B$55=TRUE(),"🛑 PAUSED",IF(N35="","",IF(N35&lt;Method!$B$7,"PASS","BET")))</f>
        <v/>
      </c>
      <c r="P35" s="77" t="n">
        <v>0</v>
      </c>
      <c r="Q35" s="77" t="n">
        <v>1</v>
      </c>
      <c r="R35" s="77" t="n">
        <v>0</v>
      </c>
    </row>
    <row r="36" ht="15.75" customHeight="1" s="153">
      <c r="A36" s="77" t="inlineStr">
        <is>
          <t>Japan</t>
        </is>
      </c>
      <c r="B36" s="77" t="inlineStr">
        <is>
          <t>F</t>
        </is>
      </c>
      <c r="C36" s="77" t="n">
        <v>0</v>
      </c>
      <c r="D36" s="77" t="n">
        <v>0</v>
      </c>
      <c r="E36" s="77" t="n">
        <v>0</v>
      </c>
      <c r="F36" s="77" t="n">
        <v>0</v>
      </c>
      <c r="G36" s="77" t="n">
        <v>1</v>
      </c>
      <c r="H36" s="77" t="n">
        <v>0</v>
      </c>
      <c r="I36" s="77" t="n">
        <v>0</v>
      </c>
      <c r="J36" s="77" t="n">
        <v>0</v>
      </c>
      <c r="K36" s="77" t="n">
        <v>0</v>
      </c>
      <c r="L36" s="52" t="n"/>
      <c r="M36" s="77">
        <f>IF(L36="","",1/L36)</f>
        <v/>
      </c>
      <c r="N36" s="77">
        <f>IF(OR(L36="",C36=""),"",C36*L36-1)</f>
        <v/>
      </c>
      <c r="O36" s="77">
        <f>IF(Method!$B$55=TRUE(),"🛑 PAUSED",IF(N36="","",IF(N36&lt;Method!$B$7,"PASS","BET")))</f>
        <v/>
      </c>
      <c r="P36" s="77" t="n">
        <v>0</v>
      </c>
      <c r="Q36" s="77" t="n">
        <v>1</v>
      </c>
      <c r="R36" s="77" t="n">
        <v>0</v>
      </c>
    </row>
    <row r="37" ht="15.75" customHeight="1" s="153">
      <c r="A37" s="77" t="inlineStr">
        <is>
          <t>Jordan</t>
        </is>
      </c>
      <c r="B37" s="77" t="inlineStr">
        <is>
          <t>J</t>
        </is>
      </c>
      <c r="C37" s="77" t="n">
        <v>0</v>
      </c>
      <c r="D37" s="77" t="n">
        <v>0</v>
      </c>
      <c r="E37" s="77" t="n">
        <v>0</v>
      </c>
      <c r="F37" s="77" t="n">
        <v>0</v>
      </c>
      <c r="G37" s="77" t="n">
        <v>0</v>
      </c>
      <c r="H37" s="77" t="n">
        <v>0</v>
      </c>
      <c r="I37" s="77" t="n">
        <v>0</v>
      </c>
      <c r="J37" s="77" t="n">
        <v>0</v>
      </c>
      <c r="K37" s="77" t="n">
        <v>0</v>
      </c>
      <c r="L37" s="52" t="n"/>
      <c r="M37" s="77">
        <f>IF(L37="","",1/L37)</f>
        <v/>
      </c>
      <c r="N37" s="77">
        <f>IF(OR(L37="",C37=""),"",C37*L37-1)</f>
        <v/>
      </c>
      <c r="O37" s="77">
        <f>IF(Method!$B$55=TRUE(),"🛑 PAUSED",IF(N37="","",IF(N37&lt;Method!$B$7,"PASS","BET")))</f>
        <v/>
      </c>
      <c r="P37" s="77" t="n">
        <v>0</v>
      </c>
      <c r="Q37" s="77" t="n">
        <v>0</v>
      </c>
      <c r="R37" s="77" t="n">
        <v>0</v>
      </c>
    </row>
    <row r="38" ht="15.75" customHeight="1" s="153">
      <c r="A38" s="77" t="inlineStr">
        <is>
          <t>Netherlands</t>
        </is>
      </c>
      <c r="B38" s="77" t="inlineStr">
        <is>
          <t>F</t>
        </is>
      </c>
      <c r="C38" s="77" t="n">
        <v>0</v>
      </c>
      <c r="D38" s="77" t="n">
        <v>0</v>
      </c>
      <c r="E38" s="77" t="n">
        <v>0</v>
      </c>
      <c r="F38" s="77" t="n">
        <v>0</v>
      </c>
      <c r="G38" s="77" t="n">
        <v>1</v>
      </c>
      <c r="H38" s="77" t="n">
        <v>0</v>
      </c>
      <c r="I38" s="77" t="n">
        <v>0</v>
      </c>
      <c r="J38" s="77" t="n">
        <v>0</v>
      </c>
      <c r="K38" s="77" t="n">
        <v>0</v>
      </c>
      <c r="L38" s="52" t="n"/>
      <c r="M38" s="77">
        <f>IF(L38="","",1/L38)</f>
        <v/>
      </c>
      <c r="N38" s="77">
        <f>IF(OR(L38="",C38=""),"",C38*L38-1)</f>
        <v/>
      </c>
      <c r="O38" s="77">
        <f>IF(Method!$B$55=TRUE(),"🛑 PAUSED",IF(N38="","",IF(N38&lt;Method!$B$7,"PASS","BET")))</f>
        <v/>
      </c>
      <c r="P38" s="77" t="n">
        <v>1</v>
      </c>
      <c r="Q38" s="77" t="n">
        <v>0</v>
      </c>
      <c r="R38" s="77" t="n">
        <v>0</v>
      </c>
    </row>
    <row r="39" ht="15.75" customHeight="1" s="153">
      <c r="A39" s="77" t="inlineStr">
        <is>
          <t>New Zealand</t>
        </is>
      </c>
      <c r="B39" s="77" t="inlineStr">
        <is>
          <t>G</t>
        </is>
      </c>
      <c r="C39" s="77" t="n">
        <v>0</v>
      </c>
      <c r="D39" s="77" t="n">
        <v>0</v>
      </c>
      <c r="E39" s="77" t="n">
        <v>0</v>
      </c>
      <c r="F39" s="77" t="n">
        <v>0</v>
      </c>
      <c r="G39" s="77" t="n">
        <v>0</v>
      </c>
      <c r="H39" s="77" t="n">
        <v>0</v>
      </c>
      <c r="I39" s="77" t="n">
        <v>0</v>
      </c>
      <c r="J39" s="77" t="n">
        <v>0</v>
      </c>
      <c r="K39" s="77" t="n">
        <v>0</v>
      </c>
      <c r="L39" s="52" t="n"/>
      <c r="M39" s="77">
        <f>IF(L39="","",1/L39)</f>
        <v/>
      </c>
      <c r="N39" s="77">
        <f>IF(OR(L39="",C39=""),"",C39*L39-1)</f>
        <v/>
      </c>
      <c r="O39" s="77">
        <f>IF(Method!$B$55=TRUE(),"🛑 PAUSED",IF(N39="","",IF(N39&lt;Method!$B$7,"PASS","BET")))</f>
        <v/>
      </c>
      <c r="P39" s="77" t="n">
        <v>0</v>
      </c>
      <c r="Q39" s="77" t="n">
        <v>0</v>
      </c>
      <c r="R39" s="77" t="n">
        <v>0</v>
      </c>
    </row>
    <row r="40" ht="15.75" customHeight="1" s="153">
      <c r="A40" s="77" t="inlineStr">
        <is>
          <t>Panama</t>
        </is>
      </c>
      <c r="B40" s="77" t="inlineStr">
        <is>
          <t>L</t>
        </is>
      </c>
      <c r="C40" s="77" t="n">
        <v>0</v>
      </c>
      <c r="D40" s="77" t="n">
        <v>0</v>
      </c>
      <c r="E40" s="77" t="n">
        <v>0</v>
      </c>
      <c r="F40" s="77" t="n">
        <v>0</v>
      </c>
      <c r="G40" s="77" t="n">
        <v>0</v>
      </c>
      <c r="H40" s="77" t="n">
        <v>0</v>
      </c>
      <c r="I40" s="77" t="n">
        <v>0</v>
      </c>
      <c r="J40" s="77" t="n">
        <v>0</v>
      </c>
      <c r="K40" s="77" t="n">
        <v>0</v>
      </c>
      <c r="L40" s="52" t="n"/>
      <c r="M40" s="77">
        <f>IF(L40="","",1/L40)</f>
        <v/>
      </c>
      <c r="N40" s="77">
        <f>IF(OR(L40="",C40=""),"",C40*L40-1)</f>
        <v/>
      </c>
      <c r="O40" s="77">
        <f>IF(Method!$B$55=TRUE(),"🛑 PAUSED",IF(N40="","",IF(N40&lt;Method!$B$7,"PASS","BET")))</f>
        <v/>
      </c>
      <c r="P40" s="77" t="n">
        <v>0</v>
      </c>
      <c r="Q40" s="77" t="n">
        <v>0</v>
      </c>
      <c r="R40" s="77" t="n">
        <v>0</v>
      </c>
    </row>
    <row r="41" ht="15.75" customHeight="1" s="153">
      <c r="A41" s="77" t="inlineStr">
        <is>
          <t>Qatar</t>
        </is>
      </c>
      <c r="B41" s="77" t="inlineStr">
        <is>
          <t>B</t>
        </is>
      </c>
      <c r="C41" s="77" t="n">
        <v>0</v>
      </c>
      <c r="D41" s="77" t="n">
        <v>0</v>
      </c>
      <c r="E41" s="77" t="n">
        <v>0</v>
      </c>
      <c r="F41" s="77" t="n">
        <v>0</v>
      </c>
      <c r="G41" s="77" t="n">
        <v>0</v>
      </c>
      <c r="H41" s="77" t="n">
        <v>0</v>
      </c>
      <c r="I41" s="77" t="n">
        <v>0</v>
      </c>
      <c r="J41" s="77" t="n">
        <v>0</v>
      </c>
      <c r="K41" s="77" t="n">
        <v>0</v>
      </c>
      <c r="L41" s="52" t="n"/>
      <c r="M41" s="77">
        <f>IF(L41="","",1/L41)</f>
        <v/>
      </c>
      <c r="N41" s="77">
        <f>IF(OR(L41="",C41=""),"",C41*L41-1)</f>
        <v/>
      </c>
      <c r="O41" s="77">
        <f>IF(Method!$B$55=TRUE(),"🛑 PAUSED",IF(N41="","",IF(N41&lt;Method!$B$7,"PASS","BET")))</f>
        <v/>
      </c>
      <c r="P41" s="77" t="n">
        <v>0</v>
      </c>
      <c r="Q41" s="77" t="n">
        <v>0</v>
      </c>
      <c r="R41" s="77" t="n">
        <v>0</v>
      </c>
    </row>
    <row r="42" ht="15.75" customHeight="1" s="153">
      <c r="A42" s="77" t="inlineStr">
        <is>
          <t>Saudi Arabia</t>
        </is>
      </c>
      <c r="B42" s="77" t="inlineStr">
        <is>
          <t>H</t>
        </is>
      </c>
      <c r="C42" s="77" t="n">
        <v>0</v>
      </c>
      <c r="D42" s="77" t="n">
        <v>0</v>
      </c>
      <c r="E42" s="77" t="n">
        <v>0</v>
      </c>
      <c r="F42" s="77" t="n">
        <v>0</v>
      </c>
      <c r="G42" s="77" t="n">
        <v>0</v>
      </c>
      <c r="H42" s="77" t="n">
        <v>0</v>
      </c>
      <c r="I42" s="77" t="n">
        <v>0</v>
      </c>
      <c r="J42" s="77" t="n">
        <v>0</v>
      </c>
      <c r="K42" s="77" t="n">
        <v>0</v>
      </c>
      <c r="L42" s="52" t="n"/>
      <c r="M42" s="77">
        <f>IF(L42="","",1/L42)</f>
        <v/>
      </c>
      <c r="N42" s="77">
        <f>IF(OR(L42="",C42=""),"",C42*L42-1)</f>
        <v/>
      </c>
      <c r="O42" s="77">
        <f>IF(Method!$B$55=TRUE(),"🛑 PAUSED",IF(N42="","",IF(N42&lt;Method!$B$7,"PASS","BET")))</f>
        <v/>
      </c>
      <c r="P42" s="77" t="n">
        <v>0</v>
      </c>
      <c r="Q42" s="77" t="n">
        <v>0</v>
      </c>
      <c r="R42" s="77" t="n">
        <v>0</v>
      </c>
    </row>
    <row r="43" ht="15.75" customHeight="1" s="153">
      <c r="A43" s="77" t="inlineStr">
        <is>
          <t>Scotland</t>
        </is>
      </c>
      <c r="B43" s="77" t="inlineStr">
        <is>
          <t>C</t>
        </is>
      </c>
      <c r="C43" s="77" t="n">
        <v>0</v>
      </c>
      <c r="D43" s="77" t="n">
        <v>0</v>
      </c>
      <c r="E43" s="77" t="n">
        <v>0</v>
      </c>
      <c r="F43" s="77" t="n">
        <v>0</v>
      </c>
      <c r="G43" s="77" t="n">
        <v>0</v>
      </c>
      <c r="H43" s="77" t="n">
        <v>0</v>
      </c>
      <c r="I43" s="77" t="n">
        <v>0</v>
      </c>
      <c r="J43" s="77" t="n">
        <v>0</v>
      </c>
      <c r="K43" s="77" t="n">
        <v>0</v>
      </c>
      <c r="L43" s="52" t="n"/>
      <c r="M43" s="77">
        <f>IF(L43="","",1/L43)</f>
        <v/>
      </c>
      <c r="N43" s="77">
        <f>IF(OR(L43="",C43=""),"",C43*L43-1)</f>
        <v/>
      </c>
      <c r="O43" s="77">
        <f>IF(Method!$B$55=TRUE(),"🛑 PAUSED",IF(N43="","",IF(N43&lt;Method!$B$7,"PASS","BET")))</f>
        <v/>
      </c>
      <c r="P43" s="77" t="n">
        <v>0</v>
      </c>
      <c r="Q43" s="77" t="n">
        <v>0</v>
      </c>
      <c r="R43" s="77" t="n">
        <v>0</v>
      </c>
    </row>
    <row r="44" ht="15.75" customHeight="1" s="153">
      <c r="A44" s="77" t="inlineStr">
        <is>
          <t>Senegal</t>
        </is>
      </c>
      <c r="B44" s="77" t="inlineStr">
        <is>
          <t>I</t>
        </is>
      </c>
      <c r="C44" s="77" t="n">
        <v>0</v>
      </c>
      <c r="D44" s="77" t="n">
        <v>0</v>
      </c>
      <c r="E44" s="77" t="n">
        <v>0</v>
      </c>
      <c r="F44" s="77" t="n">
        <v>0</v>
      </c>
      <c r="G44" s="77" t="n">
        <v>1</v>
      </c>
      <c r="H44" s="77" t="n">
        <v>0</v>
      </c>
      <c r="I44" s="77" t="n">
        <v>0</v>
      </c>
      <c r="J44" s="77" t="n">
        <v>0</v>
      </c>
      <c r="K44" s="77" t="n">
        <v>0</v>
      </c>
      <c r="L44" s="52" t="n"/>
      <c r="M44" s="77">
        <f>IF(L44="","",1/L44)</f>
        <v/>
      </c>
      <c r="N44" s="77">
        <f>IF(OR(L44="",C44=""),"",C44*L44-1)</f>
        <v/>
      </c>
      <c r="O44" s="77">
        <f>IF(Method!$B$55=TRUE(),"🛑 PAUSED",IF(N44="","",IF(N44&lt;Method!$B$7,"PASS","BET")))</f>
        <v/>
      </c>
      <c r="P44" s="77" t="n">
        <v>0</v>
      </c>
      <c r="Q44" s="77" t="n">
        <v>0</v>
      </c>
      <c r="R44" s="77" t="n">
        <v>0</v>
      </c>
    </row>
    <row r="45" ht="15.75" customHeight="1" s="153">
      <c r="A45" s="77" t="inlineStr">
        <is>
          <t>South Africa</t>
        </is>
      </c>
      <c r="B45" s="77" t="inlineStr">
        <is>
          <t>A</t>
        </is>
      </c>
      <c r="C45" s="77" t="n">
        <v>0</v>
      </c>
      <c r="D45" s="77" t="n">
        <v>0</v>
      </c>
      <c r="E45" s="77" t="n">
        <v>0</v>
      </c>
      <c r="F45" s="77" t="n">
        <v>0</v>
      </c>
      <c r="G45" s="77" t="n">
        <v>1</v>
      </c>
      <c r="H45" s="77" t="n">
        <v>0</v>
      </c>
      <c r="I45" s="77" t="n">
        <v>0</v>
      </c>
      <c r="J45" s="77" t="n">
        <v>0</v>
      </c>
      <c r="K45" s="77" t="n">
        <v>0</v>
      </c>
      <c r="L45" s="52" t="n"/>
      <c r="M45" s="77">
        <f>IF(L45="","",1/L45)</f>
        <v/>
      </c>
      <c r="N45" s="77">
        <f>IF(OR(L45="",C45=""),"",C45*L45-1)</f>
        <v/>
      </c>
      <c r="O45" s="77">
        <f>IF(Method!$B$55=TRUE(),"🛑 PAUSED",IF(N45="","",IF(N45&lt;Method!$B$7,"PASS","BET")))</f>
        <v/>
      </c>
      <c r="P45" s="77" t="n">
        <v>0</v>
      </c>
      <c r="Q45" s="77" t="n">
        <v>1</v>
      </c>
      <c r="R45" s="77" t="n">
        <v>0</v>
      </c>
    </row>
    <row r="46" ht="15.75" customHeight="1" s="153">
      <c r="A46" s="77" t="inlineStr">
        <is>
          <t>South Korea</t>
        </is>
      </c>
      <c r="B46" s="77" t="inlineStr">
        <is>
          <t>A</t>
        </is>
      </c>
      <c r="C46" s="77" t="n">
        <v>0</v>
      </c>
      <c r="D46" s="77" t="n">
        <v>0</v>
      </c>
      <c r="E46" s="77" t="n">
        <v>0</v>
      </c>
      <c r="F46" s="77" t="n">
        <v>0</v>
      </c>
      <c r="G46" s="77" t="n">
        <v>0</v>
      </c>
      <c r="H46" s="77" t="n">
        <v>0</v>
      </c>
      <c r="I46" s="77" t="n">
        <v>0</v>
      </c>
      <c r="J46" s="77" t="n">
        <v>0</v>
      </c>
      <c r="K46" s="77" t="n">
        <v>0</v>
      </c>
      <c r="L46" s="52" t="n"/>
      <c r="M46" s="77">
        <f>IF(L46="","",1/L46)</f>
        <v/>
      </c>
      <c r="N46" s="77">
        <f>IF(OR(L46="",C46=""),"",C46*L46-1)</f>
        <v/>
      </c>
      <c r="O46" s="77">
        <f>IF(Method!$B$55=TRUE(),"🛑 PAUSED",IF(N46="","",IF(N46&lt;Method!$B$7,"PASS","BET")))</f>
        <v/>
      </c>
      <c r="P46" s="77" t="n">
        <v>0</v>
      </c>
      <c r="Q46" s="77" t="n">
        <v>0</v>
      </c>
      <c r="R46" s="77" t="n">
        <v>0</v>
      </c>
    </row>
    <row r="47" ht="15.75" customHeight="1" s="153">
      <c r="A47" s="77" t="inlineStr">
        <is>
          <t>Sweden</t>
        </is>
      </c>
      <c r="B47" s="77" t="inlineStr">
        <is>
          <t>F</t>
        </is>
      </c>
      <c r="C47" s="77" t="n">
        <v>0</v>
      </c>
      <c r="D47" s="77" t="n">
        <v>0</v>
      </c>
      <c r="E47" s="77" t="n">
        <v>0</v>
      </c>
      <c r="F47" s="77" t="n">
        <v>0</v>
      </c>
      <c r="G47" s="77" t="n">
        <v>1</v>
      </c>
      <c r="H47" s="77" t="n">
        <v>0</v>
      </c>
      <c r="I47" s="77" t="n">
        <v>0</v>
      </c>
      <c r="J47" s="77" t="n">
        <v>0</v>
      </c>
      <c r="K47" s="77" t="n">
        <v>0</v>
      </c>
      <c r="L47" s="52" t="n"/>
      <c r="M47" s="77">
        <f>IF(L47="","",1/L47)</f>
        <v/>
      </c>
      <c r="N47" s="77">
        <f>IF(OR(L47="",C47=""),"",C47*L47-1)</f>
        <v/>
      </c>
      <c r="O47" s="77">
        <f>IF(Method!$B$55=TRUE(),"🛑 PAUSED",IF(N47="","",IF(N47&lt;Method!$B$7,"PASS","BET")))</f>
        <v/>
      </c>
      <c r="P47" s="77" t="n">
        <v>0</v>
      </c>
      <c r="Q47" s="77" t="n">
        <v>0</v>
      </c>
      <c r="R47" s="77" t="n">
        <v>0</v>
      </c>
    </row>
    <row r="48" ht="15.75" customHeight="1" s="153">
      <c r="A48" s="77" t="inlineStr">
        <is>
          <t>Tunisia</t>
        </is>
      </c>
      <c r="B48" s="77" t="inlineStr">
        <is>
          <t>F</t>
        </is>
      </c>
      <c r="C48" s="77" t="n">
        <v>0</v>
      </c>
      <c r="D48" s="77" t="n">
        <v>0</v>
      </c>
      <c r="E48" s="77" t="n">
        <v>0</v>
      </c>
      <c r="F48" s="77" t="n">
        <v>0</v>
      </c>
      <c r="G48" s="77" t="n">
        <v>0</v>
      </c>
      <c r="H48" s="77" t="n">
        <v>0</v>
      </c>
      <c r="I48" s="77" t="n">
        <v>0</v>
      </c>
      <c r="J48" s="77" t="n">
        <v>0</v>
      </c>
      <c r="K48" s="77" t="n">
        <v>0</v>
      </c>
      <c r="L48" s="52" t="n"/>
      <c r="M48" s="77">
        <f>IF(L48="","",1/L48)</f>
        <v/>
      </c>
      <c r="N48" s="77">
        <f>IF(OR(L48="",C48=""),"",C48*L48-1)</f>
        <v/>
      </c>
      <c r="O48" s="77">
        <f>IF(Method!$B$55=TRUE(),"🛑 PAUSED",IF(N48="","",IF(N48&lt;Method!$B$7,"PASS","BET")))</f>
        <v/>
      </c>
      <c r="P48" s="77" t="n">
        <v>0</v>
      </c>
      <c r="Q48" s="77" t="n">
        <v>0</v>
      </c>
      <c r="R48" s="77" t="n">
        <v>0</v>
      </c>
    </row>
    <row r="49" ht="15.75" customHeight="1" s="153">
      <c r="A49" s="77" t="inlineStr">
        <is>
          <t>Turkey</t>
        </is>
      </c>
      <c r="B49" s="77" t="inlineStr">
        <is>
          <t>D</t>
        </is>
      </c>
      <c r="C49" s="77" t="n">
        <v>0</v>
      </c>
      <c r="D49" s="77" t="n">
        <v>0</v>
      </c>
      <c r="E49" s="77" t="n">
        <v>0</v>
      </c>
      <c r="F49" s="77" t="n">
        <v>0</v>
      </c>
      <c r="G49" s="77" t="n">
        <v>0</v>
      </c>
      <c r="H49" s="77" t="n">
        <v>0</v>
      </c>
      <c r="I49" s="77" t="n">
        <v>0</v>
      </c>
      <c r="J49" s="77" t="n">
        <v>0</v>
      </c>
      <c r="K49" s="77" t="n">
        <v>0</v>
      </c>
      <c r="L49" s="52" t="n"/>
      <c r="M49" s="77">
        <f>IF(L49="","",1/L49)</f>
        <v/>
      </c>
      <c r="N49" s="77">
        <f>IF(OR(L49="",C49=""),"",C49*L49-1)</f>
        <v/>
      </c>
      <c r="O49" s="77">
        <f>IF(Method!$B$55=TRUE(),"🛑 PAUSED",IF(N49="","",IF(N49&lt;Method!$B$7,"PASS","BET")))</f>
        <v/>
      </c>
      <c r="P49" s="77" t="n">
        <v>0</v>
      </c>
      <c r="Q49" s="77" t="n">
        <v>0</v>
      </c>
      <c r="R49" s="77" t="n">
        <v>0</v>
      </c>
    </row>
    <row r="50" ht="15.75" customHeight="1" s="153">
      <c r="A50" s="77" t="inlineStr">
        <is>
          <t>Uruguay</t>
        </is>
      </c>
      <c r="B50" s="77" t="inlineStr">
        <is>
          <t>H</t>
        </is>
      </c>
      <c r="C50" s="77" t="n">
        <v>0</v>
      </c>
      <c r="D50" s="77" t="n">
        <v>0</v>
      </c>
      <c r="E50" s="77" t="n">
        <v>0</v>
      </c>
      <c r="F50" s="77" t="n">
        <v>0</v>
      </c>
      <c r="G50" s="77" t="n">
        <v>0</v>
      </c>
      <c r="H50" s="77" t="n">
        <v>0</v>
      </c>
      <c r="I50" s="77" t="n">
        <v>0</v>
      </c>
      <c r="J50" s="77" t="n">
        <v>0</v>
      </c>
      <c r="K50" s="77" t="n">
        <v>0</v>
      </c>
      <c r="L50" s="52" t="n"/>
      <c r="M50" s="77">
        <f>IF(L50="","",1/L50)</f>
        <v/>
      </c>
      <c r="N50" s="77">
        <f>IF(OR(L50="",C50=""),"",C50*L50-1)</f>
        <v/>
      </c>
      <c r="O50" s="77">
        <f>IF(Method!$B$55=TRUE(),"🛑 PAUSED",IF(N50="","",IF(N50&lt;Method!$B$7,"PASS","BET")))</f>
        <v/>
      </c>
      <c r="P50" s="77" t="n">
        <v>0</v>
      </c>
      <c r="Q50" s="77" t="n">
        <v>0</v>
      </c>
      <c r="R50" s="77" t="n">
        <v>0</v>
      </c>
    </row>
    <row r="51" ht="15.75" customHeight="1" s="153">
      <c r="A51" s="77" t="inlineStr">
        <is>
          <t>Uzbekistan</t>
        </is>
      </c>
      <c r="B51" s="77" t="inlineStr">
        <is>
          <t>K</t>
        </is>
      </c>
      <c r="C51" s="77" t="n">
        <v>0</v>
      </c>
      <c r="D51" s="77" t="n">
        <v>0</v>
      </c>
      <c r="E51" s="77" t="n">
        <v>0</v>
      </c>
      <c r="F51" s="77" t="n">
        <v>0</v>
      </c>
      <c r="G51" s="77" t="n">
        <v>0</v>
      </c>
      <c r="H51" s="77" t="n">
        <v>0</v>
      </c>
      <c r="I51" s="77" t="n">
        <v>0</v>
      </c>
      <c r="J51" s="77" t="n">
        <v>0</v>
      </c>
      <c r="K51" s="77" t="n">
        <v>0</v>
      </c>
      <c r="L51" s="52" t="n"/>
      <c r="M51" s="77">
        <f>IF(L51="","",1/L51)</f>
        <v/>
      </c>
      <c r="N51" s="77">
        <f>IF(OR(L51="",C51=""),"",C51*L51-1)</f>
        <v/>
      </c>
      <c r="O51" s="77">
        <f>IF(Method!$B$55=TRUE(),"🛑 PAUSED",IF(N51="","",IF(N51&lt;Method!$B$7,"PASS","BET")))</f>
        <v/>
      </c>
      <c r="P51" s="77" t="n">
        <v>0</v>
      </c>
      <c r="Q51" s="77" t="n">
        <v>0</v>
      </c>
      <c r="R51" s="77" t="n">
        <v>0</v>
      </c>
    </row>
    <row r="52" ht="15.75" customHeight="1" s="153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</row>
    <row r="53" ht="15.75" customHeight="1" s="1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</row>
    <row r="54" ht="15.75" customHeight="1" s="153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</row>
    <row r="55" ht="15.75" customHeight="1" s="153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</row>
    <row r="56" ht="15.75" customHeight="1" s="153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</row>
    <row r="57" ht="15.75" customHeight="1" s="153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</row>
    <row r="58" ht="15.75" customHeight="1" s="153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</row>
    <row r="59" ht="15.75" customHeight="1" s="153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</row>
    <row r="60" ht="15.75" customHeight="1" s="153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</row>
    <row r="61" ht="15.75" customHeight="1" s="153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</row>
    <row r="62" ht="15.75" customHeight="1" s="153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</row>
    <row r="63" ht="15.75" customHeight="1" s="15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</row>
    <row r="64" ht="15.75" customHeight="1" s="153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</row>
    <row r="65" ht="15.75" customHeight="1" s="153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</row>
    <row r="66" ht="15.75" customHeight="1" s="153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</row>
    <row r="67" ht="15.75" customHeight="1" s="153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</row>
    <row r="68" ht="15.75" customHeight="1" s="153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</row>
    <row r="69" ht="15.75" customHeight="1" s="153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</row>
    <row r="70" ht="15.75" customHeight="1" s="153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</row>
    <row r="71" ht="15.75" customHeight="1" s="153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</row>
    <row r="72" ht="15.75" customHeight="1" s="153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</row>
    <row r="73" ht="15.75" customHeight="1" s="15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</row>
    <row r="74" ht="15.75" customHeight="1" s="153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</row>
    <row r="75" ht="15.75" customHeight="1" s="153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</row>
    <row r="76" ht="15.75" customHeight="1" s="153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</row>
    <row r="77" ht="15.75" customHeight="1" s="153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</row>
    <row r="78" ht="15.75" customHeight="1" s="153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</row>
    <row r="79" ht="15.75" customHeight="1" s="153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</row>
    <row r="80" ht="15.75" customHeight="1" s="153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</row>
    <row r="81" ht="15.75" customHeight="1" s="153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</row>
    <row r="82" ht="15.75" customHeight="1" s="153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</row>
    <row r="83" ht="15.75" customHeight="1" s="15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</row>
    <row r="84" ht="15.75" customHeight="1" s="153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</row>
    <row r="85" ht="15.75" customHeight="1" s="153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</row>
    <row r="86" ht="15.75" customHeight="1" s="153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</row>
    <row r="87" ht="15.75" customHeight="1" s="153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</row>
    <row r="88" ht="15.75" customHeight="1" s="153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</row>
    <row r="89" ht="15.75" customHeight="1" s="153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</row>
    <row r="90" ht="15.75" customHeight="1" s="153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</row>
    <row r="91" ht="15.75" customHeight="1" s="153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</row>
    <row r="92" ht="15.75" customHeight="1" s="153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</row>
    <row r="93" ht="15.75" customHeight="1" s="15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</row>
    <row r="94" ht="15.75" customHeight="1" s="153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</row>
    <row r="95" ht="15.75" customHeight="1" s="153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</row>
    <row r="96" ht="15.75" customHeight="1" s="153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</row>
    <row r="97" ht="15.75" customHeight="1" s="153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</row>
    <row r="98" ht="15.75" customHeight="1" s="153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</row>
    <row r="99" ht="15.75" customHeight="1" s="153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</row>
    <row r="100" ht="15.75" customHeight="1" s="153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</row>
    <row r="101" ht="15.75" customHeight="1" s="153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</row>
    <row r="102" ht="15.75" customHeight="1" s="153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</row>
    <row r="103" ht="15.75" customHeight="1" s="15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</row>
    <row r="104" ht="15.75" customHeight="1" s="153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</row>
    <row r="105" ht="15.75" customHeight="1" s="153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</row>
    <row r="106" ht="15.75" customHeight="1" s="153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</row>
    <row r="107" ht="15.75" customHeight="1" s="153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</row>
    <row r="108" ht="15.75" customHeight="1" s="153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</row>
    <row r="109" ht="15.75" customHeight="1" s="153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</row>
    <row r="110" ht="15.75" customHeight="1" s="153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</row>
    <row r="111" ht="15.75" customHeight="1" s="153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</row>
    <row r="112" ht="15.75" customHeight="1" s="153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</row>
    <row r="113" ht="15.75" customHeight="1" s="15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</row>
    <row r="114" ht="15.75" customHeight="1" s="153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</row>
    <row r="115" ht="15.75" customHeight="1" s="153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</row>
    <row r="116" ht="15.75" customHeight="1" s="153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</row>
    <row r="117" ht="15.75" customHeight="1" s="153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</row>
    <row r="118" ht="15.75" customHeight="1" s="153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</row>
    <row r="119" ht="15.75" customHeight="1" s="153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</row>
    <row r="120" ht="15.75" customHeight="1" s="153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</row>
    <row r="121" ht="15.75" customHeight="1" s="153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</row>
    <row r="122" ht="15.75" customHeight="1" s="153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</row>
    <row r="123" ht="15.75" customHeight="1" s="15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</row>
    <row r="124" ht="15.75" customHeight="1" s="153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</row>
    <row r="125" ht="15.75" customHeight="1" s="153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</row>
    <row r="126" ht="15.75" customHeight="1" s="153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</row>
    <row r="127" ht="15.75" customHeight="1" s="153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</row>
    <row r="128" ht="15.75" customHeight="1" s="153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</row>
    <row r="129" ht="15.75" customHeight="1" s="153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</row>
    <row r="130" ht="15.75" customHeight="1" s="153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</row>
    <row r="131" ht="15.75" customHeight="1" s="153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</row>
    <row r="132" ht="15.75" customHeight="1" s="153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</row>
    <row r="133" ht="15.75" customHeight="1" s="15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</row>
    <row r="134" ht="15.75" customHeight="1" s="153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</row>
    <row r="135" ht="15.75" customHeight="1" s="153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</row>
    <row r="136" ht="15.75" customHeight="1" s="153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</row>
    <row r="137" ht="15.75" customHeight="1" s="153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</row>
    <row r="138" ht="15.75" customHeight="1" s="153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</row>
    <row r="139" ht="15.75" customHeight="1" s="153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</row>
    <row r="140" ht="15.75" customHeight="1" s="153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</row>
    <row r="141" ht="15.75" customHeight="1" s="153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</row>
    <row r="142" ht="15.75" customHeight="1" s="153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</row>
    <row r="143" ht="15.75" customHeight="1" s="15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</row>
    <row r="144" ht="15.75" customHeight="1" s="153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</row>
    <row r="145" ht="15.75" customHeight="1" s="153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</row>
    <row r="146" ht="15.75" customHeight="1" s="153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</row>
    <row r="147" ht="15.75" customHeight="1" s="153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</row>
    <row r="148" ht="15.75" customHeight="1" s="153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</row>
    <row r="149" ht="15.75" customHeight="1" s="153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</row>
    <row r="150" ht="15.75" customHeight="1" s="153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</row>
    <row r="151" ht="15.75" customHeight="1" s="153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</row>
    <row r="152" ht="15.75" customHeight="1" s="153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</row>
    <row r="153" ht="15.75" customHeight="1" s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</row>
    <row r="154" ht="15.75" customHeight="1" s="153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</row>
    <row r="155" ht="15.75" customHeight="1" s="153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</row>
    <row r="156" ht="15.75" customHeight="1" s="153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</row>
    <row r="157" ht="15.75" customHeight="1" s="153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</row>
    <row r="158" ht="15.75" customHeight="1" s="153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</row>
    <row r="159" ht="15.75" customHeight="1" s="153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</row>
    <row r="160" ht="15.75" customHeight="1" s="153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</row>
    <row r="161" ht="15.75" customHeight="1" s="153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</row>
    <row r="162" ht="15.75" customHeight="1" s="153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</row>
    <row r="163" ht="15.75" customHeight="1" s="15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</row>
    <row r="164" ht="15.75" customHeight="1" s="153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</row>
    <row r="165" ht="15.75" customHeight="1" s="153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</row>
    <row r="166" ht="15.75" customHeight="1" s="153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</row>
    <row r="167" ht="15.75" customHeight="1" s="153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</row>
    <row r="168" ht="15.75" customHeight="1" s="153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</row>
    <row r="169" ht="15.75" customHeight="1" s="153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</row>
    <row r="170" ht="15.75" customHeight="1" s="153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</row>
    <row r="171" ht="15.75" customHeight="1" s="153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</row>
    <row r="172" ht="15.75" customHeight="1" s="153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</row>
    <row r="173" ht="15.75" customHeight="1" s="15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</row>
    <row r="174" ht="15.75" customHeight="1" s="153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</row>
    <row r="175" ht="15.75" customHeight="1" s="153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</row>
    <row r="176" ht="15.75" customHeight="1" s="153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</row>
    <row r="177" ht="15.75" customHeight="1" s="153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</row>
    <row r="178" ht="15.75" customHeight="1" s="153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</row>
    <row r="179" ht="15.75" customHeight="1" s="153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</row>
    <row r="180" ht="15.75" customHeight="1" s="153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</row>
    <row r="181" ht="15.75" customHeight="1" s="153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</row>
    <row r="182" ht="15.75" customHeight="1" s="153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</row>
    <row r="183" ht="15.75" customHeight="1" s="15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</row>
    <row r="184" ht="15.75" customHeight="1" s="153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</row>
    <row r="185" ht="15.75" customHeight="1" s="153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</row>
    <row r="186" ht="15.75" customHeight="1" s="153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</row>
    <row r="187" ht="15.75" customHeight="1" s="153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</row>
    <row r="188" ht="15.75" customHeight="1" s="153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</row>
    <row r="189" ht="15.75" customHeight="1" s="153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</row>
    <row r="190" ht="15.75" customHeight="1" s="153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</row>
    <row r="191" ht="15.75" customHeight="1" s="153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</row>
    <row r="192" ht="15.75" customHeight="1" s="153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</row>
    <row r="193" ht="15.75" customHeight="1" s="15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</row>
    <row r="194" ht="15.75" customHeight="1" s="153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</row>
    <row r="195" ht="15.75" customHeight="1" s="153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</row>
    <row r="196" ht="15.75" customHeight="1" s="153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</row>
    <row r="197" ht="15.75" customHeight="1" s="153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</row>
    <row r="198" ht="15.75" customHeight="1" s="153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</row>
    <row r="199" ht="15.75" customHeight="1" s="153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</row>
    <row r="200" ht="15.75" customHeight="1" s="153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</row>
    <row r="201" ht="15.75" customHeight="1" s="153">
      <c r="A201" s="52" t="n"/>
      <c r="B201" s="52" t="n"/>
      <c r="C201" s="52" t="n"/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</row>
    <row r="202" ht="15.75" customHeight="1" s="153">
      <c r="A202" s="52" t="n"/>
      <c r="B202" s="52" t="n"/>
      <c r="C202" s="52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</row>
    <row r="203" ht="15.75" customHeight="1" s="153">
      <c r="A203" s="52" t="n"/>
      <c r="B203" s="52" t="n"/>
      <c r="C203" s="52" t="n"/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</row>
    <row r="204" ht="15.75" customHeight="1" s="153">
      <c r="A204" s="52" t="n"/>
      <c r="B204" s="52" t="n"/>
      <c r="C204" s="52" t="n"/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</row>
    <row r="205" ht="15.75" customHeight="1" s="153">
      <c r="A205" s="52" t="n"/>
      <c r="B205" s="52" t="n"/>
      <c r="C205" s="52" t="n"/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</row>
    <row r="206" ht="15.75" customHeight="1" s="153">
      <c r="A206" s="52" t="n"/>
      <c r="B206" s="52" t="n"/>
      <c r="C206" s="52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</row>
    <row r="207" ht="15.75" customHeight="1" s="153">
      <c r="A207" s="52" t="n"/>
      <c r="B207" s="52" t="n"/>
      <c r="C207" s="52" t="n"/>
      <c r="D207" s="52" t="n"/>
      <c r="E207" s="52" t="n"/>
      <c r="F207" s="52" t="n"/>
      <c r="G207" s="52" t="n"/>
      <c r="H207" s="52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</row>
    <row r="208" ht="15.75" customHeight="1" s="153">
      <c r="A208" s="52" t="n"/>
      <c r="B208" s="52" t="n"/>
      <c r="C208" s="52" t="n"/>
      <c r="D208" s="52" t="n"/>
      <c r="E208" s="52" t="n"/>
      <c r="F208" s="52" t="n"/>
      <c r="G208" s="52" t="n"/>
      <c r="H208" s="52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</row>
    <row r="209" ht="15.75" customHeight="1" s="153">
      <c r="A209" s="52" t="n"/>
      <c r="B209" s="52" t="n"/>
      <c r="C209" s="52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</row>
    <row r="210" ht="15.75" customHeight="1" s="153">
      <c r="A210" s="52" t="n"/>
      <c r="B210" s="52" t="n"/>
      <c r="C210" s="52" t="n"/>
      <c r="D210" s="52" t="n"/>
      <c r="E210" s="52" t="n"/>
      <c r="F210" s="52" t="n"/>
      <c r="G210" s="52" t="n"/>
      <c r="H210" s="52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</row>
    <row r="211" ht="15.75" customHeight="1" s="153">
      <c r="A211" s="52" t="n"/>
      <c r="B211" s="52" t="n"/>
      <c r="C211" s="52" t="n"/>
      <c r="D211" s="52" t="n"/>
      <c r="E211" s="52" t="n"/>
      <c r="F211" s="52" t="n"/>
      <c r="G211" s="52" t="n"/>
      <c r="H211" s="52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</row>
    <row r="212" ht="15.75" customHeight="1" s="153">
      <c r="A212" s="52" t="n"/>
      <c r="B212" s="52" t="n"/>
      <c r="C212" s="52" t="n"/>
      <c r="D212" s="52" t="n"/>
      <c r="E212" s="52" t="n"/>
      <c r="F212" s="52" t="n"/>
      <c r="G212" s="52" t="n"/>
      <c r="H212" s="52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</row>
    <row r="213" ht="15.75" customHeight="1" s="153">
      <c r="A213" s="52" t="n"/>
      <c r="B213" s="52" t="n"/>
      <c r="C213" s="52" t="n"/>
      <c r="D213" s="52" t="n"/>
      <c r="E213" s="52" t="n"/>
      <c r="F213" s="52" t="n"/>
      <c r="G213" s="52" t="n"/>
      <c r="H213" s="52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</row>
    <row r="214" ht="15.75" customHeight="1" s="153">
      <c r="A214" s="52" t="n"/>
      <c r="B214" s="52" t="n"/>
      <c r="C214" s="52" t="n"/>
      <c r="D214" s="52" t="n"/>
      <c r="E214" s="52" t="n"/>
      <c r="F214" s="52" t="n"/>
      <c r="G214" s="52" t="n"/>
      <c r="H214" s="52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</row>
    <row r="215" ht="15.75" customHeight="1" s="153">
      <c r="A215" s="52" t="n"/>
      <c r="B215" s="52" t="n"/>
      <c r="C215" s="52" t="n"/>
      <c r="D215" s="52" t="n"/>
      <c r="E215" s="52" t="n"/>
      <c r="F215" s="52" t="n"/>
      <c r="G215" s="52" t="n"/>
      <c r="H215" s="52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</row>
    <row r="216" ht="15.75" customHeight="1" s="153">
      <c r="A216" s="52" t="n"/>
      <c r="B216" s="52" t="n"/>
      <c r="C216" s="52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</row>
    <row r="217" ht="15.75" customHeight="1" s="153">
      <c r="A217" s="52" t="n"/>
      <c r="B217" s="52" t="n"/>
      <c r="C217" s="52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</row>
    <row r="218" ht="15.75" customHeight="1" s="153">
      <c r="A218" s="52" t="n"/>
      <c r="B218" s="52" t="n"/>
      <c r="C218" s="52" t="n"/>
      <c r="D218" s="52" t="n"/>
      <c r="E218" s="52" t="n"/>
      <c r="F218" s="52" t="n"/>
      <c r="G218" s="52" t="n"/>
      <c r="H218" s="52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</row>
    <row r="219" ht="15.75" customHeight="1" s="153">
      <c r="A219" s="52" t="n"/>
      <c r="B219" s="52" t="n"/>
      <c r="C219" s="52" t="n"/>
      <c r="D219" s="52" t="n"/>
      <c r="E219" s="52" t="n"/>
      <c r="F219" s="52" t="n"/>
      <c r="G219" s="52" t="n"/>
      <c r="H219" s="52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</row>
    <row r="220" ht="15.75" customHeight="1" s="153">
      <c r="A220" s="52" t="n"/>
      <c r="B220" s="52" t="n"/>
      <c r="C220" s="52" t="n"/>
      <c r="D220" s="52" t="n"/>
      <c r="E220" s="52" t="n"/>
      <c r="F220" s="52" t="n"/>
      <c r="G220" s="52" t="n"/>
      <c r="H220" s="52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</row>
    <row r="221" ht="15.75" customHeight="1" s="153">
      <c r="A221" s="52" t="n"/>
      <c r="B221" s="52" t="n"/>
      <c r="C221" s="52" t="n"/>
      <c r="D221" s="52" t="n"/>
      <c r="E221" s="52" t="n"/>
      <c r="F221" s="52" t="n"/>
      <c r="G221" s="52" t="n"/>
      <c r="H221" s="52" t="n"/>
      <c r="I221" s="52" t="n"/>
      <c r="J221" s="52" t="n"/>
      <c r="K221" s="52" t="n"/>
      <c r="L221" s="52" t="n"/>
      <c r="M221" s="52" t="n"/>
      <c r="N221" s="52" t="n"/>
      <c r="O221" s="52" t="n"/>
      <c r="P221" s="52" t="n"/>
      <c r="Q221" s="52" t="n"/>
      <c r="R221" s="52" t="n"/>
    </row>
    <row r="222" ht="15.75" customHeight="1" s="153">
      <c r="A222" s="52" t="n"/>
      <c r="B222" s="52" t="n"/>
      <c r="C222" s="52" t="n"/>
      <c r="D222" s="52" t="n"/>
      <c r="E222" s="52" t="n"/>
      <c r="F222" s="52" t="n"/>
      <c r="G222" s="52" t="n"/>
      <c r="H222" s="52" t="n"/>
      <c r="I222" s="52" t="n"/>
      <c r="J222" s="52" t="n"/>
      <c r="K222" s="52" t="n"/>
      <c r="L222" s="52" t="n"/>
      <c r="M222" s="52" t="n"/>
      <c r="N222" s="52" t="n"/>
      <c r="O222" s="52" t="n"/>
      <c r="P222" s="52" t="n"/>
      <c r="Q222" s="52" t="n"/>
      <c r="R222" s="52" t="n"/>
    </row>
    <row r="223" ht="15.75" customHeight="1" s="153">
      <c r="A223" s="52" t="n"/>
      <c r="B223" s="52" t="n"/>
      <c r="C223" s="52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2" t="n"/>
      <c r="M223" s="52" t="n"/>
      <c r="N223" s="52" t="n"/>
      <c r="O223" s="52" t="n"/>
      <c r="P223" s="52" t="n"/>
      <c r="Q223" s="52" t="n"/>
      <c r="R223" s="52" t="n"/>
    </row>
    <row r="224" ht="15.75" customHeight="1" s="153">
      <c r="A224" s="52" t="n"/>
      <c r="B224" s="52" t="n"/>
      <c r="C224" s="52" t="n"/>
      <c r="D224" s="52" t="n"/>
      <c r="E224" s="52" t="n"/>
      <c r="F224" s="52" t="n"/>
      <c r="G224" s="52" t="n"/>
      <c r="H224" s="52" t="n"/>
      <c r="I224" s="52" t="n"/>
      <c r="J224" s="52" t="n"/>
      <c r="K224" s="52" t="n"/>
      <c r="L224" s="52" t="n"/>
      <c r="M224" s="52" t="n"/>
      <c r="N224" s="52" t="n"/>
      <c r="O224" s="52" t="n"/>
      <c r="P224" s="52" t="n"/>
      <c r="Q224" s="52" t="n"/>
      <c r="R224" s="52" t="n"/>
    </row>
    <row r="225" ht="15.75" customHeight="1" s="153">
      <c r="A225" s="52" t="n"/>
      <c r="B225" s="52" t="n"/>
      <c r="C225" s="52" t="n"/>
      <c r="D225" s="52" t="n"/>
      <c r="E225" s="52" t="n"/>
      <c r="F225" s="52" t="n"/>
      <c r="G225" s="52" t="n"/>
      <c r="H225" s="52" t="n"/>
      <c r="I225" s="52" t="n"/>
      <c r="J225" s="52" t="n"/>
      <c r="K225" s="52" t="n"/>
      <c r="L225" s="52" t="n"/>
      <c r="M225" s="52" t="n"/>
      <c r="N225" s="52" t="n"/>
      <c r="O225" s="52" t="n"/>
      <c r="P225" s="52" t="n"/>
      <c r="Q225" s="52" t="n"/>
      <c r="R225" s="52" t="n"/>
    </row>
    <row r="226" ht="15.75" customHeight="1" s="153">
      <c r="A226" s="52" t="n"/>
      <c r="B226" s="52" t="n"/>
      <c r="C226" s="52" t="n"/>
      <c r="D226" s="52" t="n"/>
      <c r="E226" s="52" t="n"/>
      <c r="F226" s="52" t="n"/>
      <c r="G226" s="52" t="n"/>
      <c r="H226" s="52" t="n"/>
      <c r="I226" s="52" t="n"/>
      <c r="J226" s="52" t="n"/>
      <c r="K226" s="52" t="n"/>
      <c r="L226" s="52" t="n"/>
      <c r="M226" s="52" t="n"/>
      <c r="N226" s="52" t="n"/>
      <c r="O226" s="52" t="n"/>
      <c r="P226" s="52" t="n"/>
      <c r="Q226" s="52" t="n"/>
      <c r="R226" s="52" t="n"/>
    </row>
    <row r="227" ht="15.75" customHeight="1" s="153">
      <c r="A227" s="52" t="n"/>
      <c r="B227" s="52" t="n"/>
      <c r="C227" s="52" t="n"/>
      <c r="D227" s="52" t="n"/>
      <c r="E227" s="52" t="n"/>
      <c r="F227" s="52" t="n"/>
      <c r="G227" s="52" t="n"/>
      <c r="H227" s="52" t="n"/>
      <c r="I227" s="52" t="n"/>
      <c r="J227" s="52" t="n"/>
      <c r="K227" s="52" t="n"/>
      <c r="L227" s="52" t="n"/>
      <c r="M227" s="52" t="n"/>
      <c r="N227" s="52" t="n"/>
      <c r="O227" s="52" t="n"/>
      <c r="P227" s="52" t="n"/>
      <c r="Q227" s="52" t="n"/>
      <c r="R227" s="52" t="n"/>
    </row>
    <row r="228" ht="15.75" customHeight="1" s="153">
      <c r="A228" s="52" t="n"/>
      <c r="B228" s="52" t="n"/>
      <c r="C228" s="52" t="n"/>
      <c r="D228" s="52" t="n"/>
      <c r="E228" s="52" t="n"/>
      <c r="F228" s="52" t="n"/>
      <c r="G228" s="52" t="n"/>
      <c r="H228" s="52" t="n"/>
      <c r="I228" s="52" t="n"/>
      <c r="J228" s="52" t="n"/>
      <c r="K228" s="52" t="n"/>
      <c r="L228" s="52" t="n"/>
      <c r="M228" s="52" t="n"/>
      <c r="N228" s="52" t="n"/>
      <c r="O228" s="52" t="n"/>
      <c r="P228" s="52" t="n"/>
      <c r="Q228" s="52" t="n"/>
      <c r="R228" s="52" t="n"/>
    </row>
    <row r="229" ht="15.75" customHeight="1" s="153">
      <c r="A229" s="52" t="n"/>
      <c r="B229" s="52" t="n"/>
      <c r="C229" s="52" t="n"/>
      <c r="D229" s="52" t="n"/>
      <c r="E229" s="52" t="n"/>
      <c r="F229" s="52" t="n"/>
      <c r="G229" s="52" t="n"/>
      <c r="H229" s="52" t="n"/>
      <c r="I229" s="52" t="n"/>
      <c r="J229" s="52" t="n"/>
      <c r="K229" s="52" t="n"/>
      <c r="L229" s="52" t="n"/>
      <c r="M229" s="52" t="n"/>
      <c r="N229" s="52" t="n"/>
      <c r="O229" s="52" t="n"/>
      <c r="P229" s="52" t="n"/>
      <c r="Q229" s="52" t="n"/>
      <c r="R229" s="52" t="n"/>
    </row>
    <row r="230" ht="15.75" customHeight="1" s="153">
      <c r="A230" s="52" t="n"/>
      <c r="B230" s="52" t="n"/>
      <c r="C230" s="52" t="n"/>
      <c r="D230" s="52" t="n"/>
      <c r="E230" s="52" t="n"/>
      <c r="F230" s="52" t="n"/>
      <c r="G230" s="52" t="n"/>
      <c r="H230" s="52" t="n"/>
      <c r="I230" s="52" t="n"/>
      <c r="J230" s="52" t="n"/>
      <c r="K230" s="52" t="n"/>
      <c r="L230" s="52" t="n"/>
      <c r="M230" s="52" t="n"/>
      <c r="N230" s="52" t="n"/>
      <c r="O230" s="52" t="n"/>
      <c r="P230" s="52" t="n"/>
      <c r="Q230" s="52" t="n"/>
      <c r="R230" s="52" t="n"/>
    </row>
    <row r="231" ht="15.75" customHeight="1" s="153">
      <c r="A231" s="52" t="n"/>
      <c r="B231" s="52" t="n"/>
      <c r="C231" s="52" t="n"/>
      <c r="D231" s="52" t="n"/>
      <c r="E231" s="52" t="n"/>
      <c r="F231" s="52" t="n"/>
      <c r="G231" s="52" t="n"/>
      <c r="H231" s="52" t="n"/>
      <c r="I231" s="52" t="n"/>
      <c r="J231" s="52" t="n"/>
      <c r="K231" s="52" t="n"/>
      <c r="L231" s="52" t="n"/>
      <c r="M231" s="52" t="n"/>
      <c r="N231" s="52" t="n"/>
      <c r="O231" s="52" t="n"/>
      <c r="P231" s="52" t="n"/>
      <c r="Q231" s="52" t="n"/>
      <c r="R231" s="52" t="n"/>
    </row>
    <row r="232" ht="15.75" customHeight="1" s="153">
      <c r="A232" s="52" t="n"/>
      <c r="B232" s="52" t="n"/>
      <c r="C232" s="52" t="n"/>
      <c r="D232" s="52" t="n"/>
      <c r="E232" s="52" t="n"/>
      <c r="F232" s="52" t="n"/>
      <c r="G232" s="52" t="n"/>
      <c r="H232" s="52" t="n"/>
      <c r="I232" s="52" t="n"/>
      <c r="J232" s="52" t="n"/>
      <c r="K232" s="52" t="n"/>
      <c r="L232" s="52" t="n"/>
      <c r="M232" s="52" t="n"/>
      <c r="N232" s="52" t="n"/>
      <c r="O232" s="52" t="n"/>
      <c r="P232" s="52" t="n"/>
      <c r="Q232" s="52" t="n"/>
      <c r="R232" s="52" t="n"/>
    </row>
    <row r="233" ht="15.75" customHeight="1" s="153">
      <c r="A233" s="52" t="n"/>
      <c r="B233" s="52" t="n"/>
      <c r="C233" s="52" t="n"/>
      <c r="D233" s="52" t="n"/>
      <c r="E233" s="52" t="n"/>
      <c r="F233" s="52" t="n"/>
      <c r="G233" s="52" t="n"/>
      <c r="H233" s="52" t="n"/>
      <c r="I233" s="52" t="n"/>
      <c r="J233" s="52" t="n"/>
      <c r="K233" s="52" t="n"/>
      <c r="L233" s="52" t="n"/>
      <c r="M233" s="52" t="n"/>
      <c r="N233" s="52" t="n"/>
      <c r="O233" s="52" t="n"/>
      <c r="P233" s="52" t="n"/>
      <c r="Q233" s="52" t="n"/>
      <c r="R233" s="52" t="n"/>
    </row>
    <row r="234" ht="15.75" customHeight="1" s="153">
      <c r="A234" s="52" t="n"/>
      <c r="B234" s="52" t="n"/>
      <c r="C234" s="52" t="n"/>
      <c r="D234" s="52" t="n"/>
      <c r="E234" s="52" t="n"/>
      <c r="F234" s="52" t="n"/>
      <c r="G234" s="52" t="n"/>
      <c r="H234" s="52" t="n"/>
      <c r="I234" s="52" t="n"/>
      <c r="J234" s="52" t="n"/>
      <c r="K234" s="52" t="n"/>
      <c r="L234" s="52" t="n"/>
      <c r="M234" s="52" t="n"/>
      <c r="N234" s="52" t="n"/>
      <c r="O234" s="52" t="n"/>
      <c r="P234" s="52" t="n"/>
      <c r="Q234" s="52" t="n"/>
      <c r="R234" s="52" t="n"/>
    </row>
    <row r="235" ht="15.75" customHeight="1" s="153">
      <c r="A235" s="52" t="n"/>
      <c r="B235" s="52" t="n"/>
      <c r="C235" s="52" t="n"/>
      <c r="D235" s="52" t="n"/>
      <c r="E235" s="52" t="n"/>
      <c r="F235" s="52" t="n"/>
      <c r="G235" s="52" t="n"/>
      <c r="H235" s="52" t="n"/>
      <c r="I235" s="52" t="n"/>
      <c r="J235" s="52" t="n"/>
      <c r="K235" s="52" t="n"/>
      <c r="L235" s="52" t="n"/>
      <c r="M235" s="52" t="n"/>
      <c r="N235" s="52" t="n"/>
      <c r="O235" s="52" t="n"/>
      <c r="P235" s="52" t="n"/>
      <c r="Q235" s="52" t="n"/>
      <c r="R235" s="52" t="n"/>
    </row>
    <row r="236" ht="15.75" customHeight="1" s="153">
      <c r="A236" s="52" t="n"/>
      <c r="B236" s="52" t="n"/>
      <c r="C236" s="52" t="n"/>
      <c r="D236" s="52" t="n"/>
      <c r="E236" s="52" t="n"/>
      <c r="F236" s="52" t="n"/>
      <c r="G236" s="52" t="n"/>
      <c r="H236" s="52" t="n"/>
      <c r="I236" s="52" t="n"/>
      <c r="J236" s="52" t="n"/>
      <c r="K236" s="52" t="n"/>
      <c r="L236" s="52" t="n"/>
      <c r="M236" s="52" t="n"/>
      <c r="N236" s="52" t="n"/>
      <c r="O236" s="52" t="n"/>
      <c r="P236" s="52" t="n"/>
      <c r="Q236" s="52" t="n"/>
      <c r="R236" s="52" t="n"/>
    </row>
    <row r="237" ht="15.75" customHeight="1" s="153">
      <c r="A237" s="52" t="n"/>
      <c r="B237" s="52" t="n"/>
      <c r="C237" s="52" t="n"/>
      <c r="D237" s="52" t="n"/>
      <c r="E237" s="52" t="n"/>
      <c r="F237" s="52" t="n"/>
      <c r="G237" s="52" t="n"/>
      <c r="H237" s="52" t="n"/>
      <c r="I237" s="52" t="n"/>
      <c r="J237" s="52" t="n"/>
      <c r="K237" s="52" t="n"/>
      <c r="L237" s="52" t="n"/>
      <c r="M237" s="52" t="n"/>
      <c r="N237" s="52" t="n"/>
      <c r="O237" s="52" t="n"/>
      <c r="P237" s="52" t="n"/>
      <c r="Q237" s="52" t="n"/>
      <c r="R237" s="52" t="n"/>
    </row>
    <row r="238" ht="15.75" customHeight="1" s="153">
      <c r="A238" s="52" t="n"/>
      <c r="B238" s="52" t="n"/>
      <c r="C238" s="52" t="n"/>
      <c r="D238" s="52" t="n"/>
      <c r="E238" s="52" t="n"/>
      <c r="F238" s="52" t="n"/>
      <c r="G238" s="52" t="n"/>
      <c r="H238" s="52" t="n"/>
      <c r="I238" s="52" t="n"/>
      <c r="J238" s="52" t="n"/>
      <c r="K238" s="52" t="n"/>
      <c r="L238" s="52" t="n"/>
      <c r="M238" s="52" t="n"/>
      <c r="N238" s="52" t="n"/>
      <c r="O238" s="52" t="n"/>
      <c r="P238" s="52" t="n"/>
      <c r="Q238" s="52" t="n"/>
      <c r="R238" s="52" t="n"/>
    </row>
    <row r="239" ht="15.75" customHeight="1" s="153">
      <c r="A239" s="52" t="n"/>
      <c r="B239" s="52" t="n"/>
      <c r="C239" s="52" t="n"/>
      <c r="D239" s="52" t="n"/>
      <c r="E239" s="52" t="n"/>
      <c r="F239" s="52" t="n"/>
      <c r="G239" s="52" t="n"/>
      <c r="H239" s="52" t="n"/>
      <c r="I239" s="52" t="n"/>
      <c r="J239" s="52" t="n"/>
      <c r="K239" s="52" t="n"/>
      <c r="L239" s="52" t="n"/>
      <c r="M239" s="52" t="n"/>
      <c r="N239" s="52" t="n"/>
      <c r="O239" s="52" t="n"/>
      <c r="P239" s="52" t="n"/>
      <c r="Q239" s="52" t="n"/>
      <c r="R239" s="52" t="n"/>
    </row>
    <row r="240" ht="15.75" customHeight="1" s="153">
      <c r="A240" s="52" t="n"/>
      <c r="B240" s="52" t="n"/>
      <c r="C240" s="52" t="n"/>
      <c r="D240" s="52" t="n"/>
      <c r="E240" s="52" t="n"/>
      <c r="F240" s="52" t="n"/>
      <c r="G240" s="52" t="n"/>
      <c r="H240" s="52" t="n"/>
      <c r="I240" s="52" t="n"/>
      <c r="J240" s="52" t="n"/>
      <c r="K240" s="52" t="n"/>
      <c r="L240" s="52" t="n"/>
      <c r="M240" s="52" t="n"/>
      <c r="N240" s="52" t="n"/>
      <c r="O240" s="52" t="n"/>
      <c r="P240" s="52" t="n"/>
      <c r="Q240" s="52" t="n"/>
      <c r="R240" s="52" t="n"/>
    </row>
    <row r="241" ht="15.75" customHeight="1" s="153">
      <c r="A241" s="52" t="n"/>
      <c r="B241" s="52" t="n"/>
      <c r="C241" s="52" t="n"/>
      <c r="D241" s="52" t="n"/>
      <c r="E241" s="52" t="n"/>
      <c r="F241" s="52" t="n"/>
      <c r="G241" s="52" t="n"/>
      <c r="H241" s="52" t="n"/>
      <c r="I241" s="52" t="n"/>
      <c r="J241" s="52" t="n"/>
      <c r="K241" s="52" t="n"/>
      <c r="L241" s="52" t="n"/>
      <c r="M241" s="52" t="n"/>
      <c r="N241" s="52" t="n"/>
      <c r="O241" s="52" t="n"/>
      <c r="P241" s="52" t="n"/>
      <c r="Q241" s="52" t="n"/>
      <c r="R241" s="52" t="n"/>
    </row>
    <row r="242" ht="15.75" customHeight="1" s="153">
      <c r="A242" s="52" t="n"/>
      <c r="B242" s="52" t="n"/>
      <c r="C242" s="52" t="n"/>
      <c r="D242" s="52" t="n"/>
      <c r="E242" s="52" t="n"/>
      <c r="F242" s="52" t="n"/>
      <c r="G242" s="52" t="n"/>
      <c r="H242" s="52" t="n"/>
      <c r="I242" s="52" t="n"/>
      <c r="J242" s="52" t="n"/>
      <c r="K242" s="52" t="n"/>
      <c r="L242" s="52" t="n"/>
      <c r="M242" s="52" t="n"/>
      <c r="N242" s="52" t="n"/>
      <c r="O242" s="52" t="n"/>
      <c r="P242" s="52" t="n"/>
      <c r="Q242" s="52" t="n"/>
      <c r="R242" s="52" t="n"/>
    </row>
    <row r="243" ht="15.75" customHeight="1" s="153">
      <c r="A243" s="52" t="n"/>
      <c r="B243" s="52" t="n"/>
      <c r="C243" s="52" t="n"/>
      <c r="D243" s="52" t="n"/>
      <c r="E243" s="52" t="n"/>
      <c r="F243" s="52" t="n"/>
      <c r="G243" s="52" t="n"/>
      <c r="H243" s="52" t="n"/>
      <c r="I243" s="52" t="n"/>
      <c r="J243" s="52" t="n"/>
      <c r="K243" s="52" t="n"/>
      <c r="L243" s="52" t="n"/>
      <c r="M243" s="52" t="n"/>
      <c r="N243" s="52" t="n"/>
      <c r="O243" s="52" t="n"/>
      <c r="P243" s="52" t="n"/>
      <c r="Q243" s="52" t="n"/>
      <c r="R243" s="52" t="n"/>
    </row>
    <row r="244" ht="15.75" customHeight="1" s="153">
      <c r="A244" s="52" t="n"/>
      <c r="B244" s="52" t="n"/>
      <c r="C244" s="52" t="n"/>
      <c r="D244" s="52" t="n"/>
      <c r="E244" s="52" t="n"/>
      <c r="F244" s="52" t="n"/>
      <c r="G244" s="52" t="n"/>
      <c r="H244" s="52" t="n"/>
      <c r="I244" s="52" t="n"/>
      <c r="J244" s="52" t="n"/>
      <c r="K244" s="52" t="n"/>
      <c r="L244" s="52" t="n"/>
      <c r="M244" s="52" t="n"/>
      <c r="N244" s="52" t="n"/>
      <c r="O244" s="52" t="n"/>
      <c r="P244" s="52" t="n"/>
      <c r="Q244" s="52" t="n"/>
      <c r="R244" s="52" t="n"/>
    </row>
    <row r="245" ht="15.75" customHeight="1" s="153">
      <c r="A245" s="52" t="n"/>
      <c r="B245" s="52" t="n"/>
      <c r="C245" s="52" t="n"/>
      <c r="D245" s="52" t="n"/>
      <c r="E245" s="52" t="n"/>
      <c r="F245" s="52" t="n"/>
      <c r="G245" s="52" t="n"/>
      <c r="H245" s="52" t="n"/>
      <c r="I245" s="52" t="n"/>
      <c r="J245" s="52" t="n"/>
      <c r="K245" s="52" t="n"/>
      <c r="L245" s="52" t="n"/>
      <c r="M245" s="52" t="n"/>
      <c r="N245" s="52" t="n"/>
      <c r="O245" s="52" t="n"/>
      <c r="P245" s="52" t="n"/>
      <c r="Q245" s="52" t="n"/>
      <c r="R245" s="52" t="n"/>
    </row>
    <row r="246" ht="15.75" customHeight="1" s="153">
      <c r="A246" s="52" t="n"/>
      <c r="B246" s="52" t="n"/>
      <c r="C246" s="52" t="n"/>
      <c r="D246" s="52" t="n"/>
      <c r="E246" s="52" t="n"/>
      <c r="F246" s="52" t="n"/>
      <c r="G246" s="52" t="n"/>
      <c r="H246" s="52" t="n"/>
      <c r="I246" s="52" t="n"/>
      <c r="J246" s="52" t="n"/>
      <c r="K246" s="52" t="n"/>
      <c r="L246" s="52" t="n"/>
      <c r="M246" s="52" t="n"/>
      <c r="N246" s="52" t="n"/>
      <c r="O246" s="52" t="n"/>
      <c r="P246" s="52" t="n"/>
      <c r="Q246" s="52" t="n"/>
      <c r="R246" s="52" t="n"/>
    </row>
    <row r="247" ht="15.75" customHeight="1" s="153">
      <c r="A247" s="52" t="n"/>
      <c r="B247" s="52" t="n"/>
      <c r="C247" s="52" t="n"/>
      <c r="D247" s="52" t="n"/>
      <c r="E247" s="52" t="n"/>
      <c r="F247" s="52" t="n"/>
      <c r="G247" s="52" t="n"/>
      <c r="H247" s="52" t="n"/>
      <c r="I247" s="52" t="n"/>
      <c r="J247" s="52" t="n"/>
      <c r="K247" s="52" t="n"/>
      <c r="L247" s="52" t="n"/>
      <c r="M247" s="52" t="n"/>
      <c r="N247" s="52" t="n"/>
      <c r="O247" s="52" t="n"/>
      <c r="P247" s="52" t="n"/>
      <c r="Q247" s="52" t="n"/>
      <c r="R247" s="52" t="n"/>
    </row>
    <row r="248" ht="15.75" customHeight="1" s="153">
      <c r="A248" s="52" t="n"/>
      <c r="B248" s="52" t="n"/>
      <c r="C248" s="52" t="n"/>
      <c r="D248" s="52" t="n"/>
      <c r="E248" s="52" t="n"/>
      <c r="F248" s="52" t="n"/>
      <c r="G248" s="52" t="n"/>
      <c r="H248" s="52" t="n"/>
      <c r="I248" s="52" t="n"/>
      <c r="J248" s="52" t="n"/>
      <c r="K248" s="52" t="n"/>
      <c r="L248" s="52" t="n"/>
      <c r="M248" s="52" t="n"/>
      <c r="N248" s="52" t="n"/>
      <c r="O248" s="52" t="n"/>
      <c r="P248" s="52" t="n"/>
      <c r="Q248" s="52" t="n"/>
      <c r="R248" s="52" t="n"/>
    </row>
    <row r="249" ht="15.75" customHeight="1" s="153">
      <c r="A249" s="52" t="n"/>
      <c r="B249" s="52" t="n"/>
      <c r="C249" s="52" t="n"/>
      <c r="D249" s="52" t="n"/>
      <c r="E249" s="52" t="n"/>
      <c r="F249" s="52" t="n"/>
      <c r="G249" s="52" t="n"/>
      <c r="H249" s="52" t="n"/>
      <c r="I249" s="52" t="n"/>
      <c r="J249" s="52" t="n"/>
      <c r="K249" s="52" t="n"/>
      <c r="L249" s="52" t="n"/>
      <c r="M249" s="52" t="n"/>
      <c r="N249" s="52" t="n"/>
      <c r="O249" s="52" t="n"/>
      <c r="P249" s="52" t="n"/>
      <c r="Q249" s="52" t="n"/>
      <c r="R249" s="52" t="n"/>
    </row>
    <row r="250" ht="15.75" customHeight="1" s="153">
      <c r="A250" s="52" t="n"/>
      <c r="B250" s="52" t="n"/>
      <c r="C250" s="52" t="n"/>
      <c r="D250" s="52" t="n"/>
      <c r="E250" s="52" t="n"/>
      <c r="F250" s="52" t="n"/>
      <c r="G250" s="52" t="n"/>
      <c r="H250" s="52" t="n"/>
      <c r="I250" s="52" t="n"/>
      <c r="J250" s="52" t="n"/>
      <c r="K250" s="52" t="n"/>
      <c r="L250" s="52" t="n"/>
      <c r="M250" s="52" t="n"/>
      <c r="N250" s="52" t="n"/>
      <c r="O250" s="52" t="n"/>
      <c r="P250" s="52" t="n"/>
      <c r="Q250" s="52" t="n"/>
      <c r="R250" s="52" t="n"/>
    </row>
    <row r="251" ht="15.75" customHeight="1" s="153">
      <c r="A251" s="52" t="n"/>
      <c r="B251" s="52" t="n"/>
      <c r="C251" s="52" t="n"/>
      <c r="D251" s="52" t="n"/>
      <c r="E251" s="52" t="n"/>
      <c r="F251" s="52" t="n"/>
      <c r="G251" s="52" t="n"/>
      <c r="H251" s="52" t="n"/>
      <c r="I251" s="52" t="n"/>
      <c r="J251" s="52" t="n"/>
      <c r="K251" s="52" t="n"/>
      <c r="L251" s="52" t="n"/>
      <c r="M251" s="52" t="n"/>
      <c r="N251" s="52" t="n"/>
      <c r="O251" s="52" t="n"/>
      <c r="P251" s="52" t="n"/>
      <c r="Q251" s="52" t="n"/>
      <c r="R251" s="52" t="n"/>
    </row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2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5" customWidth="1" style="153" min="1" max="1"/>
    <col width="16" customWidth="1" style="153" min="2" max="3"/>
    <col width="11" customWidth="1" style="153" min="4" max="5"/>
    <col width="9" customWidth="1" style="153" min="6" max="6"/>
    <col width="10" customWidth="1" style="153" min="7" max="7"/>
    <col width="18" customWidth="1" style="153" min="8" max="8"/>
    <col width="20" customWidth="1" style="153" min="9" max="9"/>
  </cols>
  <sheetData>
    <row r="1">
      <c r="A1" s="147" t="inlineStr">
        <is>
          <t>IN-PLAY — live match score + elapsed (from /live_state.json:in_play[])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</row>
    <row r="2">
      <c r="A2" s="148" t="inlineStr">
        <is>
          <t>Last refresh (UTC)</t>
        </is>
      </c>
      <c r="B2" s="151" t="n">
        <v>46206.43025789352</v>
      </c>
      <c r="C2" s="52" t="n"/>
      <c r="D2" s="52" t="n"/>
      <c r="E2" s="52" t="n"/>
      <c r="F2" s="52" t="n"/>
      <c r="G2" s="52" t="n"/>
      <c r="H2" s="52" t="n"/>
      <c r="I2" s="52" t="n"/>
    </row>
    <row r="3">
      <c r="A3" s="149" t="inlineStr">
        <is>
          <t>#m</t>
        </is>
      </c>
      <c r="B3" s="149" t="inlineStr">
        <is>
          <t>Home</t>
        </is>
      </c>
      <c r="C3" s="149" t="inlineStr">
        <is>
          <t>Away</t>
        </is>
      </c>
      <c r="D3" s="149" t="inlineStr">
        <is>
          <t>Home score</t>
        </is>
      </c>
      <c r="E3" s="149" t="inlineStr">
        <is>
          <t>Away score</t>
        </is>
      </c>
      <c r="F3" s="149" t="inlineStr">
        <is>
          <t>Elapsed</t>
        </is>
      </c>
      <c r="G3" s="149" t="inlineStr">
        <is>
          <t>Status</t>
        </is>
      </c>
      <c r="H3" s="149" t="inlineStr">
        <is>
          <t>Status (long)</t>
        </is>
      </c>
      <c r="I3" s="149" t="inlineStr">
        <is>
          <t>Pulled at</t>
        </is>
      </c>
    </row>
    <row r="4">
      <c r="A4" s="150" t="inlineStr">
        <is>
          <t>(no matches in play right now)</t>
        </is>
      </c>
      <c r="B4" s="52" t="n"/>
      <c r="C4" s="52" t="n"/>
      <c r="D4" s="52" t="n"/>
      <c r="E4" s="52" t="n"/>
      <c r="F4" s="52" t="n"/>
      <c r="G4" s="52" t="n"/>
      <c r="H4" s="52" t="n"/>
      <c r="I4" s="151" t="n"/>
    </row>
    <row r="5">
      <c r="A5" s="52" t="n"/>
      <c r="B5" s="52" t="n"/>
      <c r="C5" s="52" t="n"/>
      <c r="D5" s="52" t="n"/>
      <c r="E5" s="52" t="n"/>
      <c r="F5" s="52" t="n"/>
      <c r="G5" s="52" t="n"/>
      <c r="H5" s="52" t="n"/>
      <c r="I5" s="152" t="n"/>
    </row>
    <row r="6">
      <c r="A6" s="52" t="n"/>
      <c r="B6" s="52" t="n"/>
      <c r="C6" s="52" t="n"/>
      <c r="D6" s="52" t="n"/>
      <c r="E6" s="52" t="n"/>
      <c r="F6" s="52" t="n"/>
      <c r="G6" s="52" t="n"/>
      <c r="H6" s="52" t="n"/>
      <c r="I6" s="52" t="n"/>
    </row>
    <row r="7">
      <c r="A7" s="52" t="n"/>
      <c r="B7" s="52" t="n"/>
      <c r="C7" s="52" t="n"/>
      <c r="D7" s="52" t="n"/>
      <c r="E7" s="52" t="n"/>
      <c r="F7" s="52" t="n"/>
      <c r="G7" s="52" t="n"/>
      <c r="H7" s="52" t="n"/>
      <c r="I7" s="52" t="n"/>
    </row>
    <row r="8">
      <c r="A8" s="52" t="n"/>
      <c r="B8" s="52" t="n"/>
      <c r="C8" s="52" t="n"/>
      <c r="D8" s="52" t="n"/>
      <c r="E8" s="52" t="n"/>
      <c r="F8" s="52" t="n"/>
      <c r="G8" s="52" t="n"/>
      <c r="H8" s="52" t="n"/>
      <c r="I8" s="52" t="n"/>
    </row>
    <row r="9">
      <c r="A9" s="52" t="n"/>
      <c r="B9" s="52" t="n"/>
      <c r="C9" s="52" t="n"/>
      <c r="D9" s="52" t="n"/>
      <c r="E9" s="52" t="n"/>
      <c r="F9" s="52" t="n"/>
      <c r="G9" s="52" t="n"/>
      <c r="H9" s="52" t="n"/>
      <c r="I9" s="52" t="n"/>
    </row>
    <row r="10">
      <c r="A10" s="52" t="n"/>
      <c r="B10" s="52" t="n"/>
      <c r="C10" s="52" t="n"/>
      <c r="D10" s="52" t="n"/>
      <c r="E10" s="52" t="n"/>
      <c r="F10" s="52" t="n"/>
      <c r="G10" s="52" t="n"/>
      <c r="H10" s="52" t="n"/>
      <c r="I10" s="52" t="n"/>
    </row>
    <row r="11">
      <c r="A11" s="52" t="n"/>
      <c r="B11" s="52" t="n"/>
      <c r="C11" s="52" t="n"/>
      <c r="D11" s="52" t="n"/>
      <c r="E11" s="52" t="n"/>
      <c r="F11" s="52" t="n"/>
      <c r="G11" s="52" t="n"/>
      <c r="H11" s="52" t="n"/>
      <c r="I11" s="52" t="n"/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</row>
    <row r="21" ht="15.75" customHeight="1" s="153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</row>
    <row r="22" ht="15.75" customHeight="1" s="153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</row>
    <row r="23" ht="15.75" customHeight="1" s="15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</row>
    <row r="24" ht="15.75" customHeight="1" s="153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</row>
    <row r="25" ht="15.75" customHeight="1" s="153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</row>
    <row r="26" ht="15.75" customHeight="1" s="153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</row>
    <row r="27" ht="15.75" customHeight="1" s="153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</row>
    <row r="28" ht="15.75" customHeight="1" s="153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</row>
    <row r="29" ht="15.75" customHeight="1" s="153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</row>
    <row r="30" ht="15.75" customHeight="1" s="153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</row>
    <row r="31" ht="15.75" customHeight="1" s="153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</row>
    <row r="32" ht="15.75" customHeight="1" s="153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</row>
    <row r="33" ht="15.75" customHeight="1" s="15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</row>
    <row r="34" ht="15.75" customHeight="1" s="153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</row>
    <row r="35" ht="15.75" customHeight="1" s="153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</row>
    <row r="36" ht="15.75" customHeight="1" s="153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</row>
    <row r="37" ht="15.75" customHeight="1" s="153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</row>
    <row r="38" ht="15.75" customHeight="1" s="153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</row>
    <row r="39" ht="15.75" customHeight="1" s="153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</row>
    <row r="40" ht="15.75" customHeight="1" s="153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</row>
    <row r="41" ht="15.75" customHeight="1" s="153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</row>
    <row r="42" ht="15.75" customHeight="1" s="153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</row>
    <row r="43" ht="15.75" customHeight="1" s="15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</row>
    <row r="44" ht="15.75" customHeight="1" s="153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</row>
    <row r="45" ht="15.75" customHeight="1" s="153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</row>
    <row r="46" ht="15.75" customHeight="1" s="153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</row>
    <row r="47" ht="15.75" customHeight="1" s="153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</row>
    <row r="48" ht="15.75" customHeight="1" s="153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</row>
    <row r="49" ht="15.75" customHeight="1" s="153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</row>
    <row r="50" ht="15.75" customHeight="1" s="153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</row>
    <row r="51" ht="15.75" customHeight="1" s="153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</row>
    <row r="52" ht="15.75" customHeight="1" s="153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</row>
    <row r="53" ht="15.75" customHeight="1" s="1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</row>
    <row r="54" ht="15.75" customHeight="1" s="153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</row>
    <row r="55" ht="15.75" customHeight="1" s="153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</row>
    <row r="56" ht="15.75" customHeight="1" s="153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</row>
    <row r="57" ht="15.75" customHeight="1" s="153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</row>
    <row r="58" ht="15.75" customHeight="1" s="153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</row>
    <row r="59" ht="15.75" customHeight="1" s="153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</row>
    <row r="60" ht="15.75" customHeight="1" s="153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</row>
    <row r="61" ht="15.75" customHeight="1" s="153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</row>
    <row r="62" ht="15.75" customHeight="1" s="153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</row>
    <row r="63" ht="15.75" customHeight="1" s="15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</row>
    <row r="64" ht="15.75" customHeight="1" s="153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</row>
    <row r="65" ht="15.75" customHeight="1" s="153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</row>
    <row r="66" ht="15.75" customHeight="1" s="153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</row>
    <row r="67" ht="15.75" customHeight="1" s="153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</row>
    <row r="68" ht="15.75" customHeight="1" s="153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</row>
    <row r="69" ht="15.75" customHeight="1" s="153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</row>
    <row r="70" ht="15.75" customHeight="1" s="153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</row>
    <row r="71" ht="15.75" customHeight="1" s="153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</row>
    <row r="72" ht="15.75" customHeight="1" s="153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</row>
    <row r="73" ht="15.75" customHeight="1" s="15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</row>
    <row r="74" ht="15.75" customHeight="1" s="153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</row>
    <row r="75" ht="15.75" customHeight="1" s="153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</row>
    <row r="76" ht="15.75" customHeight="1" s="153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</row>
    <row r="77" ht="15.75" customHeight="1" s="153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</row>
    <row r="78" ht="15.75" customHeight="1" s="153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</row>
    <row r="79" ht="15.75" customHeight="1" s="153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</row>
    <row r="80" ht="15.75" customHeight="1" s="153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</row>
    <row r="81" ht="15.75" customHeight="1" s="153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</row>
    <row r="82" ht="15.75" customHeight="1" s="153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</row>
    <row r="83" ht="15.75" customHeight="1" s="15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</row>
    <row r="84" ht="15.75" customHeight="1" s="153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</row>
    <row r="85" ht="15.75" customHeight="1" s="153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</row>
    <row r="86" ht="15.75" customHeight="1" s="153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</row>
    <row r="87" ht="15.75" customHeight="1" s="153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</row>
    <row r="88" ht="15.75" customHeight="1" s="153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</row>
    <row r="89" ht="15.75" customHeight="1" s="153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</row>
    <row r="90" ht="15.75" customHeight="1" s="153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</row>
    <row r="91" ht="15.75" customHeight="1" s="153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</row>
    <row r="92" ht="15.75" customHeight="1" s="153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</row>
    <row r="93" ht="15.75" customHeight="1" s="15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</row>
    <row r="94" ht="15.75" customHeight="1" s="153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</row>
    <row r="95" ht="15.75" customHeight="1" s="153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</row>
    <row r="96" ht="15.75" customHeight="1" s="153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</row>
    <row r="97" ht="15.75" customHeight="1" s="153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</row>
    <row r="98" ht="15.75" customHeight="1" s="153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</row>
    <row r="99" ht="15.75" customHeight="1" s="153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</row>
    <row r="100" ht="15.75" customHeight="1" s="153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</row>
    <row r="101" ht="15.75" customHeight="1" s="153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</row>
    <row r="102" ht="15.75" customHeight="1" s="153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</row>
    <row r="103" ht="15.75" customHeight="1" s="15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</row>
    <row r="104" ht="15.75" customHeight="1" s="153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</row>
    <row r="105" ht="15.75" customHeight="1" s="153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</row>
    <row r="106" ht="15.75" customHeight="1" s="153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</row>
    <row r="107" ht="15.75" customHeight="1" s="153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</row>
    <row r="108" ht="15.75" customHeight="1" s="153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</row>
    <row r="109" ht="15.75" customHeight="1" s="153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</row>
    <row r="110" ht="15.75" customHeight="1" s="153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</row>
    <row r="111" ht="15.75" customHeight="1" s="153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</row>
    <row r="112" ht="15.75" customHeight="1" s="153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</row>
    <row r="113" ht="15.75" customHeight="1" s="15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</row>
    <row r="114" ht="15.75" customHeight="1" s="153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</row>
    <row r="115" ht="15.75" customHeight="1" s="153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</row>
    <row r="116" ht="15.75" customHeight="1" s="153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</row>
    <row r="117" ht="15.75" customHeight="1" s="153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</row>
    <row r="118" ht="15.75" customHeight="1" s="153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</row>
    <row r="119" ht="15.75" customHeight="1" s="153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</row>
    <row r="120" ht="15.75" customHeight="1" s="153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</row>
    <row r="121" ht="15.75" customHeight="1" s="153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</row>
    <row r="122" ht="15.75" customHeight="1" s="153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</row>
    <row r="123" ht="15.75" customHeight="1" s="15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</row>
    <row r="124" ht="15.75" customHeight="1" s="153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</row>
    <row r="125" ht="15.75" customHeight="1" s="153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</row>
    <row r="126" ht="15.75" customHeight="1" s="153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</row>
    <row r="127" ht="15.75" customHeight="1" s="153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</row>
    <row r="128" ht="15.75" customHeight="1" s="153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</row>
    <row r="129" ht="15.75" customHeight="1" s="153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</row>
    <row r="130" ht="15.75" customHeight="1" s="153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</row>
    <row r="131" ht="15.75" customHeight="1" s="153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</row>
    <row r="132" ht="15.75" customHeight="1" s="153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</row>
    <row r="133" ht="15.75" customHeight="1" s="15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</row>
    <row r="134" ht="15.75" customHeight="1" s="153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</row>
    <row r="135" ht="15.75" customHeight="1" s="153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</row>
    <row r="136" ht="15.75" customHeight="1" s="153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</row>
    <row r="137" ht="15.75" customHeight="1" s="153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</row>
    <row r="138" ht="15.75" customHeight="1" s="153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</row>
    <row r="139" ht="15.75" customHeight="1" s="153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</row>
    <row r="140" ht="15.75" customHeight="1" s="153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</row>
    <row r="141" ht="15.75" customHeight="1" s="153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</row>
    <row r="142" ht="15.75" customHeight="1" s="153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</row>
    <row r="143" ht="15.75" customHeight="1" s="15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</row>
    <row r="144" ht="15.75" customHeight="1" s="153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</row>
    <row r="145" ht="15.75" customHeight="1" s="153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</row>
    <row r="146" ht="15.75" customHeight="1" s="153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</row>
    <row r="147" ht="15.75" customHeight="1" s="153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</row>
    <row r="148" ht="15.75" customHeight="1" s="153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</row>
    <row r="149" ht="15.75" customHeight="1" s="153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</row>
    <row r="150" ht="15.75" customHeight="1" s="153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</row>
    <row r="151" ht="15.75" customHeight="1" s="153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</row>
    <row r="152" ht="15.75" customHeight="1" s="153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</row>
    <row r="153" ht="15.75" customHeight="1" s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</row>
    <row r="154" ht="15.75" customHeight="1" s="153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</row>
    <row r="155" ht="15.75" customHeight="1" s="153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</row>
    <row r="156" ht="15.75" customHeight="1" s="153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</row>
    <row r="157" ht="15.75" customHeight="1" s="153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</row>
    <row r="158" ht="15.75" customHeight="1" s="153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</row>
    <row r="159" ht="15.75" customHeight="1" s="153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</row>
    <row r="160" ht="15.75" customHeight="1" s="153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</row>
    <row r="161" ht="15.75" customHeight="1" s="153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</row>
    <row r="162" ht="15.75" customHeight="1" s="153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</row>
    <row r="163" ht="15.75" customHeight="1" s="15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</row>
    <row r="164" ht="15.75" customHeight="1" s="153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</row>
    <row r="165" ht="15.75" customHeight="1" s="153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</row>
    <row r="166" ht="15.75" customHeight="1" s="153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</row>
    <row r="167" ht="15.75" customHeight="1" s="153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</row>
    <row r="168" ht="15.75" customHeight="1" s="153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</row>
    <row r="169" ht="15.75" customHeight="1" s="153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</row>
    <row r="170" ht="15.75" customHeight="1" s="153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</row>
    <row r="171" ht="15.75" customHeight="1" s="153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</row>
    <row r="172" ht="15.75" customHeight="1" s="153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</row>
    <row r="173" ht="15.75" customHeight="1" s="15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</row>
    <row r="174" ht="15.75" customHeight="1" s="153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</row>
    <row r="175" ht="15.75" customHeight="1" s="153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</row>
    <row r="176" ht="15.75" customHeight="1" s="153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</row>
    <row r="177" ht="15.75" customHeight="1" s="153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</row>
    <row r="178" ht="15.75" customHeight="1" s="153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</row>
    <row r="179" ht="15.75" customHeight="1" s="153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</row>
    <row r="180" ht="15.75" customHeight="1" s="153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</row>
    <row r="181" ht="15.75" customHeight="1" s="153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</row>
    <row r="182" ht="15.75" customHeight="1" s="153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</row>
    <row r="183" ht="15.75" customHeight="1" s="15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</row>
    <row r="184" ht="15.75" customHeight="1" s="153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</row>
    <row r="185" ht="15.75" customHeight="1" s="153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</row>
    <row r="186" ht="15.75" customHeight="1" s="153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</row>
    <row r="187" ht="15.75" customHeight="1" s="153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</row>
    <row r="188" ht="15.75" customHeight="1" s="153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</row>
    <row r="189" ht="15.75" customHeight="1" s="153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</row>
    <row r="190" ht="15.75" customHeight="1" s="153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</row>
    <row r="191" ht="15.75" customHeight="1" s="153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</row>
    <row r="192" ht="15.75" customHeight="1" s="153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</row>
    <row r="193" ht="15.75" customHeight="1" s="15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</row>
    <row r="194" ht="15.75" customHeight="1" s="153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</row>
    <row r="195" ht="15.75" customHeight="1" s="153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</row>
    <row r="196" ht="15.75" customHeight="1" s="153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</row>
    <row r="197" ht="15.75" customHeight="1" s="153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</row>
    <row r="198" ht="15.75" customHeight="1" s="153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</row>
    <row r="199" ht="15.75" customHeight="1" s="153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</row>
    <row r="200" ht="15.75" customHeight="1" s="153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</row>
    <row r="201" ht="15.75" customHeight="1" s="153">
      <c r="A201" s="52" t="n"/>
      <c r="B201" s="52" t="n"/>
      <c r="C201" s="52" t="n"/>
      <c r="D201" s="52" t="n"/>
      <c r="E201" s="52" t="n"/>
      <c r="F201" s="52" t="n"/>
      <c r="G201" s="52" t="n"/>
      <c r="H201" s="52" t="n"/>
      <c r="I201" s="52" t="n"/>
    </row>
    <row r="202" ht="15.75" customHeight="1" s="153">
      <c r="A202" s="52" t="n"/>
      <c r="B202" s="52" t="n"/>
      <c r="C202" s="52" t="n"/>
      <c r="D202" s="52" t="n"/>
      <c r="E202" s="52" t="n"/>
      <c r="F202" s="52" t="n"/>
      <c r="G202" s="52" t="n"/>
      <c r="H202" s="52" t="n"/>
      <c r="I202" s="52" t="n"/>
    </row>
    <row r="203" ht="15.75" customHeight="1" s="153">
      <c r="A203" s="52" t="n"/>
      <c r="B203" s="52" t="n"/>
      <c r="C203" s="52" t="n"/>
      <c r="D203" s="52" t="n"/>
      <c r="E203" s="52" t="n"/>
      <c r="F203" s="52" t="n"/>
      <c r="G203" s="52" t="n"/>
      <c r="H203" s="52" t="n"/>
      <c r="I203" s="52" t="n"/>
    </row>
    <row r="204" ht="15.75" customHeight="1" s="153">
      <c r="A204" s="52" t="n"/>
      <c r="B204" s="52" t="n"/>
      <c r="C204" s="52" t="n"/>
      <c r="D204" s="52" t="n"/>
      <c r="E204" s="52" t="n"/>
      <c r="F204" s="52" t="n"/>
      <c r="G204" s="52" t="n"/>
      <c r="H204" s="52" t="n"/>
      <c r="I204" s="52" t="n"/>
    </row>
    <row r="205" ht="15.75" customHeight="1" s="153">
      <c r="A205" s="52" t="n"/>
      <c r="B205" s="52" t="n"/>
      <c r="C205" s="52" t="n"/>
      <c r="D205" s="52" t="n"/>
      <c r="E205" s="52" t="n"/>
      <c r="F205" s="52" t="n"/>
      <c r="G205" s="52" t="n"/>
      <c r="H205" s="52" t="n"/>
      <c r="I205" s="52" t="n"/>
    </row>
    <row r="206" ht="15.75" customHeight="1" s="153">
      <c r="A206" s="52" t="n"/>
      <c r="B206" s="52" t="n"/>
      <c r="C206" s="52" t="n"/>
      <c r="D206" s="52" t="n"/>
      <c r="E206" s="52" t="n"/>
      <c r="F206" s="52" t="n"/>
      <c r="G206" s="52" t="n"/>
      <c r="H206" s="52" t="n"/>
      <c r="I206" s="52" t="n"/>
    </row>
    <row r="207" ht="15.75" customHeight="1" s="153">
      <c r="A207" s="52" t="n"/>
      <c r="B207" s="52" t="n"/>
      <c r="C207" s="52" t="n"/>
      <c r="D207" s="52" t="n"/>
      <c r="E207" s="52" t="n"/>
      <c r="F207" s="52" t="n"/>
      <c r="G207" s="52" t="n"/>
      <c r="H207" s="52" t="n"/>
      <c r="I207" s="52" t="n"/>
    </row>
    <row r="208" ht="15.75" customHeight="1" s="153">
      <c r="A208" s="52" t="n"/>
      <c r="B208" s="52" t="n"/>
      <c r="C208" s="52" t="n"/>
      <c r="D208" s="52" t="n"/>
      <c r="E208" s="52" t="n"/>
      <c r="F208" s="52" t="n"/>
      <c r="G208" s="52" t="n"/>
      <c r="H208" s="52" t="n"/>
      <c r="I208" s="52" t="n"/>
    </row>
    <row r="209" ht="15.75" customHeight="1" s="153">
      <c r="A209" s="52" t="n"/>
      <c r="B209" s="52" t="n"/>
      <c r="C209" s="52" t="n"/>
      <c r="D209" s="52" t="n"/>
      <c r="E209" s="52" t="n"/>
      <c r="F209" s="52" t="n"/>
      <c r="G209" s="52" t="n"/>
      <c r="H209" s="52" t="n"/>
      <c r="I209" s="52" t="n"/>
    </row>
    <row r="210" ht="15.75" customHeight="1" s="153">
      <c r="A210" s="52" t="n"/>
      <c r="B210" s="52" t="n"/>
      <c r="C210" s="52" t="n"/>
      <c r="D210" s="52" t="n"/>
      <c r="E210" s="52" t="n"/>
      <c r="F210" s="52" t="n"/>
      <c r="G210" s="52" t="n"/>
      <c r="H210" s="52" t="n"/>
      <c r="I210" s="52" t="n"/>
    </row>
    <row r="211" ht="15.75" customHeight="1" s="153">
      <c r="A211" s="52" t="n"/>
      <c r="B211" s="52" t="n"/>
      <c r="C211" s="52" t="n"/>
      <c r="D211" s="52" t="n"/>
      <c r="E211" s="52" t="n"/>
      <c r="F211" s="52" t="n"/>
      <c r="G211" s="52" t="n"/>
      <c r="H211" s="52" t="n"/>
      <c r="I211" s="52" t="n"/>
    </row>
    <row r="212" ht="15.75" customHeight="1" s="153">
      <c r="A212" s="52" t="n"/>
      <c r="B212" s="52" t="n"/>
      <c r="C212" s="52" t="n"/>
      <c r="D212" s="52" t="n"/>
      <c r="E212" s="52" t="n"/>
      <c r="F212" s="52" t="n"/>
      <c r="G212" s="52" t="n"/>
      <c r="H212" s="52" t="n"/>
      <c r="I212" s="52" t="n"/>
    </row>
    <row r="213" ht="15.75" customHeight="1" s="153">
      <c r="A213" s="52" t="n"/>
      <c r="B213" s="52" t="n"/>
      <c r="C213" s="52" t="n"/>
      <c r="D213" s="52" t="n"/>
      <c r="E213" s="52" t="n"/>
      <c r="F213" s="52" t="n"/>
      <c r="G213" s="52" t="n"/>
      <c r="H213" s="52" t="n"/>
      <c r="I213" s="52" t="n"/>
    </row>
    <row r="214" ht="15.75" customHeight="1" s="153">
      <c r="A214" s="52" t="n"/>
      <c r="B214" s="52" t="n"/>
      <c r="C214" s="52" t="n"/>
      <c r="D214" s="52" t="n"/>
      <c r="E214" s="52" t="n"/>
      <c r="F214" s="52" t="n"/>
      <c r="G214" s="52" t="n"/>
      <c r="H214" s="52" t="n"/>
      <c r="I214" s="52" t="n"/>
    </row>
    <row r="215" ht="15.75" customHeight="1" s="153">
      <c r="A215" s="52" t="n"/>
      <c r="B215" s="52" t="n"/>
      <c r="C215" s="52" t="n"/>
      <c r="D215" s="52" t="n"/>
      <c r="E215" s="52" t="n"/>
      <c r="F215" s="52" t="n"/>
      <c r="G215" s="52" t="n"/>
      <c r="H215" s="52" t="n"/>
      <c r="I215" s="52" t="n"/>
    </row>
    <row r="216" ht="15.75" customHeight="1" s="153">
      <c r="A216" s="52" t="n"/>
      <c r="B216" s="52" t="n"/>
      <c r="C216" s="52" t="n"/>
      <c r="D216" s="52" t="n"/>
      <c r="E216" s="52" t="n"/>
      <c r="F216" s="52" t="n"/>
      <c r="G216" s="52" t="n"/>
      <c r="H216" s="52" t="n"/>
      <c r="I216" s="52" t="n"/>
    </row>
    <row r="217" ht="15.75" customHeight="1" s="153">
      <c r="A217" s="52" t="n"/>
      <c r="B217" s="52" t="n"/>
      <c r="C217" s="52" t="n"/>
      <c r="D217" s="52" t="n"/>
      <c r="E217" s="52" t="n"/>
      <c r="F217" s="52" t="n"/>
      <c r="G217" s="52" t="n"/>
      <c r="H217" s="52" t="n"/>
      <c r="I217" s="52" t="n"/>
    </row>
    <row r="218" ht="15.75" customHeight="1" s="153">
      <c r="A218" s="52" t="n"/>
      <c r="B218" s="52" t="n"/>
      <c r="C218" s="52" t="n"/>
      <c r="D218" s="52" t="n"/>
      <c r="E218" s="52" t="n"/>
      <c r="F218" s="52" t="n"/>
      <c r="G218" s="52" t="n"/>
      <c r="H218" s="52" t="n"/>
      <c r="I218" s="52" t="n"/>
    </row>
    <row r="219" ht="15.75" customHeight="1" s="153">
      <c r="A219" s="52" t="n"/>
      <c r="B219" s="52" t="n"/>
      <c r="C219" s="52" t="n"/>
      <c r="D219" s="52" t="n"/>
      <c r="E219" s="52" t="n"/>
      <c r="F219" s="52" t="n"/>
      <c r="G219" s="52" t="n"/>
      <c r="H219" s="52" t="n"/>
      <c r="I219" s="52" t="n"/>
    </row>
    <row r="220" ht="15.75" customHeight="1" s="153">
      <c r="A220" s="52" t="n"/>
      <c r="B220" s="52" t="n"/>
      <c r="C220" s="52" t="n"/>
      <c r="D220" s="52" t="n"/>
      <c r="E220" s="52" t="n"/>
      <c r="F220" s="52" t="n"/>
      <c r="G220" s="52" t="n"/>
      <c r="H220" s="52" t="n"/>
      <c r="I220" s="52" t="n"/>
    </row>
    <row r="221" ht="15.75" customHeight="1" s="153"/>
    <row r="222" ht="15.75" customHeight="1" s="153"/>
    <row r="223" ht="15.75" customHeight="1" s="153"/>
    <row r="224" ht="15.75" customHeight="1" s="153"/>
    <row r="225" ht="15.75" customHeight="1" s="153"/>
    <row r="226" ht="15.75" customHeight="1" s="153"/>
    <row r="227" ht="15.75" customHeight="1" s="153"/>
    <row r="228" ht="15.75" customHeight="1" s="153"/>
    <row r="229" ht="15.75" customHeight="1" s="153"/>
    <row r="230" ht="15.75" customHeight="1" s="153"/>
    <row r="231" ht="15.75" customHeight="1" s="153"/>
    <row r="232" ht="15.75" customHeight="1" s="153"/>
    <row r="233" ht="15.75" customHeight="1" s="153"/>
    <row r="234" ht="15.75" customHeight="1" s="153"/>
    <row r="235" ht="15.75" customHeight="1" s="153"/>
    <row r="236" ht="15.75" customHeight="1" s="153"/>
    <row r="237" ht="15.75" customHeight="1" s="153"/>
    <row r="238" ht="15.75" customHeight="1" s="153"/>
    <row r="239" ht="15.75" customHeight="1" s="153"/>
    <row r="240" ht="15.75" customHeight="1" s="153"/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2026-07-03T17:37:11Z</dcterms:created>
  <dcterms:modified xsi:type="dcterms:W3CDTF">2026-07-03T17:38:08Z</dcterms:modified>
</cp:coreProperties>
</file>