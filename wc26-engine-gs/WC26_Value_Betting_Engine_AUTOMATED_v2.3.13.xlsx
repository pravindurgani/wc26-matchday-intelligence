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Goal Grid" sheetId="2" r:id="rId6"/>
    <sheet state="visible" name="CLV" sheetId="3" r:id="rId7"/>
    <sheet state="visible" name="Dashboard" sheetId="4" r:id="rId8"/>
    <sheet state="visible" name="Live" sheetId="5" r:id="rId9"/>
    <sheet state="visible" name="Bets" sheetId="6" r:id="rId10"/>
    <sheet state="visible" name="Matchday" sheetId="7" r:id="rId11"/>
    <sheet state="visible" name="Method" sheetId="8" r:id="rId12"/>
    <sheet state="visible" name="Model vs Market" sheetId="9" r:id="rId13"/>
    <sheet state="visible" name="Model Refresh" sheetId="10" r:id="rId14"/>
    <sheet state="visible" name="Outrights" sheetId="11" r:id="rId15"/>
    <sheet state="visible" name="In-Play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6">
      <text>
        <t xml:space="preserve">R16 — bracket slot 7</t>
      </text>
    </comment>
    <comment authorId="0" ref="A94">
      <text>
        <t xml:space="preserve">R16 — bracket slot 5</t>
      </text>
    </comment>
    <comment authorId="0" ref="A92">
      <text>
        <t xml:space="preserve">R16 — bracket slot 3</t>
      </text>
    </comment>
    <comment authorId="0" ref="A90">
      <text>
        <t xml:space="preserve">R16 — bracket slot 1</t>
      </text>
    </comment>
    <comment authorId="0" ref="I1">
      <text>
        <t xml:space="preserve">Source: your model — fifa-wc-26-prediction.vercel.app/predictions.json
Snapshot 2026-06-10 14:10 UTC. Re-paste I:K after live re-sims.</t>
      </text>
    </comment>
    <comment authorId="0" ref="A88">
      <text>
        <t xml:space="preserve">R32 — bracket slot 15</t>
      </text>
    </comment>
    <comment authorId="0" ref="L1">
      <text>
        <t xml:space="preserve">AUTO-FILLED from the Matchday tab. Type odds THERE, never here.</t>
      </text>
    </comment>
    <comment authorId="0" ref="A86">
      <text>
        <t xml:space="preserve">R32 — bracket slot 13</t>
      </text>
    </comment>
    <comment authorId="0" ref="A84">
      <text>
        <t xml:space="preserve">R32 — bracket slot 11</t>
      </text>
    </comment>
    <comment authorId="0" ref="A82">
      <text>
        <t xml:space="preserve">R32 — bracket slot 9</t>
      </text>
    </comment>
    <comment authorId="0" ref="A80">
      <text>
        <t xml:space="preserve">R32 — bracket slot 7</t>
      </text>
    </comment>
    <comment authorId="0" ref="A78">
      <text>
        <t xml:space="preserve">R32 — bracket slot 5</t>
      </text>
    </comment>
    <comment authorId="0" ref="A76">
      <text>
        <t xml:space="preserve">R32 — bracket slot 3</t>
      </text>
    </comment>
    <comment authorId="0" ref="A74">
      <text>
        <t xml:space="preserve">R32 — bracket slot 1</t>
      </text>
    </comment>
    <comment authorId="0" ref="A105">
      <text>
        <t xml:space="preserve">Final — bracket slot 1</t>
      </text>
    </comment>
    <comment authorId="0" ref="A103">
      <text>
        <t xml:space="preserve">SF — bracket slot 2</t>
      </text>
    </comment>
    <comment authorId="0" ref="A101">
      <text>
        <t xml:space="preserve">QF — bracket slot 4</t>
      </text>
    </comment>
    <comment authorId="0" ref="A99">
      <text>
        <t xml:space="preserve">QF — bracket slot 2</t>
      </text>
    </comment>
    <comment authorId="0" ref="A97">
      <text>
        <t xml:space="preserve">R16 — bracket slot 8</t>
      </text>
    </comment>
    <comment authorId="0" ref="A95">
      <text>
        <t xml:space="preserve">R16 — bracket slot 6</t>
      </text>
    </comment>
    <comment authorId="0" ref="A93">
      <text>
        <t xml:space="preserve">R16 — bracket slot 4</t>
      </text>
    </comment>
    <comment authorId="0" ref="A91">
      <text>
        <t xml:space="preserve">R16 — bracket slot 2</t>
      </text>
    </comment>
    <comment authorId="0" ref="A89">
      <text>
        <t xml:space="preserve">R32 — bracket slot 16</t>
      </text>
    </comment>
    <comment authorId="0" ref="A87">
      <text>
        <t xml:space="preserve">R32 — bracket slot 14</t>
      </text>
    </comment>
    <comment authorId="0" ref="A85">
      <text>
        <t xml:space="preserve">R32 — bracket slot 12</t>
      </text>
    </comment>
    <comment authorId="0" ref="A83">
      <text>
        <t xml:space="preserve">R32 — bracket slot 10</t>
      </text>
    </comment>
    <comment authorId="0" ref="A81">
      <text>
        <t xml:space="preserve">R32 — bracket slot 8</t>
      </text>
    </comment>
    <comment authorId="0" ref="A79">
      <text>
        <t xml:space="preserve">R32 — bracket slot 6</t>
      </text>
    </comment>
    <comment authorId="0" ref="A77">
      <text>
        <t xml:space="preserve">R32 — bracket slot 4</t>
      </text>
    </comment>
    <comment authorId="0" ref="A75">
      <text>
        <t xml:space="preserve">R32 — bracket slot 2</t>
      </text>
    </comment>
    <comment authorId="0" ref="A104">
      <text>
        <t xml:space="preserve">3rd — bracket slot 1</t>
      </text>
    </comment>
    <comment authorId="0" ref="A102">
      <text>
        <t xml:space="preserve">SF — bracket slot 1</t>
      </text>
    </comment>
    <comment authorId="0" ref="A100">
      <text>
        <t xml:space="preserve">QF — bracket slot 3</t>
      </text>
    </comment>
    <comment authorId="0" ref="A98">
      <text>
        <t xml:space="preserve">QF — bracket slot 1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YOU TYPE — home win price, DECIMAL (21/50 = 1.42). Betting app: settings → odds format → Decimal.</t>
      </text>
    </comment>
    <comment authorId="0" ref="F3">
      <text>
        <t xml:space="preserve">YOU TYPE — draw price, decimal (7/2 = 4.50).</t>
      </text>
    </comment>
    <comment authorId="0" ref="G3">
      <text>
        <t xml:space="preserve">YOU TYPE — away win price, decimal (15/2 = 8.50).</t>
      </text>
    </comment>
    <comment authorId="0" ref="H3">
      <text>
        <t xml:space="preserve">AUTOMATIC — what the engine would back.</t>
      </text>
    </comment>
    <comment authorId="0" ref="I3">
      <text>
        <t xml:space="preserve">AUTOMATIC — BET or PASS.</t>
      </text>
    </comment>
    <comment authorId="0" ref="J3">
      <text>
        <t xml:space="preserve">AUTOMATIC — how much to bet. "–" = PASS = the engine answered NO BET. That is it working, not a glitch.</t>
      </text>
    </comment>
    <comment authorId="0" ref="K3">
      <text>
        <t xml:space="preserve">AUTOMATIC — the reason in plain English.</t>
      </text>
    </comment>
    <comment authorId="0" ref="L3">
      <text>
        <t xml:space="preserve">YOU TYPE — only when DECISION = BET. Y = team news fine AND both teams have something to play for. N = concern (star out, B-team, storm, dead rubber). Amber match numbers = final group round — dead rubbers likely.</t>
      </text>
    </comment>
    <comment authorId="0" ref="M3">
      <text>
        <t xml:space="preserve">AUTOMATIC — your single instruction: 🟢 PLACE / 🟡 WAIT / 🔴 SKIP / ❌ NO BET.</t>
      </text>
    </comment>
    <comment authorId="0" ref="N4">
      <text>
        <t xml:space="preserve">Your £20 on Mexico @ 21/50 (Bet365, 11 Jun). Engine said PASS, so STATUS labels it a FUN BET. Enter Result after full time.</t>
      </text>
    </comment>
    <comment authorId="0" ref="N3">
      <text>
        <t xml:space="preserve">YOU TYPE — Y after you actually place a bet (engine or fun).</t>
      </text>
    </comment>
    <comment authorId="0" ref="O3">
      <text>
        <t xml:space="preserve">YOU TYPE — which outcome YOU backed: H, D or A. For engine bets this is the PICK; fun bets can back anything. P&amp;L grades against THIS, so your record can never be rewritten.</t>
      </text>
    </comment>
    <comment authorId="0" ref="P3">
      <text>
        <t xml:space="preserve">YOU TYPE — the decimal price on your slip when you confirmed the bet.</t>
      </text>
    </comment>
    <comment authorId="0" ref="Q3">
      <text>
        <t xml:space="preserve">YOU TYPE — the £ you actually staked.</t>
      </text>
    </comment>
    <comment authorId="0" ref="R3">
      <text>
        <t xml:space="preserve">YOU TYPE — after full time: H, D, A, or Void.</t>
      </text>
    </comment>
    <comment authorId="0" ref="S3">
      <text>
        <t xml:space="preserve">AUTOMATIC — honesty label: ✓ engine bet / ⚠ fun bet / warnings.</t>
      </text>
    </comment>
    <comment authorId="0" ref="T3">
      <text>
        <t xml:space="preserve">OPTIONAL, YOU TYPE — price just before kickoff (for CLV homework).</t>
      </text>
    </comment>
    <comment authorId="0" ref="U3">
      <text>
        <t xml:space="preserve">AUTOMATIC — closing-line value: + means you beat the closing price.</t>
      </text>
    </comment>
  </commentList>
</comments>
</file>

<file path=xl/sharedStrings.xml><?xml version="1.0" encoding="utf-8"?>
<sst xmlns="http://schemas.openxmlformats.org/spreadsheetml/2006/main" count="1557" uniqueCount="618">
  <si>
    <t>READ ME — 1 MINUTE</t>
  </si>
  <si>
    <t>The ONLY tab you use is MATCHDAY. (Bets = engine audit · Dashboard = scoreboard · Method = settings &amp; rules · Model vs Market = context.)</t>
  </si>
  <si>
    <t>YELLOW CELLS = YOU TYPE. There are only 5 things, all on the Matchday tab:</t>
  </si>
  <si>
    <t xml:space="preserve">  1.  Odds 1 / X / 2 — the three DECIMAL prices from your betting app (1 = home, X = draw, 2 = away).  21/50 → 1.42 · 7/2 → 4.50 · 15/2 → 8.50.  Bet365: Settings → Odds format → Decimal.</t>
  </si>
  <si>
    <t xml:space="preserve">  2.  Team news OK? — Y or N. Only needed when DECISION says BET.</t>
  </si>
  <si>
    <t xml:space="preserve">  3.  Placed? + Backed (H/D/A) + Odds you got + Stake you placed — your log AFTER you bet. "Backed" = the outcome on your slip; P&amp;L grades against it, so model updates can never rewrite your record.</t>
  </si>
  <si>
    <t xml:space="preserve">  4.  Result — H, D, A or Void, after full time.</t>
  </si>
  <si>
    <t xml:space="preserve">  5.  Closing odds (optional) — the price just before kickoff, for the CLV homework.</t>
  </si>
  <si>
    <t>EVERYTHING ELSE IS AUTOMATIC: PICK, DECISION, ENGINE STAKE, WHY, FINAL ACTION, STATUS, CLV, the whole Dashboard and your bankroll.</t>
  </si>
  <si>
    <t>HOW TO READ THE ANSWER</t>
  </si>
  <si>
    <t xml:space="preserve">  · ENGINE STAKE "–"  +  FINAL ACTION "❌ NO BET"  →  the engine DID respond: do not bet this match. Example: South Korea v Czechia at 2.70 / 3.10 / 2.80 → EV +1.6%, below the 2.5% bar → NO BET. Nothing is broken.</t>
  </si>
  <si>
    <t xml:space="preserve">  · FINAL ACTION "🟢 PLACE £x on [pick]"  →  bet exactly that amount on exactly that pick, after the team-news check.</t>
  </si>
  <si>
    <t xml:space="preserve">  · Most matches will be ❌. The rare 🟢 rows are where the profit lives.</t>
  </si>
  <si>
    <t>FINAL GROUP ROUND (amber match numbers, 24–27 Jun): check both teams still have something to play for before typing Y — dead rubbers mean B-teams, and the model cannot see the group table.</t>
  </si>
  <si>
    <t>MODEL UPDATED AFTER RESULTS? Use the Model Refresh tab — it refreshes future matches and freezes everything you already placed.</t>
  </si>
  <si>
    <t>GOLDEN RULE: "likely to win" is NOT "worth betting" — the only question is whether the price beats the probability.</t>
  </si>
  <si>
    <t>18+ · fun money only · not financial advice · BeGambleAware.org</t>
  </si>
  <si>
    <t>v2 (AUTOMATED) — what changed</t>
  </si>
  <si>
    <t>1. Live model: Apps Script refreshes Bets!I:K from predictions_live.json every 5 min (skips any row already Placed=Y so history is never rewritten).</t>
  </si>
  <si>
    <t>2. CLV-actuated w: Method!B4 floats with rolling CLV (B46–B49). Knobs in yellow.</t>
  </si>
  <si>
    <t>3. Better de-vig: Method!B56 picks proportional / shin / power. Shin/power lift the favourite ~1pp on 3-way markets (fixes the bias the audit called out).</t>
  </si>
  <si>
    <t>4. Drawdown circuit-breaker: Method!B50–B55. If you’re ≥15% below peak, every row flips to 🛑 PAUSED until you recover or override Method!B54=Y.</t>
  </si>
  <si>
    <t>5. Sheet protection: Apps Script applyProtections() locks all formula cells, leaves yellow input cells editable. Run it from the WC26 Engine menu after install.</t>
  </si>
  <si>
    <t>INSTALL: see WC26_Engine_INSTALL.md. One-time: paste the .gs, run installEngine(), approve the URL fetch + trigger scopes.</t>
  </si>
  <si>
    <t>v2.1 PATCH — three fixes: (1) drawdown pause now blocks new stakes only, it can no longer relabel settled engine bets as fun bets; (2) SHIN/POWER de-vig return shape fixed so shin/power actually reach the sheet (was silently falling back to proportional); (3) w override clamped to 0.15–0.55. New: the script snapshots decision/stake/pick at the moment you log Placed=Y, so later model refreshes, w drift or de-vig switches can never reclassify a placed bet.</t>
  </si>
  <si>
    <t>v2.2 — last-mile hardening: pause can no longer distort the STATUS text for un-snapshotted bets; First-time setup now retro-snapshots any bet placed before the script existed; snapshot cells stay writable for shared editors (share view-only with friends regardless — they scale stakes via "£ / £100 bank").</t>
  </si>
  <si>
    <t>GOAL GRID — fair P for O/U, BTTS, AH from λ_h/λ_a · Poisson + Dixon-Coles τ=-0.13 · MAX_GOALS=15 · ⚠ DRIFT: Poisson vs prod NB+DC ≈2-9pp on OU2.5/BTTS; BET? uses Method!B8 edge threshold (raise B8 to 0.08 for an 8pp drift buffer)</t>
  </si>
  <si>
    <t>Source: /predictions_live.json · match_predictions[] · type Over 2.5 book odds in K for BET? signal</t>
  </si>
  <si>
    <t>#m</t>
  </si>
  <si>
    <t>Date</t>
  </si>
  <si>
    <t>Home</t>
  </si>
  <si>
    <t>Away</t>
  </si>
  <si>
    <t>λ_home</t>
  </si>
  <si>
    <t>λ_away</t>
  </si>
  <si>
    <t>Fair O/U 2.5</t>
  </si>
  <si>
    <t>Fair BTTS</t>
  </si>
  <si>
    <t>Fair O/U 1.5</t>
  </si>
  <si>
    <t>Fair O/U 3.5</t>
  </si>
  <si>
    <t>Book O 2.5</t>
  </si>
  <si>
    <t>Book U 2.5</t>
  </si>
  <si>
    <t>Book BTTS Y</t>
  </si>
  <si>
    <t>Implied O 2.5</t>
  </si>
  <si>
    <t>Edge %</t>
  </si>
  <si>
    <t>BET?</t>
  </si>
  <si>
    <t>Mexico</t>
  </si>
  <si>
    <t>South Africa</t>
  </si>
  <si>
    <t>South Korea</t>
  </si>
  <si>
    <t>Czechia</t>
  </si>
  <si>
    <t>Canada</t>
  </si>
  <si>
    <t>Bosnia and Herzegovina</t>
  </si>
  <si>
    <t>United States</t>
  </si>
  <si>
    <t>Paraguay</t>
  </si>
  <si>
    <t>Qatar</t>
  </si>
  <si>
    <t>Switzerland</t>
  </si>
  <si>
    <t>Brazil</t>
  </si>
  <si>
    <t>Morocco</t>
  </si>
  <si>
    <t>Haiti</t>
  </si>
  <si>
    <t>Scotland</t>
  </si>
  <si>
    <t>Australia</t>
  </si>
  <si>
    <t>Turkey</t>
  </si>
  <si>
    <t>Germany</t>
  </si>
  <si>
    <t>Curacao</t>
  </si>
  <si>
    <t>Netherlands</t>
  </si>
  <si>
    <t>Japan</t>
  </si>
  <si>
    <t>Ivory Coast</t>
  </si>
  <si>
    <t>Ecuador</t>
  </si>
  <si>
    <t>Sweden</t>
  </si>
  <si>
    <t>Tunisia</t>
  </si>
  <si>
    <t>Spain</t>
  </si>
  <si>
    <t>Cape Verde</t>
  </si>
  <si>
    <t>Belgium</t>
  </si>
  <si>
    <t>Egypt</t>
  </si>
  <si>
    <t>Saudi Arabia</t>
  </si>
  <si>
    <t>Uruguay</t>
  </si>
  <si>
    <t>Iran</t>
  </si>
  <si>
    <t>New Zealand</t>
  </si>
  <si>
    <t>France</t>
  </si>
  <si>
    <t>Senegal</t>
  </si>
  <si>
    <t>Iraq</t>
  </si>
  <si>
    <t>Norway</t>
  </si>
  <si>
    <t>Argentina</t>
  </si>
  <si>
    <t>Algeria</t>
  </si>
  <si>
    <t>Austria</t>
  </si>
  <si>
    <t>Jordan</t>
  </si>
  <si>
    <t>Portugal</t>
  </si>
  <si>
    <t>DR Congo</t>
  </si>
  <si>
    <t>England</t>
  </si>
  <si>
    <t>Croatia</t>
  </si>
  <si>
    <t>Ghana</t>
  </si>
  <si>
    <t>Panama</t>
  </si>
  <si>
    <t>Uzbekistan</t>
  </si>
  <si>
    <t>Colombia</t>
  </si>
  <si>
    <t>W97</t>
  </si>
  <si>
    <t>W98</t>
  </si>
  <si>
    <t>W99</t>
  </si>
  <si>
    <t>W100</t>
  </si>
  <si>
    <t>L101</t>
  </si>
  <si>
    <t>L102</t>
  </si>
  <si>
    <t>W101</t>
  </si>
  <si>
    <t>W102</t>
  </si>
  <si>
    <t>CLV — closing-line-value tracker · rolling 20-bet average · positive CLV = beating the close</t>
  </si>
  <si>
    <t>CLV tracked for 1X2 picks only — O/U and BTTS coming in v2.4</t>
  </si>
  <si>
    <t>Source: Bets!AO backed odds + AW:AY snapshot block · type closing odds in col F after market closes</t>
  </si>
  <si>
    <t>Bet #</t>
  </si>
  <si>
    <t>Pick</t>
  </si>
  <si>
    <t>Stake</t>
  </si>
  <si>
    <t>Taken odds</t>
  </si>
  <si>
    <t>Closing odds</t>
  </si>
  <si>
    <t>CLV %</t>
  </si>
  <si>
    <t>Rolling 20 CLV %</t>
  </si>
  <si>
    <t>Status</t>
  </si>
  <si>
    <t>H</t>
  </si>
  <si>
    <t>A</t>
  </si>
  <si>
    <t>D</t>
  </si>
  <si>
    <t>WC26 GROUP STAGE — VALUE BETTING DASHBOARD</t>
  </si>
  <si>
    <t>Model snapshot 2026-06-10 14:10 UTC · type odds on the MATCHDAY tab on game day · stakes auto-size from current bankroll</t>
  </si>
  <si>
    <t>Current bankroll</t>
  </si>
  <si>
    <t>Matches today</t>
  </si>
  <si>
    <t>Engine bets placed</t>
  </si>
  <si>
    <t>Staked (placed)</t>
  </si>
  <si>
    <t>Next match day</t>
  </si>
  <si>
    <t>Fun bets placed</t>
  </si>
  <si>
    <t>Settled P&amp;L</t>
  </si>
  <si>
    <t>BET signals live</t>
  </si>
  <si>
    <t>Avg CLV (logged)</t>
  </si>
  <si>
    <t>ROI (settled)</t>
  </si>
  <si>
    <t>PASS</t>
  </si>
  <si>
    <t>Engine P&amp;L</t>
  </si>
  <si>
    <t>Record W–L</t>
  </si>
  <si>
    <t>Awaiting odds</t>
  </si>
  <si>
    <t>Fun-bet P&amp;L</t>
  </si>
  <si>
    <t>Open bets</t>
  </si>
  <si>
    <t>Sum of BET stakes</t>
  </si>
  <si>
    <t>LIVE VALUE BOARD — top BET signals right now (fills as you enter odds)</t>
  </si>
  <si>
    <t>#</t>
  </si>
  <si>
    <t>Group</t>
  </si>
  <si>
    <t>Match</t>
  </si>
  <si>
    <t>Odds</t>
  </si>
  <si>
    <t>EV</t>
  </si>
  <si>
    <t>Edge</t>
  </si>
  <si>
    <t>Stake £</t>
  </si>
  <si>
    <t>MATCHDAY LEDGER — stakes &amp; P&amp;L by day</t>
  </si>
  <si>
    <t>HOUSE RULES</t>
  </si>
  <si>
    <t>Games</t>
  </si>
  <si>
    <t>Staked £</t>
  </si>
  <si>
    <t>P&amp;L £</t>
  </si>
  <si>
    <t>· Only stake when FINAL ACTION shows 🟢 PLACE.</t>
  </si>
  <si>
    <t>· "—" or PASS on most matches = the filter working, not a fault.</t>
  </si>
  <si>
    <t>· Fun bets are allowed — small (≤ £5), and STATUS labels them honestly.</t>
  </si>
  <si>
    <t>· Never exceed the stake shown. Never chase a loss.</t>
  </si>
  <si>
    <t>· Friends: stake = "£ per £100" × (their bankroll ÷ 100).</t>
  </si>
  <si>
    <t>· 18+ · not financial advice · BeGambleAware.org</t>
  </si>
  <si>
    <t>LIVE STATE — auto-polled from /live_state.json</t>
  </si>
  <si>
    <t>Source URL</t>
  </si>
  <si>
    <t>https://wc26-matchday-intelligence.vercel.app/live_state.json</t>
  </si>
  <si>
    <t>Predictions URL</t>
  </si>
  <si>
    <t>https://wc26-matchday-intelligence.vercel.app/predictions_live.json</t>
  </si>
  <si>
    <t>Intel URL</t>
  </si>
  <si>
    <t>https://wc26-matchday-intelligence.vercel.app/matchday_intelligence.json</t>
  </si>
  <si>
    <t>Field</t>
  </si>
  <si>
    <t>Value</t>
  </si>
  <si>
    <t>Mirrors to Method</t>
  </si>
  <si>
    <t>Last poll (UTC)</t>
  </si>
  <si>
    <t>B58</t>
  </si>
  <si>
    <t>Mode</t>
  </si>
  <si>
    <t>live</t>
  </si>
  <si>
    <t>B59</t>
  </si>
  <si>
    <t>Completed matches</t>
  </si>
  <si>
    <t>B60</t>
  </si>
  <si>
    <t>Provider mode</t>
  </si>
  <si>
    <t>active</t>
  </si>
  <si>
    <t>B61</t>
  </si>
  <si>
    <t>Warnings (joined)</t>
  </si>
  <si>
    <t>B62</t>
  </si>
  <si>
    <t>Source</t>
  </si>
  <si>
    <t>api_football</t>
  </si>
  <si>
    <t>Last model refresh (UTC)</t>
  </si>
  <si>
    <t>B57</t>
  </si>
  <si>
    <t>Simulation rerun this tick</t>
  </si>
  <si>
    <t>live_state last_updated_utc</t>
  </si>
  <si>
    <t>2026-07-09T15:40:48.645956+00:00</t>
  </si>
  <si>
    <t>STATUS</t>
  </si>
  <si>
    <t>— MATCHDAY INTELLIGENCE (auto) —</t>
  </si>
  <si>
    <t>Intel generated at (UTC)</t>
  </si>
  <si>
    <t>2026-07-09T14:37:39.132850+00:00</t>
  </si>
  <si>
    <t>mirrors to Method!B67</t>
  </si>
  <si>
    <t>Intel total components</t>
  </si>
  <si>
    <t>B68</t>
  </si>
  <si>
    <t>Intel teams affected</t>
  </si>
  <si>
    <t>B69</t>
  </si>
  <si>
    <t>Intel matches affected</t>
  </si>
  <si>
    <t>B70</t>
  </si>
  <si>
    <t>Intel aggregate caps hit</t>
  </si>
  <si>
    <t>B71</t>
  </si>
  <si>
    <t>Intel warnings</t>
  </si>
  <si>
    <t>Matches in play right now</t>
  </si>
  <si>
    <t>see In-Play sheet</t>
  </si>
  <si>
    <t>Stale-feed warning</t>
  </si>
  <si>
    <t>&gt;15 min trips PAUSE</t>
  </si>
  <si>
    <t>⚠ calibration OOB (clamp to last bin): home=1/72 draw=6/72 away=2/72 · 32 knockout row(s) skipped</t>
  </si>
  <si>
    <t>Endpoints — clear B3/B4/B5 to revert to v2.3 defaults.</t>
  </si>
  <si>
    <t>This sheet is read-only output from the Apps Script poller. If the values stay blank, open Extensions ▸ Apps Script and run installEngine() once. The script then refreshes model probabilities into Bets!I:K (skipping any row already flagged as Placed=Y) and writes a snapshot of /live_state.json here every 5 minutes.</t>
  </si>
  <si>
    <t>Grp</t>
  </si>
  <si>
    <t>Venue</t>
  </si>
  <si>
    <t>KO local</t>
  </si>
  <si>
    <t>KO UK</t>
  </si>
  <si>
    <t>Model pH</t>
  </si>
  <si>
    <t>Model pD</t>
  </si>
  <si>
    <t>Model pA</t>
  </si>
  <si>
    <t>Odds H</t>
  </si>
  <si>
    <t>Odds D</t>
  </si>
  <si>
    <t>Odds A</t>
  </si>
  <si>
    <t>imp H</t>
  </si>
  <si>
    <t>imp D</t>
  </si>
  <si>
    <t>imp A</t>
  </si>
  <si>
    <t>Overround</t>
  </si>
  <si>
    <t>mkt H</t>
  </si>
  <si>
    <t>mkt D</t>
  </si>
  <si>
    <t>mkt A</t>
  </si>
  <si>
    <t>blend H</t>
  </si>
  <si>
    <t>blend D</t>
  </si>
  <si>
    <t>blend A</t>
  </si>
  <si>
    <t>EV H</t>
  </si>
  <si>
    <t>EV D</t>
  </si>
  <si>
    <t>EV A</t>
  </si>
  <si>
    <t>pick#</t>
  </si>
  <si>
    <t>code</t>
  </si>
  <si>
    <t>PICK</t>
  </si>
  <si>
    <t>EV %</t>
  </si>
  <si>
    <t>Edge pp</t>
  </si>
  <si>
    <t>DECISION</t>
  </si>
  <si>
    <t>£ / £100 bank</t>
  </si>
  <si>
    <t>ENGINE STAKE £</t>
  </si>
  <si>
    <t>p(blend)</t>
  </si>
  <si>
    <t>Kelly f</t>
  </si>
  <si>
    <t>rankkey</t>
  </si>
  <si>
    <t>Placed?</t>
  </si>
  <si>
    <t>Odds taken</t>
  </si>
  <si>
    <t>Result</t>
  </si>
  <si>
    <t>Cum P&amp;L</t>
  </si>
  <si>
    <t>WHY (plain English)</t>
  </si>
  <si>
    <t>Backed</t>
  </si>
  <si>
    <t>dec@bet</t>
  </si>
  <si>
    <t>eng£@bet</t>
  </si>
  <si>
    <t>pick@bet</t>
  </si>
  <si>
    <t>class</t>
  </si>
  <si>
    <t>eng£ eff</t>
  </si>
  <si>
    <t>intel Δ</t>
  </si>
  <si>
    <t>pH (cal)</t>
  </si>
  <si>
    <t>pD (cal)</t>
  </si>
  <si>
    <t>pA (cal)</t>
  </si>
  <si>
    <t>intel breakdown</t>
  </si>
  <si>
    <t>altitude m</t>
  </si>
  <si>
    <t>climate</t>
  </si>
  <si>
    <t>home travel km</t>
  </si>
  <si>
    <t>Mexico City</t>
  </si>
  <si>
    <t>Mexico team-wide: +7 · South Africa team-wide: -29</t>
  </si>
  <si>
    <t>high_altitude_mild</t>
  </si>
  <si>
    <t>Zapopan</t>
  </si>
  <si>
    <t>03:00 +1d</t>
  </si>
  <si>
    <t>BET</t>
  </si>
  <si>
    <t>Czechia team-wide: -16 · Czechia weather: -4 · South Korea team-wide: +1 · South Korea weather: -1</t>
  </si>
  <si>
    <t>warm_humid</t>
  </si>
  <si>
    <t>B</t>
  </si>
  <si>
    <t>Toronto</t>
  </si>
  <si>
    <t>Bosnia and Herzegovina team-wide: -18 · Canada team-wide: -9</t>
  </si>
  <si>
    <t>mild</t>
  </si>
  <si>
    <t>Inglewood</t>
  </si>
  <si>
    <t>02:00 +1d</t>
  </si>
  <si>
    <t>Paraguay team-wide: -35 · United States team-wide: -21</t>
  </si>
  <si>
    <t>warm_dry_indoor</t>
  </si>
  <si>
    <t>Santa Clara</t>
  </si>
  <si>
    <t>Qatar team-wide: -35 · Switzerland team-wide: -18</t>
  </si>
  <si>
    <t>mild_dry</t>
  </si>
  <si>
    <t>C</t>
  </si>
  <si>
    <t>East Rutherford</t>
  </si>
  <si>
    <t>Brazil team-wide: -17 · Morocco team-wide: -7</t>
  </si>
  <si>
    <t>Foxborough</t>
  </si>
  <si>
    <t>Haiti team-wide: -7 · Scotland team-wide: -4</t>
  </si>
  <si>
    <t>warm</t>
  </si>
  <si>
    <t>Vancouver</t>
  </si>
  <si>
    <t>05:00 +1d</t>
  </si>
  <si>
    <t>Australia team-wide: -26 · Turkey team-wide: +4</t>
  </si>
  <si>
    <t>mild_indoor</t>
  </si>
  <si>
    <t>E</t>
  </si>
  <si>
    <t>Houston</t>
  </si>
  <si>
    <t>Curacao team-wide: -13 · Germany team-wide: -14</t>
  </si>
  <si>
    <t>very_hot_humid_indoor</t>
  </si>
  <si>
    <t>F</t>
  </si>
  <si>
    <t>Arlington</t>
  </si>
  <si>
    <t>Japan team-wide: -30 · Netherlands team-wide: +4</t>
  </si>
  <si>
    <t>very_hot_indoor</t>
  </si>
  <si>
    <t>Philadelphia</t>
  </si>
  <si>
    <t>00:00 +1d</t>
  </si>
  <si>
    <t>Ecuador team-wide: +4 · Ivory Coast team-wide: +2</t>
  </si>
  <si>
    <t>Guadalupe</t>
  </si>
  <si>
    <t>Sweden team-wide: -12 · Sweden weather: -4 · Tunisia team-wide: -33</t>
  </si>
  <si>
    <t>very_hot</t>
  </si>
  <si>
    <t>Atlanta</t>
  </si>
  <si>
    <t>Cape Verde team-wide: -18 · Spain team-wide: +20</t>
  </si>
  <si>
    <t>hot_humid_indoor</t>
  </si>
  <si>
    <t>G</t>
  </si>
  <si>
    <t>Seattle</t>
  </si>
  <si>
    <t>Belgium team-wide: -14 · Egypt team-wide: -27</t>
  </si>
  <si>
    <t>Miami Gardens</t>
  </si>
  <si>
    <t>Saudi Arabia team-wide: -11 · Uruguay team-wide: -20</t>
  </si>
  <si>
    <t>very_hot_humid</t>
  </si>
  <si>
    <t>Iran team-wide: -6 · New Zealand team-wide: -4</t>
  </si>
  <si>
    <t>I</t>
  </si>
  <si>
    <t>France team-wide: +20 · France weather: -4 · Senegal team-wide: -12</t>
  </si>
  <si>
    <t>Iraq team-wide: -12 · Norway team-wide: -12</t>
  </si>
  <si>
    <t>J</t>
  </si>
  <si>
    <t>Kansas City</t>
  </si>
  <si>
    <t>Algeria team-wide: -24 · Argentina team-wide: +13</t>
  </si>
  <si>
    <t>hot</t>
  </si>
  <si>
    <t>Austria team-wide: -9 · Jordan team-wide: -8</t>
  </si>
  <si>
    <t>K</t>
  </si>
  <si>
    <t>DR Congo team-wide: -7 · Portugal team-wide: -2</t>
  </si>
  <si>
    <t>L</t>
  </si>
  <si>
    <t>Croatia team-wide: -2 · England team-wide: -13</t>
  </si>
  <si>
    <t>Ghana team-wide: -11 · Panama team-wide: -2</t>
  </si>
  <si>
    <t>Colombia team-wide: +3 · Uzbekistan team-wide: -8</t>
  </si>
  <si>
    <t>Czechia team-wide: -16 · South Africa team-wide: -29 · South Africa suspension: -3 · South Africa suspension: -3</t>
  </si>
  <si>
    <t>Bosnia and Herzegovina team-wide: -18 · Switzerland team-wide: -18</t>
  </si>
  <si>
    <t>Canada team-wide: -9 · Qatar team-wide: -35</t>
  </si>
  <si>
    <t>06:00 +1d</t>
  </si>
  <si>
    <t>Mexico team-wide: +7 · Mexico suspension: -3 · South Korea team-wide: +1 · South Korea weather: -1</t>
  </si>
  <si>
    <t>Australia team-wide: -26 · United States team-wide: -21</t>
  </si>
  <si>
    <t>Morocco team-wide: -7 · Scotland team-wide: -4</t>
  </si>
  <si>
    <t>Brazil team-wide: -17 · Haiti team-wide: -7</t>
  </si>
  <si>
    <t>Paraguay team-wide: -35 · Turkey team-wide: +4</t>
  </si>
  <si>
    <t>Netherlands team-wide: +4 · Sweden team-wide: -12</t>
  </si>
  <si>
    <t>Germany team-wide: -14 · Ivory Coast team-wide: +2</t>
  </si>
  <si>
    <t>01:00 +1d</t>
  </si>
  <si>
    <t>Curacao team-wide: -13 · Ecuador team-wide: +4</t>
  </si>
  <si>
    <t>Japan team-wide: -30 · Japan weather: -1 · Tunisia team-wide: -33</t>
  </si>
  <si>
    <t>Saudi Arabia team-wide: -11 · Spain team-wide: +20</t>
  </si>
  <si>
    <t>Belgium team-wide: -14 · Iran team-wide: -6</t>
  </si>
  <si>
    <t>Cape Verde team-wide: -18 · Uruguay team-wide: -20</t>
  </si>
  <si>
    <t>Egypt team-wide: -27 · New Zealand team-wide: -4</t>
  </si>
  <si>
    <t>Argentina team-wide: +13 · Austria team-wide: -9</t>
  </si>
  <si>
    <t>France team-wide: +20 · France weather: -4 · Iraq team-wide: -12 · Iraq weather: -1</t>
  </si>
  <si>
    <t>Norway team-wide: -12 · Norway weather: -4 · Senegal team-wide: -12</t>
  </si>
  <si>
    <t>07:00 +1d</t>
  </si>
  <si>
    <t>Algeria team-wide: -24 · Jordan team-wide: -8</t>
  </si>
  <si>
    <t>Portugal team-wide: -2 · Uzbekistan team-wide: -8</t>
  </si>
  <si>
    <t>England team-wide: -13 · Ghana team-wide: -11</t>
  </si>
  <si>
    <t>Croatia team-wide: -2 · Panama team-wide: -2</t>
  </si>
  <si>
    <t>Colombia team-wide: +3 · DR Congo team-wide: -7</t>
  </si>
  <si>
    <t>Canada team-wide: -9 · Switzerland team-wide: -18</t>
  </si>
  <si>
    <t>Bosnia and Herzegovina team-wide: -18 · Bosnia and Herzegovina suspension: -3 · Qatar team-wide: -35 · Qatar suspension: -3 · Qatar suspension: -3</t>
  </si>
  <si>
    <t>Brazil team-wide: -17 · Scotland team-wide: -4</t>
  </si>
  <si>
    <t>Haiti team-wide: -7 · Morocco team-wide: -7</t>
  </si>
  <si>
    <t>04:00 +1d</t>
  </si>
  <si>
    <t>Czechia team-wide: -16 · Mexico team-wide: +7</t>
  </si>
  <si>
    <t>South Africa team-wide: -29 · South Africa suspension: -3 · South Korea team-wide: +1 · South Korea weather: -1</t>
  </si>
  <si>
    <t>Ecuador team-wide: +4 · Germany team-wide: -14 · Germany weather: -4</t>
  </si>
  <si>
    <t>Curacao team-wide: -13 · Ivory Coast team-wide: +2</t>
  </si>
  <si>
    <t>Japan team-wide: -30 · Sweden team-wide: -12</t>
  </si>
  <si>
    <t>Netherlands team-wide: +4 · Tunisia team-wide: -33</t>
  </si>
  <si>
    <t>Turkey team-wide: +4 · United States team-wide: -21</t>
  </si>
  <si>
    <t>Australia team-wide: -26 · Paraguay team-wide: -35 · Paraguay suspension: -3</t>
  </si>
  <si>
    <t>France team-wide: +20 · Norway team-wide: -12</t>
  </si>
  <si>
    <t>Iraq team-wide: -12 · Senegal team-wide: -12</t>
  </si>
  <si>
    <t>Spain team-wide: +20 · Spain weather: -4 · Uruguay team-wide: -20</t>
  </si>
  <si>
    <t>Cape Verde team-wide: -18 · Cape Verde suspension: -3 · Saudi Arabia team-wide: -11</t>
  </si>
  <si>
    <t>Egypt team-wide: -27 · Iran team-wide: -6</t>
  </si>
  <si>
    <t>Belgium team-wide: -14 · Belgium suspension: -3 · New Zealand team-wide: -4</t>
  </si>
  <si>
    <t>England team-wide: -13 · England weather: -4 · Panama team-wide: -2</t>
  </si>
  <si>
    <t>Croatia team-wide: -2 · Croatia weather: -4 · Ghana team-wide: -11</t>
  </si>
  <si>
    <t>00:30 +1d</t>
  </si>
  <si>
    <t>Colombia team-wide: +3 · Portugal team-wide: -2</t>
  </si>
  <si>
    <t>DR Congo team-wide: -7 · Uzbekistan team-wide: -8</t>
  </si>
  <si>
    <t>Algeria team-wide: -24 · Austria team-wide: -9</t>
  </si>
  <si>
    <t>Argentina team-wide: +13 · Jordan team-wide: -8</t>
  </si>
  <si>
    <t>R32</t>
  </si>
  <si>
    <t>Inglewood, CA</t>
  </si>
  <si>
    <t>Canada team-wide: -9 · South Africa team-wide: -29</t>
  </si>
  <si>
    <t>Foxborough, MA</t>
  </si>
  <si>
    <t>Germany team-wide: -14 · Paraguay team-wide: -35 · Paraguay suspension: -3</t>
  </si>
  <si>
    <t>Guadalupe, Mexico</t>
  </si>
  <si>
    <t>Morocco team-wide: -7 · Netherlands team-wide: +4</t>
  </si>
  <si>
    <t>Houston, TX</t>
  </si>
  <si>
    <t>Brazil team-wide: -17 · Japan team-wide: -30</t>
  </si>
  <si>
    <t>East Rutherford, NJ</t>
  </si>
  <si>
    <t>France team-wide: +20 · Sweden team-wide: -12</t>
  </si>
  <si>
    <t>Arlington, TX</t>
  </si>
  <si>
    <t>Ivory Coast team-wide: +2 · Norway team-wide: -12</t>
  </si>
  <si>
    <t>Ecuador team-wide: +4 · Mexico team-wide: +7</t>
  </si>
  <si>
    <t>Atlanta, GA</t>
  </si>
  <si>
    <t>DR Congo team-wide: -7 · England team-wide: -13</t>
  </si>
  <si>
    <t>Santa Clara, CA</t>
  </si>
  <si>
    <t>Bosnia and Herzegovina team-wide: -18 · United States team-wide: -21</t>
  </si>
  <si>
    <t>Seattle, WA</t>
  </si>
  <si>
    <t>Belgium team-wide: -14 · Senegal team-wide: -12</t>
  </si>
  <si>
    <t>Croatia team-wide: -2 · Portugal team-wide: -2</t>
  </si>
  <si>
    <t>Austria team-wide: -9 · Spain team-wide: +20</t>
  </si>
  <si>
    <t>Algeria team-wide: -24 · Switzerland team-wide: -18</t>
  </si>
  <si>
    <t>Miami Gardens, FL</t>
  </si>
  <si>
    <t>Argentina team-wide: +13 · Cape Verde team-wide: -18</t>
  </si>
  <si>
    <t>Kansas City, MO</t>
  </si>
  <si>
    <t>Colombia team-wide: +3 · Ghana team-wide: -11</t>
  </si>
  <si>
    <t>Australia team-wide: -26 · Egypt team-wide: -27</t>
  </si>
  <si>
    <t>R16</t>
  </si>
  <si>
    <t>Philadelphia, PA</t>
  </si>
  <si>
    <t>France team-wide: +20 · Paraguay team-wide: -35 · Paraguay suspension: -3</t>
  </si>
  <si>
    <t>Canada team-wide: -9 · Morocco team-wide: -7</t>
  </si>
  <si>
    <t>Brazil team-wide: -17 · Brazil suspension: -3 · Brazil suspension: -3 · Norway team-wide: -12</t>
  </si>
  <si>
    <t>England team-wide: -13 · Mexico team-wide: +7</t>
  </si>
  <si>
    <t>Portugal team-wide: -2 · Spain team-wide: +20</t>
  </si>
  <si>
    <t>Belgium team-wide: -14 · United States team-wide: -21 · United States suspension: -3</t>
  </si>
  <si>
    <t>Argentina team-wide: +13 · Egypt team-wide: -27</t>
  </si>
  <si>
    <t>Colombia team-wide: +3 · Switzerland team-wide: -18</t>
  </si>
  <si>
    <t>QF</t>
  </si>
  <si>
    <t>France team-wide: +20 · Morocco team-wide: -7</t>
  </si>
  <si>
    <t>Belgium team-wide: -14 · Spain team-wide: +20</t>
  </si>
  <si>
    <t>England team-wide: -13 · England suspension: -3 · England suspension: -3 · Norway team-wide: -12</t>
  </si>
  <si>
    <t>Argentina team-wide: +13 · Switzerland team-wide: -18 · Switzerland suspension: -3</t>
  </si>
  <si>
    <t>SF</t>
  </si>
  <si>
    <t>3rd</t>
  </si>
  <si>
    <t>Final</t>
  </si>
  <si>
    <t>MATCHDAY CONSOLE (FINAL) — the only tab you touch.   YELLOW = YOU TYPE  ·  GREY = AUTOMATIC  ·  decimal odds only (21/50 → 1.42)</t>
  </si>
  <si>
    <t>THE MATCH</t>
  </si>
  <si>
    <t>① TYPE 3 ODDS (decimal)</t>
  </si>
  <si>
    <t>② READ THE ANSWER</t>
  </si>
  <si>
    <t>③ TEAM NEWS + MOTIVATION</t>
  </si>
  <si>
    <t>④ LOG BET → RESULT</t>
  </si>
  <si>
    <t>HONESTY LABEL</t>
  </si>
  <si>
    <t>⑤ OPTIONAL: CLOSING ODDS</t>
  </si>
  <si>
    <t>Manual Calculation (ignore)</t>
  </si>
  <si>
    <t>UK KO</t>
  </si>
  <si>
    <t>Odds 1</t>
  </si>
  <si>
    <t>Odds X</t>
  </si>
  <si>
    <t>Odds 2</t>
  </si>
  <si>
    <t>WHY</t>
  </si>
  <si>
    <t>Team news &amp; motivation OK? (Y/N)</t>
  </si>
  <si>
    <t>FINAL ACTION</t>
  </si>
  <si>
    <t>Placed? (Y/N)</t>
  </si>
  <si>
    <t>Backed (H/D/A)</t>
  </si>
  <si>
    <t>Odds you got</t>
  </si>
  <si>
    <t>Stake you placed £</t>
  </si>
  <si>
    <t>Result (H/D/A/Void)</t>
  </si>
  <si>
    <t>CLV</t>
  </si>
  <si>
    <t>actual bets</t>
  </si>
  <si>
    <t>actual returns</t>
  </si>
  <si>
    <t>Y</t>
  </si>
  <si>
    <t>N</t>
  </si>
  <si>
    <t>SETTINGS &amp; METHODOLOGY</t>
  </si>
  <si>
    <t>Model snapshot: 2026-06-10 14:10 UTC  ·  wc26-matchday-intelligence.vercel.app  ·  engine v2.3.1</t>
  </si>
  <si>
    <t>Starting bankroll (£)</t>
  </si>
  <si>
    <t>Your pot. £500–£1,000. Everything scales off this.</t>
  </si>
  <si>
    <t>Model weight  w</t>
  </si>
  <si>
    <t>Auto-actuated by CLV (see B46-B49). Stays near 0.35 until you have ≥5 graded closes; then drifts up if your closes beat the market, down if they lag. Hard-pin via B49.</t>
  </si>
  <si>
    <t>Kelly multiplier</t>
  </si>
  <si>
    <t>Quarter-Kelly. Full Kelly assumes your probabilities are exactly right — they are not.</t>
  </si>
  <si>
    <t>⚠ Walk-forward 2022 edge = 1.57%. Quarter-Kelly (B5=0.25) is ~2x optimal on this edge — consider B5≈0.10 (one-tenth Kelly) until edge improves.</t>
  </si>
  <si>
    <t>Max stake (% of bankroll)</t>
  </si>
  <si>
    <t>Hard cap per bet. Big "edges" are usually data errors.</t>
  </si>
  <si>
    <t>Min EV to bet</t>
  </si>
  <si>
    <t>Expected value per £1 must clear this or the margin eats you.</t>
  </si>
  <si>
    <t>Min edge (blend − market, pp)</t>
  </si>
  <si>
    <t>Blend must beat the de-vigged market by this. With w=35% this needs your raw model ≈7pp+ above market — deliberate. Most matches should be PASS.</t>
  </si>
  <si>
    <t>Min stake (£)</t>
  </si>
  <si>
    <t>Below this the bet is not worth the click.</t>
  </si>
  <si>
    <t>CURRENT BANKROLL (auto)</t>
  </si>
  <si>
    <t>Starting bankroll + settled P&amp;L. Stakes shrink after losses, grow after wins — automatically.</t>
  </si>
  <si>
    <t>FRACTIONAL → DECIMAL CONVERTER</t>
  </si>
  <si>
    <t>Numerator (a in a/b)</t>
  </si>
  <si>
    <t>Denominator (b)</t>
  </si>
  <si>
    <t>Decimal odds</t>
  </si>
  <si>
    <t>Implied probability</t>
  </si>
  <si>
    <t>MATCH DAY — 5 BABY STEPS (Matchday tab only)</t>
  </si>
  <si>
    <t>STEP 1 — TYPE THE ODDS.  Find today's match (Date column). In your betting app, set odds display to Decimal (Bet365: Settings → Odds format → Decimal). Type the three prices into the three yellow boxes: Odds 1 = home team, Odds X = draw, Odds 2 = away team. Example: 1.42, 4.50, 8.50.</t>
  </si>
  <si>
    <t>STEP 2 — READ THE ANSWER.  The sheet fills in PICK, DECISION, ENGINE STAKE £ and WHY. PASS → ENGINE STAKE shows "–" and FINAL ACTION shows "❌ NO BET": that IS the engine updating — it answered no, the price is not good enough. Close the app, you are done. Most matches end here; that is the engine saving your money, not failing.</t>
  </si>
  <si>
    <t>STEP 3 — TEAM NEWS + MOTIVATION.  Only when DECISION says BET: open wc26-matchday-intelligence and check injuries, lineups, weather — AND, in the final group round (amber match numbers, 24–27 Jun), whether both teams still have something to play for. All clear → Y. Star out, B-team, storm, or a dead rubber → N. FINAL ACTION then says exactly what to do: 🟢 PLACE, 🟡 WAIT, or 🔴 SKIP. The model cannot see group-table context, so this human check is load-bearing on Matchday 3.</t>
  </si>
  <si>
    <t>STEP 4 — LOG IT.  Bet ONLY the green instruction — exact amount, exact pick, never more. Then type: Placed = Y, Backed = the outcome you bet on (H/D/A), the odds you actually got, and your stake. If STATUS says "odds moved", the price changed too much — delete and retype the odds in Step 1 and check the answer again before betting.</t>
  </si>
  <si>
    <t>STEP 5 — AFTER FULL TIME.  Type the result: H = home won, D = draw, A = away won, Void = abandoned. Bankroll, P&amp;L and all future stake sizes update by themselves. Done.</t>
  </si>
  <si>
    <t>GOLDEN RULES</t>
  </si>
  <si>
    <t>"Likely to win" is NOT "worth betting". Mexico at 1.42 were very likely to win — the engine still said PASS because the price was too short. The only question that matters: is the bookmaker paying more than the chance is worth?</t>
  </si>
  <si>
    <t>Want to bet on a PASS anyway? Allowed — it is your fun money. But log it, and STATUS will honestly label it "⚠ FUN BET — engine said pass". Keep fun bets to a fiver. Your £20 Mexico bet is logged as exactly this.</t>
  </si>
  <si>
    <t>Never raise a stake because you "feel good", never chase a loss, never bet a 🟡 or 🔴.</t>
  </si>
  <si>
    <t>Optional homework: just before kickoff, note the closing odds in the last yellow column. CLV positive on most bets after 15–20 = the engine is genuinely beating the market (raise model weight). Mostly negative = your edge is fake (lower it).</t>
  </si>
  <si>
    <t>HOW THE ENGINE DECIDES (the maths, unchanged)</t>
  </si>
  <si>
    <t>Implied probability = 1 / decimal odds. The three sum to ~104–106%; the excess is the bookmaker margin, removed by normalising ("mkt" columns on the Bets tab). That de-vigged market is the strongest free predictor in football — it must be beaten, not matched. Betting probability = 35% your model + 65% market. EV per £1 = p × odds − 1. BET needs EV ≥ 2.5% AND edge ≥ 2.5pp. Stake = quarter-Kelly on current bankroll, capped at 3%.</t>
  </si>
  <si>
    <t>Why so strict: betting all 72 matches blind at £10 would cost ~£30–45 in pure margin. Maximum profit = bet the few mispricings, pass everything else.</t>
  </si>
  <si>
    <t>SHARING WITH FRIENDS</t>
  </si>
  <si>
    <t>The "£ / £100 bank" column on the Bets tab is bankroll-independent: a friend with £200 stakes 2× that number, £1,000 stakes 10×. Same rules: only 🟢 instructions, cap any bet at ~3% of their own pot.</t>
  </si>
  <si>
    <t>WHEN YOUR MODEL UPDATES (live re-sims after results)</t>
  </si>
  <si>
    <t>Yes — refresh before betting on later matchdays, using the Model Refresh tab: paste the new p_home_win / p_draw / p_away_win (match order) into its yellow block, then copy its output block and paste AS VALUES over Bets!I2:K73. The output automatically keeps the ORIGINAL probabilities for any match where Placed = Y, so already-placed bets are never reclassified and your record is never rewritten. P&amp;L itself is doubly safe: it grades against your logged Backed/odds/stake, which no refresh can touch.</t>
  </si>
  <si>
    <t>Audit rhythm: after ~10 graded bets, specifically check signals where your model had the favourite above 65% — that is where it runs hot (Spain/Argentina pattern). After 15–20, review avg CLV: consistently positive → raise model weight; negative → lower it.</t>
  </si>
  <si>
    <t>THE SMALL PRINT</t>
  </si>
  <si>
    <t>Entertainment with a method, not financial advice; no outcome is guaranteed — the most likely result of any £500 betting experiment is a small net loss. Bet only what you are happy to lose, set deposit limits, 18+, BeGambleAware.org. Friends bet at their own risk.</t>
  </si>
  <si>
    <t>AUTOMATION CONTROLS (v2 — live engine)</t>
  </si>
  <si>
    <t>CLV base weight w₀</t>
  </si>
  <si>
    <t>Anchor for the model weight. Stays at 0.35 unless CLV says otherwise.</t>
  </si>
  <si>
    <t>CLV trailing avg (auto)</t>
  </si>
  <si>
    <t>Mean closing-line value across all logged closes. Needs ≥5 grades.</t>
  </si>
  <si>
    <t>CLV sensitivity</t>
  </si>
  <si>
    <t>Knob: how aggressively w follows CLV. 0 = static. 0.5 = each +1pp CLV nudges w +0.5pp.</t>
  </si>
  <si>
    <t>Manual w override (blank = auto)</t>
  </si>
  <si>
    <t>Type 0.15–0.55 to pin w (values outside are clamped). Leave blank for CLV-actuated.</t>
  </si>
  <si>
    <t>Peak bankroll (auto)</t>
  </si>
  <si>
    <t>Highest bankroll reached. Drives the drawdown circuit-breaker.</t>
  </si>
  <si>
    <t>Current drawdown (auto)</t>
  </si>
  <si>
    <t>How far below peak you sit, as a fraction.</t>
  </si>
  <si>
    <t>Max drawdown allowed</t>
  </si>
  <si>
    <t>Drawdown threshold. B55 pauses staking when current drawdown &gt;= this, unless B54=Y. Circuit-breaker/live-feed pauses remain hard stops.</t>
  </si>
  <si>
    <t>Circuit breaker tripped? (auto)</t>
  </si>
  <si>
    <t>TRUE when current DD ≥ threshold.</t>
  </si>
  <si>
    <t>Override (Y to keep betting)</t>
  </si>
  <si>
    <t>Type Y to keep betting through drawdown only. Stale-feed and circuit-breaker pauses remain hard stops.</t>
  </si>
  <si>
    <t>PAUSE engine? (auto)</t>
  </si>
  <si>
    <t>TRUE pauses staking when drawdown is tripped without B54=Y, or when Live! feed/circuit-breaker/pipeline safety is active.</t>
  </si>
  <si>
    <t>De-vig method</t>
  </si>
  <si>
    <t>shin</t>
  </si>
  <si>
    <t>proportional / shin / power. Shin &amp; power lift favourites ~1pp vs proportional.</t>
  </si>
  <si>
    <t>Last model refresh (UTC, auto)</t>
  </si>
  <si>
    <t>Written by Apps Script when refreshModel() runs.</t>
  </si>
  <si>
    <t>Last live poll (UTC, auto)</t>
  </si>
  <si>
    <t>Written by Apps Script when refreshLive() runs.</t>
  </si>
  <si>
    <t>Live state mode (auto)</t>
  </si>
  <si>
    <t>From live_state.json: pre_tournament / in_progress / complete.</t>
  </si>
  <si>
    <t>Completed matches (auto)</t>
  </si>
  <si>
    <t>From live_state.json.completed_matches_count.</t>
  </si>
  <si>
    <t>Provider mode (auto)</t>
  </si>
  <si>
    <t>active / fallback — from live_state.json.provider_mode.</t>
  </si>
  <si>
    <t>Provider warnings (auto)</t>
  </si>
  <si>
    <t>Joined warnings array from live_state.json.warnings.</t>
  </si>
  <si>
    <t>Auto-refresh status</t>
  </si>
  <si>
    <t>LIVE OK · feed fresh</t>
  </si>
  <si>
    <t>Current live safety status/pause cause from refreshLive(). Auto-refresh trigger status is written only by install/remove auto-refresh.</t>
  </si>
  <si>
    <t>Bets!AH, Bets!S/T/U and Matchday!M auto-react to changes in B49-B56. The Apps Script (Extensions ▸ Apps Script) populates B57-B63 every cycle.</t>
  </si>
  <si>
    <t>v2.3.1: Bets!AW:AY are snapshot cells written by the script when you set Placed=Y (decision, engine stake, pick at that moment). STATUS and the Dashboard engine/fun split key off the snapshot, falling back to live values if the script is off.</t>
  </si>
  <si>
    <t>—— INTELLIGENCE &amp; DIAGNOSTICS (auto · v2.3) ——</t>
  </si>
  <si>
    <t>Intel generated at (UTC, auto)</t>
  </si>
  <si>
    <t>From matchday_intelligence.generated_at</t>
  </si>
  <si>
    <t>Intel total components (auto)</t>
  </si>
  <si>
    <t>Active injury/weather/lineup/stats adjustments now in play</t>
  </si>
  <si>
    <t>Intel teams affected (auto)</t>
  </si>
  <si>
    <t>Unique teams with at least one active adjustment</t>
  </si>
  <si>
    <t>Intel matches affected (auto)</t>
  </si>
  <si>
    <t>Unique matches with at least one active adjustment</t>
  </si>
  <si>
    <t>Intel aggregate caps hit (auto)</t>
  </si>
  <si>
    <t>Teams where the per-team Elo cap (±35) was binding</t>
  </si>
  <si>
    <t>Walk-forward mean log-loss (auto)</t>
  </si>
  <si>
    <t>Out-of-sample, averaged across WC2010/14/18/22 (lower = better)</t>
  </si>
  <si>
    <t>Walk-forward 2022 lift vs Elo (auto)</t>
  </si>
  <si>
    <t>Most recent cycle. &lt;0 means model trailed naive Elo baseline.</t>
  </si>
  <si>
    <t>Holdout log-loss (auto)</t>
  </si>
  <si>
    <t>From /calibration.json holdout (mixed-source; check scope below)</t>
  </si>
  <si>
    <t>Holdout lift vs Elo (auto)</t>
  </si>
  <si>
    <t>Holdout log-loss improvement vs Elo baseline</t>
  </si>
  <si>
    <t>Calibration validation scope (auto)</t>
  </si>
  <si>
    <t>in_sample_check — WC 2010-2018 likely in training set; use walk_forward.json for true out-of-sample.</t>
  </si>
  <si>
    <t>in_sample_check = WC matches may be in train set. Trust walk-forward instead.</t>
  </si>
  <si>
    <t>Calibration n_test (auto)</t>
  </si>
  <si>
    <t>Sample size backing the reliability bins</t>
  </si>
  <si>
    <t>Last diagnostics refresh (auto)</t>
  </si>
  <si>
    <t>When refreshDiagnostics() last ran</t>
  </si>
  <si>
    <t>Last intel refresh (auto)</t>
  </si>
  <si>
    <t>When refreshIntel() last ran</t>
  </si>
  <si>
    <t>Live safety kill (auto)</t>
  </si>
  <si>
    <t>TRUE when live_state is stale &gt; 25 min, missing/unfetchable, or carries a hard pipeline warning such as circuit_breaker, sim_failure, sigma_gate_failed, input_corruption, missing_model_artifacts, or orchestrator_crash.</t>
  </si>
  <si>
    <t>2026-07-09T15:45:15Z</t>
  </si>
  <si>
    <t>2026-07-09T15:45:14Z</t>
  </si>
  <si>
    <t>2026-07-09T15:45:46Z</t>
  </si>
  <si>
    <t>2026-07-09T15:45:12Z</t>
  </si>
  <si>
    <t>2026-07-09T15:45:11Z</t>
  </si>
  <si>
    <t>EV ceiling (auto-PASS above)</t>
  </si>
  <si>
    <t>Auto-PASS when displayed EV exceeds this. 0.30 = 30%. Above this is almost always model tail over-confidence at long odds — backtest on the first 60 WC26 group matches killed 9 BETs at 0W/9L with no winners lost. Set to 99 to disable.</t>
  </si>
  <si>
    <t>Max model/market prob ratio</t>
  </si>
  <si>
    <t>Auto-PASS when calibrated model_p / devigged market_p for the picked outcome exceeds this ratio. 2.5 = model claims the outcome is 2.5× more likely than the market thinks. Knockouts mirror raw I:K (no calibration LUT), so tail extrapolation rides without a safety net otherwise. Set to 99 to disable.</t>
  </si>
  <si>
    <t>CHAMPION PROBABILITIES — your model vs Opta vs market (context only; you are betting matches, not outrights)</t>
  </si>
  <si>
    <t>Team</t>
  </si>
  <si>
    <t>Your model</t>
  </si>
  <si>
    <t>Fair odds</t>
  </si>
  <si>
    <t>Opta 25k sims</t>
  </si>
  <si>
    <t>Model − Opta (pp)</t>
  </si>
  <si>
    <t>Bookie odds (enter)</t>
  </si>
  <si>
    <t>Implied</t>
  </si>
  <si>
    <t>n/a</t>
  </si>
  <si>
    <t>Read: your model is ~8pp hotter than Opta on Spain and Argentina and cooler on France/England. The market sits nearer Opta. Treat your model's strong-favourite probabilities as overconfident — that is exactly why match betting uses the 35% blend weight.</t>
  </si>
  <si>
    <t>Sources: your predictions.json (10 Jun 2026 snapshot) · Opta Analyst supercomputer, 25,000 pre-tournament sims, early Jun 2026.</t>
  </si>
  <si>
    <t>MODEL REFRESH — safe update after your pipeline re-simulates</t>
  </si>
  <si>
    <t>1. Open wc26-matchday-intelligence.vercel.app/predictions.json after a re-sim.</t>
  </si>
  <si>
    <t>2. Paste the new p_home_win / p_draw / p_away_win for matches 1–72 (in match order) into the yellow block B8:D79.</t>
  </si>
  <si>
    <t>3. Copy the OUTPUT block F8:H79 → on the Bets tab select I2 → paste AS VALUES (Google Sheets: Ctrl+Shift+V · Excel: Paste Special → Values).</t>
  </si>
  <si>
    <t>4. Done. Rows already placed (flagged PLACED) keep their original probabilities automatically — history is never rewritten.</t>
  </si>
  <si>
    <t>new pH</t>
  </si>
  <si>
    <t>new pD</t>
  </si>
  <si>
    <t>new pA</t>
  </si>
  <si>
    <t>flag</t>
  </si>
  <si>
    <t>OUT pH</t>
  </si>
  <si>
    <t>OUT pD</t>
  </si>
  <si>
    <t>OUT pA</t>
  </si>
  <si>
    <t>champion / advance / per-stage / group-winner / to-qualify</t>
  </si>
  <si>
    <t>Source: /predictions_live.json · team_predictions[] · pre-seeded at v2.3.1 build · Apps Script refreshes deltas every 10 min · type bookie odds in col L</t>
  </si>
  <si>
    <t>p_champion</t>
  </si>
  <si>
    <t>p_champ_p05</t>
  </si>
  <si>
    <t>p_champ_p95</t>
  </si>
  <si>
    <t>Spread (p95-p05)</t>
  </si>
  <si>
    <t>p_advance</t>
  </si>
  <si>
    <t>p_R16</t>
  </si>
  <si>
    <t>p_QF</t>
  </si>
  <si>
    <t>p_SF</t>
  </si>
  <si>
    <t>p_Final</t>
  </si>
  <si>
    <t>Bookie odds</t>
  </si>
  <si>
    <t>p_winner_grp</t>
  </si>
  <si>
    <t>p_2nd_grp</t>
  </si>
  <si>
    <t>p_3rd_place</t>
  </si>
  <si>
    <t>IN-PLAY — live match score + elapsed (from /live_state.json:in_play[])</t>
  </si>
  <si>
    <t>Last refresh (UTC)</t>
  </si>
  <si>
    <t>Home score</t>
  </si>
  <si>
    <t>Away score</t>
  </si>
  <si>
    <t>Elapsed</t>
  </si>
  <si>
    <t>Status (long)</t>
  </si>
  <si>
    <t>Pulled at</t>
  </si>
  <si>
    <t>(no matches in play right now)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</si>
</sst>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yyyy-mm-dd"/>
    <numFmt numFmtId="165" formatCode="\£#,##0"/>
    <numFmt numFmtId="166" formatCode="dd\ mmm"/>
    <numFmt numFmtId="167" formatCode="\£#,##0;&quot;(£&quot;#,##0\);\£0"/>
    <numFmt numFmtId="168" formatCode="\+0.0%;\-0.0%"/>
    <numFmt numFmtId="169" formatCode="0.0%"/>
    <numFmt numFmtId="170" formatCode="\+0.0%"/>
    <numFmt numFmtId="171" formatCode="ddd\ dd\ mmm"/>
    <numFmt numFmtId="172" formatCode="\£#,##0;&quot;(£&quot;#,##0\);\–"/>
    <numFmt numFmtId="173" formatCode="D/M/YYYY"/>
    <numFmt numFmtId="174" formatCode="hh:mm"/>
    <numFmt numFmtId="175" formatCode="\+0.0%;\-0.0%;0.0%"/>
    <numFmt numFmtId="176" formatCode="\£0.0"/>
    <numFmt numFmtId="177" formatCode="[$£-809]#,##0.00"/>
    <numFmt numFmtId="178" formatCode="0.000"/>
  </numFmts>
  <fonts count="37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000000"/>
      <name val="Arial"/>
    </font>
    <font>
      <b/>
      <sz val="10.0"/>
      <color rgb="FF000000"/>
      <name val="Arial"/>
    </font>
    <font>
      <sz val="9.0"/>
      <color rgb="FF000000"/>
      <name val="Arial"/>
    </font>
    <font>
      <b/>
      <sz val="11.0"/>
      <color rgb="FF000000"/>
      <name val="Arial"/>
    </font>
    <font>
      <sz val="8.0"/>
      <color rgb="FF000000"/>
      <name val="Arial"/>
    </font>
    <font>
      <b/>
      <sz val="11.0"/>
      <color theme="1"/>
      <name val="Calibri"/>
    </font>
    <font>
      <sz val="9.0"/>
      <color theme="1"/>
      <name val="Arial"/>
    </font>
    <font>
      <color theme="1"/>
      <name val="Calibri"/>
    </font>
    <font>
      <color theme="1"/>
      <name val="Calibri"/>
      <scheme val="minor"/>
    </font>
    <font>
      <b/>
      <sz val="15.0"/>
      <color rgb="FF000000"/>
      <name val="Arial"/>
    </font>
    <font>
      <i/>
      <sz val="9.0"/>
      <color rgb="FF6B7280"/>
      <name val="Arial"/>
    </font>
    <font>
      <sz val="9.0"/>
      <color rgb="FF6B7280"/>
      <name val="Arial"/>
    </font>
    <font>
      <b/>
      <sz val="12.0"/>
      <color rgb="FF008000"/>
      <name val="Arial"/>
    </font>
    <font>
      <sz val="9.0"/>
      <color rgb="FFB45309"/>
      <name val="Arial"/>
    </font>
    <font>
      <b/>
      <sz val="9.0"/>
      <color rgb="FFFFFFFF"/>
      <name val="Arial"/>
    </font>
    <font>
      <b/>
      <sz val="9.0"/>
      <color rgb="FF000000"/>
      <name val="Arial"/>
    </font>
    <font>
      <sz val="9.0"/>
      <color rgb="FF374151"/>
      <name val="Arial"/>
    </font>
    <font>
      <b/>
      <sz val="11.0"/>
      <color rgb="FFFFFFFF"/>
      <name val="Calibri"/>
    </font>
    <font/>
    <font>
      <u/>
      <sz val="11.0"/>
      <color rgb="FF0000FF"/>
      <name val="Calibri"/>
    </font>
    <font>
      <i/>
      <sz val="9.0"/>
      <color rgb="FF595959"/>
      <name val="Calibri"/>
    </font>
    <font>
      <i/>
      <color rgb="FF808080"/>
      <name val="Calibri"/>
    </font>
    <font>
      <b/>
      <color theme="1"/>
      <name val="Calibri"/>
    </font>
    <font>
      <sz val="9.0"/>
      <color rgb="FF008000"/>
      <name val="Arial"/>
    </font>
    <font>
      <b/>
      <sz val="13.0"/>
      <color rgb="FF000000"/>
      <name val="Arial"/>
    </font>
    <font>
      <b/>
      <sz val="8.0"/>
      <color rgb="FFFFFFFF"/>
      <name val="Arial"/>
    </font>
    <font>
      <sz val="10.0"/>
      <color rgb="FF0000FF"/>
      <name val="Arial"/>
    </font>
    <font>
      <b/>
      <sz val="11.0"/>
      <color rgb="FF008000"/>
      <name val="Arial"/>
    </font>
    <font>
      <sz val="10.0"/>
      <color rgb="FF000000"/>
      <name val="Arial"/>
    </font>
    <font>
      <i/>
      <sz val="9.0"/>
      <color rgb="FF595959"/>
      <name val="Arial"/>
    </font>
    <font>
      <sz val="9.0"/>
      <color rgb="FF0000FF"/>
      <name val="Arial"/>
    </font>
    <font>
      <i/>
      <sz val="8.0"/>
      <color rgb="FF6B7280"/>
      <name val="Arial"/>
    </font>
    <font>
      <sz val="8.0"/>
      <color rgb="FFB45309"/>
      <name val="Arial"/>
    </font>
    <font>
      <b/>
      <sz val="14.0"/>
      <color theme="1"/>
      <name val="Calibri"/>
    </font>
    <font>
      <i/>
      <color rgb="FFAAAAAA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  <fill>
      <patternFill patternType="solid">
        <fgColor rgb="FF1F2937"/>
        <bgColor rgb="FF1F2937"/>
      </patternFill>
    </fill>
    <fill>
      <patternFill patternType="solid">
        <fgColor rgb="FF305496"/>
        <bgColor rgb="FF305496"/>
      </patternFill>
    </fill>
    <fill>
      <patternFill patternType="solid">
        <fgColor rgb="FFE7E6E6"/>
        <bgColor rgb="FFE7E6E6"/>
      </patternFill>
    </fill>
    <fill>
      <patternFill patternType="solid">
        <fgColor rgb="FF6B7280"/>
        <bgColor rgb="FF6B7280"/>
      </patternFill>
    </fill>
    <fill>
      <patternFill patternType="solid">
        <fgColor rgb="FF2563EB"/>
        <bgColor rgb="FF2563EB"/>
      </patternFill>
    </fill>
    <fill>
      <patternFill patternType="solid">
        <fgColor rgb="FF7C3AED"/>
        <bgColor rgb="FF7C3AED"/>
      </patternFill>
    </fill>
    <fill>
      <patternFill patternType="solid">
        <fgColor rgb="FFD97706"/>
        <bgColor rgb="FFD97706"/>
      </patternFill>
    </fill>
    <fill>
      <patternFill patternType="solid">
        <fgColor rgb="FF059669"/>
        <bgColor rgb="FF059669"/>
      </patternFill>
    </fill>
    <fill>
      <patternFill patternType="solid">
        <fgColor rgb="FF374151"/>
        <bgColor rgb="FF374151"/>
      </patternFill>
    </fill>
    <fill>
      <patternFill patternType="solid">
        <fgColor rgb="FFF4CCCC"/>
        <bgColor rgb="FFF4CCCC"/>
      </patternFill>
    </fill>
    <fill>
      <patternFill patternType="solid">
        <fgColor rgb="FFFFF7CC"/>
        <bgColor rgb="FFFFF7CC"/>
      </patternFill>
    </fill>
    <fill>
      <patternFill patternType="solid">
        <fgColor rgb="FFFEF3C7"/>
        <bgColor rgb="FFFEF3C7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E699"/>
      </patternFill>
    </fill>
    <fill>
      <patternFill patternType="solid">
        <fgColor rgb="FFFFF8DC"/>
        <bgColor rgb="FFFFF8DC"/>
      </patternFill>
    </fill>
  </fills>
  <borders count="6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top/>
      <bottom/>
    </border>
    <border>
      <top/>
      <bottom/>
    </border>
    <border>
      <left/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Alignment="1" applyFont="1">
      <alignment vertical="bottom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shrinkToFit="0" wrapText="1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9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1" fillId="2" fontId="14" numFmtId="165" xfId="0" applyAlignment="1" applyBorder="1" applyFill="1" applyFont="1" applyNumberFormat="1">
      <alignment horizontal="center" vertical="center"/>
    </xf>
    <xf borderId="1" fillId="2" fontId="14" numFmtId="1" xfId="0" applyAlignment="1" applyBorder="1" applyFont="1" applyNumberFormat="1">
      <alignment horizontal="center" vertical="center"/>
    </xf>
    <xf borderId="0" fillId="0" fontId="15" numFmtId="0" xfId="0" applyAlignment="1" applyFont="1">
      <alignment horizontal="left" shrinkToFit="0" vertical="top" wrapText="1"/>
    </xf>
    <xf borderId="1" fillId="2" fontId="14" numFmtId="166" xfId="0" applyAlignment="1" applyBorder="1" applyFont="1" applyNumberFormat="1">
      <alignment horizontal="center" vertical="center"/>
    </xf>
    <xf borderId="1" fillId="2" fontId="14" numFmtId="167" xfId="0" applyAlignment="1" applyBorder="1" applyFont="1" applyNumberFormat="1">
      <alignment horizontal="center" vertical="center"/>
    </xf>
    <xf borderId="1" fillId="2" fontId="14" numFmtId="168" xfId="0" applyAlignment="1" applyBorder="1" applyFont="1" applyNumberFormat="1">
      <alignment horizontal="center" vertical="center"/>
    </xf>
    <xf borderId="1" fillId="2" fontId="14" numFmtId="169" xfId="0" applyAlignment="1" applyBorder="1" applyFont="1" applyNumberFormat="1">
      <alignment horizontal="center" vertical="center"/>
    </xf>
    <xf borderId="1" fillId="2" fontId="14" numFmtId="0" xfId="0" applyAlignment="1" applyBorder="1" applyFont="1">
      <alignment horizontal="center" vertical="center"/>
    </xf>
    <xf borderId="0" fillId="0" fontId="5" numFmtId="0" xfId="0" applyAlignment="1" applyFont="1">
      <alignment vertical="bottom"/>
    </xf>
    <xf borderId="1" fillId="3" fontId="16" numFmtId="0" xfId="0" applyAlignment="1" applyBorder="1" applyFill="1" applyFont="1">
      <alignment horizontal="center" vertical="center"/>
    </xf>
    <xf borderId="1" fillId="0" fontId="4" numFmtId="1" xfId="0" applyAlignment="1" applyBorder="1" applyFont="1" applyNumberFormat="1">
      <alignment horizontal="center" vertical="center"/>
    </xf>
    <xf borderId="1" fillId="0" fontId="4" numFmtId="166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0" fontId="17" numFmtId="0" xfId="0" applyAlignment="1" applyBorder="1" applyFont="1">
      <alignment horizontal="left" vertical="center"/>
    </xf>
    <xf borderId="1" fillId="0" fontId="4" numFmtId="2" xfId="0" applyAlignment="1" applyBorder="1" applyFont="1" applyNumberFormat="1">
      <alignment horizontal="center" vertical="center"/>
    </xf>
    <xf borderId="1" fillId="0" fontId="4" numFmtId="170" xfId="0" applyAlignment="1" applyBorder="1" applyFont="1" applyNumberFormat="1">
      <alignment horizontal="center" vertical="center"/>
    </xf>
    <xf borderId="1" fillId="0" fontId="4" numFmtId="165" xfId="0" applyAlignment="1" applyBorder="1" applyFont="1" applyNumberFormat="1">
      <alignment horizontal="center" vertical="center"/>
    </xf>
    <xf borderId="0" fillId="0" fontId="18" numFmtId="0" xfId="0" applyAlignment="1" applyFont="1">
      <alignment vertical="bottom"/>
    </xf>
    <xf borderId="1" fillId="0" fontId="4" numFmtId="171" xfId="0" applyAlignment="1" applyBorder="1" applyFont="1" applyNumberFormat="1">
      <alignment horizontal="left" vertical="center"/>
    </xf>
    <xf borderId="1" fillId="0" fontId="4" numFmtId="172" xfId="0" applyAlignment="1" applyBorder="1" applyFont="1" applyNumberFormat="1">
      <alignment horizontal="center" vertical="center"/>
    </xf>
    <xf borderId="2" fillId="4" fontId="19" numFmtId="0" xfId="0" applyAlignment="1" applyBorder="1" applyFill="1" applyFont="1">
      <alignment vertical="bottom"/>
    </xf>
    <xf borderId="3" fillId="0" fontId="20" numFmtId="0" xfId="0" applyBorder="1" applyFont="1"/>
    <xf borderId="0" fillId="0" fontId="21" numFmtId="0" xfId="0" applyAlignment="1" applyFont="1">
      <alignment vertical="bottom"/>
    </xf>
    <xf borderId="0" fillId="0" fontId="1" numFmtId="0" xfId="0" applyAlignment="1" applyFont="1">
      <alignment vertical="center"/>
    </xf>
    <xf borderId="4" fillId="5" fontId="1" numFmtId="173" xfId="0" applyAlignment="1" applyBorder="1" applyFill="1" applyFont="1" applyNumberFormat="1">
      <alignment readingOrder="0" vertical="center"/>
    </xf>
    <xf borderId="0" fillId="0" fontId="22" numFmtId="0" xfId="0" applyAlignment="1" applyFont="1">
      <alignment vertical="bottom"/>
    </xf>
    <xf borderId="4" fillId="5" fontId="1" numFmtId="0" xfId="0" applyAlignment="1" applyBorder="1" applyFont="1">
      <alignment readingOrder="0" vertical="center"/>
    </xf>
    <xf borderId="4" fillId="5" fontId="1" numFmtId="0" xfId="0" applyAlignment="1" applyBorder="1" applyFont="1">
      <alignment readingOrder="0" vertical="center"/>
    </xf>
    <xf borderId="4" fillId="5" fontId="1" numFmtId="0" xfId="0" applyAlignment="1" applyBorder="1" applyFont="1">
      <alignment vertical="center"/>
    </xf>
    <xf borderId="0" fillId="0" fontId="1" numFmtId="0" xfId="0" applyAlignment="1" applyFont="1">
      <alignment shrinkToFit="0" vertical="bottom" wrapText="1"/>
    </xf>
    <xf borderId="0" fillId="0" fontId="22" numFmtId="0" xfId="0" applyAlignment="1" applyFont="1">
      <alignment shrinkToFit="0" vertical="top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23" numFmtId="0" xfId="0" applyAlignment="1" applyFont="1">
      <alignment vertical="bottom"/>
    </xf>
    <xf borderId="1" fillId="3" fontId="16" numFmtId="0" xfId="0" applyAlignment="1" applyBorder="1" applyFont="1">
      <alignment horizontal="center" vertical="bottom"/>
    </xf>
    <xf borderId="0" fillId="0" fontId="24" numFmtId="0" xfId="0" applyFont="1"/>
    <xf borderId="1" fillId="0" fontId="4" numFmtId="166" xfId="0" applyAlignment="1" applyBorder="1" applyFont="1" applyNumberFormat="1">
      <alignment readingOrder="0" vertical="bottom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 vertical="bottom"/>
    </xf>
    <xf borderId="1" fillId="0" fontId="4" numFmtId="174" xfId="0" applyAlignment="1" applyBorder="1" applyFont="1" applyNumberFormat="1">
      <alignment horizontal="center" readingOrder="0" vertical="center"/>
    </xf>
    <xf borderId="1" fillId="0" fontId="4" numFmtId="169" xfId="0" applyAlignment="1" applyBorder="1" applyFont="1" applyNumberFormat="1">
      <alignment readingOrder="0" vertical="bottom"/>
    </xf>
    <xf borderId="1" fillId="0" fontId="25" numFmtId="2" xfId="0" applyAlignment="1" applyBorder="1" applyFont="1" applyNumberFormat="1">
      <alignment vertical="bottom"/>
    </xf>
    <xf borderId="1" fillId="0" fontId="4" numFmtId="169" xfId="0" applyAlignment="1" applyBorder="1" applyFont="1" applyNumberFormat="1">
      <alignment vertical="bottom"/>
    </xf>
    <xf borderId="1" fillId="0" fontId="4" numFmtId="175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17" numFmtId="0" xfId="0" applyAlignment="1" applyBorder="1" applyFont="1">
      <alignment vertical="bottom"/>
    </xf>
    <xf borderId="1" fillId="0" fontId="17" numFmtId="0" xfId="0" applyAlignment="1" applyBorder="1" applyFont="1">
      <alignment horizontal="center" vertical="center"/>
    </xf>
    <xf borderId="1" fillId="0" fontId="4" numFmtId="176" xfId="0" applyAlignment="1" applyBorder="1" applyFont="1" applyNumberFormat="1">
      <alignment vertical="bottom"/>
    </xf>
    <xf borderId="1" fillId="0" fontId="3" numFmtId="172" xfId="0" applyAlignment="1" applyBorder="1" applyFont="1" applyNumberFormat="1">
      <alignment vertical="bottom"/>
    </xf>
    <xf borderId="1" fillId="0" fontId="25" numFmtId="0" xfId="0" applyAlignment="1" applyBorder="1" applyFont="1">
      <alignment horizontal="center" vertical="center"/>
    </xf>
    <xf borderId="1" fillId="0" fontId="25" numFmtId="172" xfId="0" applyAlignment="1" applyBorder="1" applyFont="1" applyNumberFormat="1">
      <alignment vertical="bottom"/>
    </xf>
    <xf borderId="1" fillId="0" fontId="4" numFmtId="172" xfId="0" applyAlignment="1" applyBorder="1" applyFont="1" applyNumberFormat="1">
      <alignment vertical="bottom"/>
    </xf>
    <xf borderId="1" fillId="2" fontId="8" numFmtId="0" xfId="0" applyAlignment="1" applyBorder="1" applyFont="1">
      <alignment horizontal="center" vertical="bottom"/>
    </xf>
    <xf borderId="1" fillId="2" fontId="8" numFmtId="165" xfId="0" applyAlignment="1" applyBorder="1" applyFont="1" applyNumberFormat="1">
      <alignment horizontal="center" vertical="bottom"/>
    </xf>
    <xf borderId="0" fillId="0" fontId="1" numFmtId="164" xfId="0" applyAlignment="1" applyFont="1" applyNumberFormat="1">
      <alignment readingOrder="0" vertical="bottom"/>
    </xf>
    <xf borderId="0" fillId="0" fontId="1" numFmtId="174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0" fontId="10" numFmtId="0" xfId="0" applyAlignment="1" applyFont="1">
      <alignment readingOrder="0"/>
    </xf>
    <xf borderId="0" fillId="0" fontId="26" numFmtId="0" xfId="0" applyAlignment="1" applyFont="1">
      <alignment vertical="bottom"/>
    </xf>
    <xf borderId="0" fillId="0" fontId="9" numFmtId="177" xfId="0" applyAlignment="1" applyFont="1" applyNumberFormat="1">
      <alignment horizontal="center"/>
    </xf>
    <xf borderId="0" fillId="0" fontId="9" numFmtId="177" xfId="0" applyAlignment="1" applyFont="1" applyNumberFormat="1">
      <alignment horizontal="center" readingOrder="0"/>
    </xf>
    <xf borderId="2" fillId="6" fontId="16" numFmtId="0" xfId="0" applyAlignment="1" applyBorder="1" applyFill="1" applyFont="1">
      <alignment horizontal="center" vertical="center"/>
    </xf>
    <xf borderId="2" fillId="7" fontId="16" numFmtId="0" xfId="0" applyAlignment="1" applyBorder="1" applyFill="1" applyFont="1">
      <alignment horizontal="center" vertical="center"/>
    </xf>
    <xf borderId="2" fillId="8" fontId="16" numFmtId="0" xfId="0" applyAlignment="1" applyBorder="1" applyFill="1" applyFont="1">
      <alignment horizontal="center" vertical="center"/>
    </xf>
    <xf borderId="2" fillId="9" fontId="16" numFmtId="0" xfId="0" applyAlignment="1" applyBorder="1" applyFill="1" applyFont="1">
      <alignment horizontal="center" vertical="center"/>
    </xf>
    <xf borderId="2" fillId="10" fontId="16" numFmtId="0" xfId="0" applyAlignment="1" applyBorder="1" applyFill="1" applyFont="1">
      <alignment horizontal="center" vertical="center"/>
    </xf>
    <xf borderId="4" fillId="11" fontId="16" numFmtId="0" xfId="0" applyAlignment="1" applyBorder="1" applyFill="1" applyFont="1">
      <alignment horizontal="center" vertical="center"/>
    </xf>
    <xf borderId="1" fillId="3" fontId="27" numFmtId="0" xfId="0" applyAlignment="1" applyBorder="1" applyFont="1">
      <alignment horizontal="center" shrinkToFit="0" vertical="center" wrapText="1"/>
    </xf>
    <xf borderId="1" fillId="12" fontId="18" numFmtId="0" xfId="0" applyAlignment="1" applyBorder="1" applyFill="1" applyFont="1">
      <alignment horizontal="center" vertical="center"/>
    </xf>
    <xf borderId="1" fillId="12" fontId="18" numFmtId="171" xfId="0" applyAlignment="1" applyBorder="1" applyFont="1" applyNumberFormat="1">
      <alignment horizontal="left" vertical="center"/>
    </xf>
    <xf borderId="1" fillId="12" fontId="18" numFmtId="174" xfId="0" applyAlignment="1" applyBorder="1" applyFont="1" applyNumberFormat="1">
      <alignment horizontal="center" vertical="center"/>
    </xf>
    <xf borderId="1" fillId="12" fontId="18" numFmtId="0" xfId="0" applyAlignment="1" applyBorder="1" applyFont="1">
      <alignment horizontal="left" vertical="center"/>
    </xf>
    <xf borderId="1" fillId="13" fontId="28" numFmtId="2" xfId="0" applyAlignment="1" applyBorder="1" applyFill="1" applyFont="1" applyNumberFormat="1">
      <alignment horizontal="center" vertical="center"/>
    </xf>
    <xf borderId="1" fillId="2" fontId="17" numFmtId="0" xfId="0" applyAlignment="1" applyBorder="1" applyFont="1">
      <alignment horizontal="left" vertical="center"/>
    </xf>
    <xf borderId="1" fillId="2" fontId="17" numFmtId="0" xfId="0" applyAlignment="1" applyBorder="1" applyFont="1">
      <alignment horizontal="center" vertical="center"/>
    </xf>
    <xf borderId="1" fillId="2" fontId="18" numFmtId="172" xfId="0" applyAlignment="1" applyBorder="1" applyFont="1" applyNumberFormat="1">
      <alignment horizontal="center" vertical="center"/>
    </xf>
    <xf borderId="1" fillId="2" fontId="18" numFmtId="0" xfId="0" applyAlignment="1" applyBorder="1" applyFont="1">
      <alignment horizontal="left" vertical="center"/>
    </xf>
    <xf borderId="1" fillId="13" fontId="28" numFmtId="0" xfId="0" applyAlignment="1" applyBorder="1" applyFont="1">
      <alignment horizontal="center" vertical="center"/>
    </xf>
    <xf borderId="1" fillId="13" fontId="28" numFmtId="165" xfId="0" applyAlignment="1" applyBorder="1" applyFont="1" applyNumberFormat="1">
      <alignment horizontal="center" vertical="center"/>
    </xf>
    <xf borderId="1" fillId="2" fontId="18" numFmtId="168" xfId="0" applyAlignment="1" applyBorder="1" applyFont="1" applyNumberFormat="1">
      <alignment horizontal="center" vertical="center"/>
    </xf>
    <xf borderId="1" fillId="13" fontId="28" numFmtId="4" xfId="0" applyAlignment="1" applyBorder="1" applyFont="1" applyNumberFormat="1">
      <alignment horizontal="center" vertical="center"/>
    </xf>
    <xf borderId="1" fillId="2" fontId="18" numFmtId="0" xfId="0" applyAlignment="1" applyBorder="1" applyFont="1">
      <alignment horizontal="center" vertical="center"/>
    </xf>
    <xf borderId="1" fillId="2" fontId="18" numFmtId="171" xfId="0" applyAlignment="1" applyBorder="1" applyFont="1" applyNumberFormat="1">
      <alignment horizontal="left" vertical="center"/>
    </xf>
    <xf borderId="1" fillId="2" fontId="18" numFmtId="174" xfId="0" applyAlignment="1" applyBorder="1" applyFont="1" applyNumberFormat="1">
      <alignment horizontal="center" vertical="center"/>
    </xf>
    <xf borderId="1" fillId="14" fontId="18" numFmtId="0" xfId="0" applyAlignment="1" applyBorder="1" applyFill="1" applyFont="1">
      <alignment horizontal="center" vertical="center"/>
    </xf>
    <xf borderId="1" fillId="14" fontId="18" numFmtId="171" xfId="0" applyAlignment="1" applyBorder="1" applyFont="1" applyNumberFormat="1">
      <alignment horizontal="left" vertical="center"/>
    </xf>
    <xf borderId="1" fillId="13" fontId="28" numFmtId="0" xfId="0" applyAlignment="1" applyBorder="1" applyFont="1">
      <alignment horizontal="center" readingOrder="0" vertical="center"/>
    </xf>
    <xf borderId="1" fillId="13" fontId="28" numFmtId="2" xfId="0" applyAlignment="1" applyBorder="1" applyFont="1" applyNumberFormat="1">
      <alignment horizontal="center" readingOrder="0" vertical="center"/>
    </xf>
    <xf borderId="1" fillId="13" fontId="28" numFmtId="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15" fontId="28" numFmtId="165" xfId="0" applyAlignment="1" applyBorder="1" applyFill="1" applyFont="1" applyNumberFormat="1">
      <alignment horizontal="center" vertical="center"/>
    </xf>
    <xf borderId="0" fillId="0" fontId="18" numFmtId="0" xfId="0" applyAlignment="1" applyFont="1">
      <alignment horizontal="left" shrinkToFit="0" vertical="top" wrapText="1"/>
    </xf>
    <xf borderId="1" fillId="15" fontId="28" numFmtId="2" xfId="0" applyAlignment="1" applyBorder="1" applyFont="1" applyNumberFormat="1">
      <alignment horizontal="center" vertical="center"/>
    </xf>
    <xf borderId="0" fillId="0" fontId="18" numFmtId="0" xfId="0" applyAlignment="1" applyFont="1">
      <alignment shrinkToFit="0" vertical="center" wrapText="1"/>
    </xf>
    <xf borderId="1" fillId="15" fontId="28" numFmtId="9" xfId="0" applyAlignment="1" applyBorder="1" applyFont="1" applyNumberFormat="1">
      <alignment horizontal="center" vertical="center"/>
    </xf>
    <xf borderId="1" fillId="15" fontId="28" numFmtId="169" xfId="0" applyAlignment="1" applyBorder="1" applyFont="1" applyNumberFormat="1">
      <alignment horizontal="center" vertical="center"/>
    </xf>
    <xf borderId="1" fillId="0" fontId="29" numFmtId="165" xfId="0" applyAlignment="1" applyBorder="1" applyFont="1" applyNumberFormat="1">
      <alignment horizontal="center" vertical="center"/>
    </xf>
    <xf borderId="0" fillId="0" fontId="30" numFmtId="0" xfId="0" applyAlignment="1" applyFont="1">
      <alignment vertical="bottom"/>
    </xf>
    <xf borderId="1" fillId="15" fontId="28" numFmtId="0" xfId="0" applyAlignment="1" applyBorder="1" applyFont="1">
      <alignment horizontal="center" vertical="center"/>
    </xf>
    <xf borderId="1" fillId="0" fontId="30" numFmtId="2" xfId="0" applyAlignment="1" applyBorder="1" applyFont="1" applyNumberFormat="1">
      <alignment horizontal="center" vertical="center"/>
    </xf>
    <xf borderId="1" fillId="0" fontId="30" numFmtId="169" xfId="0" applyAlignment="1" applyBorder="1" applyFont="1" applyNumberFormat="1">
      <alignment horizontal="center" vertical="center"/>
    </xf>
    <xf borderId="4" fillId="4" fontId="19" numFmtId="0" xfId="0" applyAlignment="1" applyBorder="1" applyFont="1">
      <alignment vertical="bottom"/>
    </xf>
    <xf borderId="5" fillId="16" fontId="1" numFmtId="2" xfId="0" applyAlignment="1" applyBorder="1" applyFill="1" applyFont="1" applyNumberFormat="1">
      <alignment horizontal="center" vertical="center"/>
    </xf>
    <xf borderId="0" fillId="0" fontId="22" numFmtId="0" xfId="0" applyAlignment="1" applyFont="1">
      <alignment shrinkToFit="0" vertical="center" wrapText="1"/>
    </xf>
    <xf borderId="5" fillId="5" fontId="1" numFmtId="10" xfId="0" applyAlignment="1" applyBorder="1" applyFont="1" applyNumberFormat="1">
      <alignment horizontal="center" vertical="center"/>
    </xf>
    <xf borderId="5" fillId="5" fontId="1" numFmtId="165" xfId="0" applyAlignment="1" applyBorder="1" applyFont="1" applyNumberFormat="1">
      <alignment horizontal="center" vertical="center"/>
    </xf>
    <xf borderId="5" fillId="16" fontId="1" numFmtId="10" xfId="0" applyAlignment="1" applyBorder="1" applyFont="1" applyNumberFormat="1">
      <alignment horizontal="center" vertical="center"/>
    </xf>
    <xf borderId="0" fillId="0" fontId="22" numFmtId="0" xfId="0" applyAlignment="1" applyFont="1">
      <alignment readingOrder="0" shrinkToFit="0" vertical="center" wrapText="1"/>
    </xf>
    <xf borderId="5" fillId="5" fontId="1" numFmtId="0" xfId="0" applyAlignment="1" applyBorder="1" applyFont="1">
      <alignment horizontal="center" vertical="center"/>
    </xf>
    <xf borderId="5" fillId="16" fontId="1" numFmtId="0" xfId="0" applyAlignment="1" applyBorder="1" applyFont="1">
      <alignment horizontal="center" vertical="center"/>
    </xf>
    <xf borderId="5" fillId="5" fontId="1" numFmtId="173" xfId="0" applyAlignment="1" applyBorder="1" applyFont="1" applyNumberFormat="1">
      <alignment horizontal="center" readingOrder="0" vertical="center"/>
    </xf>
    <xf borderId="5" fillId="5" fontId="1" numFmtId="0" xfId="0" applyAlignment="1" applyBorder="1" applyFont="1">
      <alignment horizontal="center" readingOrder="0" vertical="center"/>
    </xf>
    <xf borderId="5" fillId="5" fontId="1" numFmtId="0" xfId="0" applyAlignment="1" applyBorder="1" applyFont="1">
      <alignment horizontal="center" readingOrder="0" vertical="center"/>
    </xf>
    <xf borderId="0" fillId="0" fontId="31" numFmtId="0" xfId="0" applyAlignment="1" applyFont="1">
      <alignment shrinkToFit="0" vertical="bottom" wrapText="1"/>
    </xf>
    <xf borderId="0" fillId="0" fontId="1" numFmtId="173" xfId="0" applyAlignment="1" applyFont="1" applyNumberFormat="1">
      <alignment readingOrder="0" vertical="bottom"/>
    </xf>
    <xf borderId="0" fillId="0" fontId="23" numFmtId="0" xfId="0" applyAlignment="1" applyFont="1">
      <alignment readingOrder="0" vertical="bottom"/>
    </xf>
    <xf borderId="1" fillId="0" fontId="4" numFmtId="169" xfId="0" applyAlignment="1" applyBorder="1" applyFont="1" applyNumberFormat="1">
      <alignment horizontal="center" vertical="center"/>
    </xf>
    <xf borderId="1" fillId="13" fontId="32" numFmtId="2" xfId="0" applyAlignment="1" applyBorder="1" applyFont="1" applyNumberFormat="1">
      <alignment horizontal="center" vertical="center"/>
    </xf>
    <xf borderId="0" fillId="0" fontId="33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1" fillId="13" fontId="32" numFmtId="178" xfId="0" applyAlignment="1" applyBorder="1" applyFont="1" applyNumberFormat="1">
      <alignment horizontal="center" vertical="center"/>
    </xf>
    <xf borderId="1" fillId="0" fontId="34" numFmtId="0" xfId="0" applyAlignment="1" applyBorder="1" applyFont="1">
      <alignment horizontal="center" vertical="center"/>
    </xf>
    <xf borderId="1" fillId="0" fontId="4" numFmtId="178" xfId="0" applyAlignment="1" applyBorder="1" applyFont="1" applyNumberFormat="1">
      <alignment horizontal="center" vertical="center"/>
    </xf>
    <xf borderId="0" fillId="0" fontId="35" numFmtId="0" xfId="0" applyFont="1"/>
    <xf borderId="0" fillId="0" fontId="23" numFmtId="0" xfId="0" applyFont="1"/>
    <xf borderId="0" fillId="17" fontId="24" numFmtId="0" xfId="0" applyFill="1" applyFont="1"/>
    <xf borderId="0" fillId="0" fontId="36" numFmtId="0" xfId="0" applyAlignment="1" applyFont="1">
      <alignment readingOrder="0"/>
    </xf>
    <xf borderId="0" fillId="0" fontId="1" numFmtId="173" xfId="0" applyAlignment="1" applyFont="1" applyNumberFormat="1">
      <alignment readingOrder="0"/>
    </xf>
    <xf borderId="0" fillId="0" fontId="1" numFmtId="173" xfId="0" applyFont="1" applyNumberFormat="1"/>
  </cellXfs>
  <cellStyles count="1">
    <cellStyle xfId="0" name="Normal" builtinId="0"/>
  </cellStyles>
  <dxfs count="6">
    <dxf>
      <font>
        <color rgb="FFB91C1C"/>
        <name val="Arial"/>
      </font>
      <fill>
        <patternFill patternType="none"/>
      </fill>
      <border/>
    </dxf>
    <dxf>
      <font>
        <color rgb="FF15803D"/>
        <name val="Arial"/>
      </font>
      <fill>
        <patternFill patternType="none"/>
      </fill>
      <border/>
    </dxf>
    <dxf>
      <font>
        <b/>
        <color rgb="FF14532D"/>
        <name val="Arial"/>
      </font>
      <fill>
        <patternFill patternType="solid">
          <fgColor rgb="FF86EFAC"/>
          <bgColor rgb="FF86EFAC"/>
        </patternFill>
      </fill>
      <border/>
    </dxf>
    <dxf>
      <font>
        <color rgb="FF9CA3AF"/>
        <name val="Arial"/>
      </font>
      <fill>
        <patternFill patternType="none"/>
      </fill>
      <border/>
    </dxf>
    <dxf>
      <font/>
      <fill>
        <patternFill patternType="solid">
          <fgColor rgb="FFFDE68A"/>
          <bgColor rgb="FFFDE68A"/>
        </patternFill>
      </fill>
      <border/>
    </dxf>
    <dxf>
      <font/>
      <fill>
        <patternFill patternType="solid">
          <fgColor rgb="FFFCA5A5"/>
          <bgColor rgb="FFFCA5A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c26-matchday-intelligence.vercel.app/live_state.json" TargetMode="External"/><Relationship Id="rId2" Type="http://schemas.openxmlformats.org/officeDocument/2006/relationships/hyperlink" Target="https://wc26-matchday-intelligence.vercel.app/predictions_live.json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8.0"/>
    <col customWidth="1" min="2" max="6" width="8.71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13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14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" t="s">
        <v>15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8" t="s">
        <v>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 t="s">
        <v>21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 t="s">
        <v>22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 t="s">
        <v>23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 t="s">
        <v>24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 t="s">
        <v>25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6" width="14.43"/>
  </cols>
  <sheetData>
    <row r="1" ht="45.0" customHeight="1">
      <c r="A1" s="10" t="s">
        <v>26</v>
      </c>
    </row>
    <row r="2">
      <c r="A2" s="11" t="s">
        <v>27</v>
      </c>
    </row>
    <row r="3">
      <c r="A3" s="11" t="s">
        <v>28</v>
      </c>
      <c r="B3" s="11" t="s">
        <v>29</v>
      </c>
      <c r="C3" s="11" t="s">
        <v>30</v>
      </c>
      <c r="D3" s="11" t="s">
        <v>31</v>
      </c>
      <c r="E3" s="11" t="s">
        <v>32</v>
      </c>
      <c r="F3" s="11" t="s">
        <v>33</v>
      </c>
      <c r="G3" s="11" t="s">
        <v>34</v>
      </c>
      <c r="H3" s="11" t="s">
        <v>35</v>
      </c>
      <c r="I3" s="11" t="s">
        <v>36</v>
      </c>
      <c r="J3" s="11" t="s">
        <v>37</v>
      </c>
      <c r="K3" s="11" t="s">
        <v>38</v>
      </c>
      <c r="L3" s="11" t="s">
        <v>39</v>
      </c>
      <c r="M3" s="11" t="s">
        <v>40</v>
      </c>
      <c r="N3" s="11" t="s">
        <v>41</v>
      </c>
      <c r="O3" s="11" t="s">
        <v>42</v>
      </c>
      <c r="P3" s="11" t="s">
        <v>43</v>
      </c>
    </row>
    <row r="4">
      <c r="A4" s="12">
        <v>1.0</v>
      </c>
      <c r="B4" s="13">
        <v>46184.0</v>
      </c>
      <c r="C4" s="14" t="s">
        <v>44</v>
      </c>
      <c r="D4" s="14" t="s">
        <v>45</v>
      </c>
      <c r="E4" s="12">
        <v>2.5240228176116943</v>
      </c>
      <c r="F4" s="12">
        <v>0.4960770606994629</v>
      </c>
      <c r="G4" s="11">
        <f t="shared" ref="G4:G103" si="1">IFERROR(GOAL_GRID(E4,F4,"ou25"),"")</f>
        <v>0.5968692229</v>
      </c>
      <c r="H4" s="11">
        <f t="shared" ref="H4:H103" si="2">IFERROR(GOAL_GRID(E4,F4,"btts"),"")</f>
        <v>0.37753708</v>
      </c>
      <c r="I4" s="11">
        <f t="shared" ref="I4:I103" si="3">IFERROR(GOAL_GRID(E4,F4,"ou15"),"")</f>
        <v>0.8335216485</v>
      </c>
      <c r="J4" s="11">
        <f t="shared" ref="J4:J103" si="4">IFERROR(GOAL_GRID(E4,F4,"ou35"),"")</f>
        <v>0.3668414307</v>
      </c>
      <c r="N4" s="11" t="str">
        <f t="shared" ref="N4:N103" si="5">IF(K4="","",1/K4)</f>
        <v/>
      </c>
      <c r="O4" s="11" t="str">
        <f t="shared" ref="O4:O103" si="6">IF(OR(G4="",N4=""),"",G4-N4)</f>
        <v/>
      </c>
      <c r="P4" s="11" t="str">
        <f>IF(Method!$B$55=TRUE(),"🛑 PAUSED",IF(O4="","",IF(O4&lt;Method!$B$8,"PASS","BET")))</f>
        <v/>
      </c>
    </row>
    <row r="5">
      <c r="A5" s="12">
        <v>2.0</v>
      </c>
      <c r="B5" s="13">
        <v>46184.0</v>
      </c>
      <c r="C5" s="14" t="s">
        <v>46</v>
      </c>
      <c r="D5" s="14" t="s">
        <v>47</v>
      </c>
      <c r="E5" s="12">
        <v>1.4271605014801025</v>
      </c>
      <c r="F5" s="12">
        <v>1.0216546058654785</v>
      </c>
      <c r="G5" s="11">
        <f t="shared" si="1"/>
        <v>0.4438112443</v>
      </c>
      <c r="H5" s="11">
        <f t="shared" si="2"/>
        <v>0.5037141916</v>
      </c>
      <c r="I5" s="11">
        <f t="shared" si="3"/>
        <v>0.7197419918</v>
      </c>
      <c r="J5" s="11">
        <f t="shared" si="4"/>
        <v>0.2319689527</v>
      </c>
      <c r="N5" s="11" t="str">
        <f t="shared" si="5"/>
        <v/>
      </c>
      <c r="O5" s="11" t="str">
        <f t="shared" si="6"/>
        <v/>
      </c>
      <c r="P5" s="11" t="str">
        <f>IF(Method!$B$55=TRUE(),"🛑 PAUSED",IF(O5="","",IF(O5&lt;Method!$B$8,"PASS","BET")))</f>
        <v/>
      </c>
    </row>
    <row r="6">
      <c r="A6" s="12">
        <v>3.0</v>
      </c>
      <c r="B6" s="13">
        <v>46185.0</v>
      </c>
      <c r="C6" s="14" t="s">
        <v>48</v>
      </c>
      <c r="D6" s="14" t="s">
        <v>49</v>
      </c>
      <c r="E6" s="12">
        <v>2.222466230392456</v>
      </c>
      <c r="F6" s="12">
        <v>0.5222395062446594</v>
      </c>
      <c r="G6" s="11">
        <f t="shared" si="1"/>
        <v>0.530064527</v>
      </c>
      <c r="H6" s="11">
        <f t="shared" si="2"/>
        <v>0.3816494848</v>
      </c>
      <c r="I6" s="11">
        <f t="shared" si="3"/>
        <v>0.7880683539</v>
      </c>
      <c r="J6" s="11">
        <f t="shared" si="4"/>
        <v>0.303107714</v>
      </c>
      <c r="N6" s="11" t="str">
        <f t="shared" si="5"/>
        <v/>
      </c>
      <c r="O6" s="11" t="str">
        <f t="shared" si="6"/>
        <v/>
      </c>
      <c r="P6" s="11" t="str">
        <f>IF(Method!$B$55=TRUE(),"🛑 PAUSED",IF(O6="","",IF(O6&lt;Method!$B$8,"PASS","BET")))</f>
        <v/>
      </c>
    </row>
    <row r="7">
      <c r="A7" s="12">
        <v>4.0</v>
      </c>
      <c r="B7" s="13">
        <v>46185.0</v>
      </c>
      <c r="C7" s="14" t="s">
        <v>50</v>
      </c>
      <c r="D7" s="14" t="s">
        <v>51</v>
      </c>
      <c r="E7" s="12">
        <v>1.5587058067321777</v>
      </c>
      <c r="F7" s="12">
        <v>0.9510546922683716</v>
      </c>
      <c r="G7" s="11">
        <f t="shared" si="1"/>
        <v>0.4604849186</v>
      </c>
      <c r="H7" s="11">
        <f t="shared" si="2"/>
        <v>0.5021708484</v>
      </c>
      <c r="I7" s="11">
        <f t="shared" si="3"/>
        <v>0.7332258702</v>
      </c>
      <c r="J7" s="11">
        <f t="shared" si="4"/>
        <v>0.2454701238</v>
      </c>
      <c r="N7" s="11" t="str">
        <f t="shared" si="5"/>
        <v/>
      </c>
      <c r="O7" s="11" t="str">
        <f t="shared" si="6"/>
        <v/>
      </c>
      <c r="P7" s="11" t="str">
        <f>IF(Method!$B$55=TRUE(),"🛑 PAUSED",IF(O7="","",IF(O7&lt;Method!$B$8,"PASS","BET")))</f>
        <v/>
      </c>
    </row>
    <row r="8">
      <c r="A8" s="12">
        <v>5.0</v>
      </c>
      <c r="B8" s="13">
        <v>46186.0</v>
      </c>
      <c r="C8" s="14" t="s">
        <v>52</v>
      </c>
      <c r="D8" s="14" t="s">
        <v>53</v>
      </c>
      <c r="E8" s="12">
        <v>0.46476638317108154</v>
      </c>
      <c r="F8" s="12">
        <v>2.7748048305511475</v>
      </c>
      <c r="G8" s="11">
        <f t="shared" si="1"/>
        <v>0.6458477879</v>
      </c>
      <c r="H8" s="11">
        <f t="shared" si="2"/>
        <v>0.3650274751</v>
      </c>
      <c r="I8" s="11">
        <f t="shared" si="3"/>
        <v>0.8639415804</v>
      </c>
      <c r="J8" s="11">
        <f t="shared" si="4"/>
        <v>0.417629158</v>
      </c>
      <c r="N8" s="11" t="str">
        <f t="shared" si="5"/>
        <v/>
      </c>
      <c r="O8" s="11" t="str">
        <f t="shared" si="6"/>
        <v/>
      </c>
      <c r="P8" s="11" t="str">
        <f>IF(Method!$B$55=TRUE(),"🛑 PAUSED",IF(O8="","",IF(O8&lt;Method!$B$8,"PASS","BET")))</f>
        <v/>
      </c>
    </row>
    <row r="9">
      <c r="A9" s="12">
        <v>6.0</v>
      </c>
      <c r="B9" s="13">
        <v>46186.0</v>
      </c>
      <c r="C9" s="14" t="s">
        <v>54</v>
      </c>
      <c r="D9" s="14" t="s">
        <v>55</v>
      </c>
      <c r="E9" s="12">
        <v>1.3950821161270142</v>
      </c>
      <c r="F9" s="12">
        <v>1.185265302658081</v>
      </c>
      <c r="G9" s="11">
        <f t="shared" si="1"/>
        <v>0.4768323467</v>
      </c>
      <c r="H9" s="11">
        <f t="shared" si="2"/>
        <v>0.5387862493</v>
      </c>
      <c r="I9" s="11">
        <f t="shared" si="3"/>
        <v>0.745402874</v>
      </c>
      <c r="J9" s="11">
        <f t="shared" si="4"/>
        <v>0.2598417251</v>
      </c>
      <c r="N9" s="11" t="str">
        <f t="shared" si="5"/>
        <v/>
      </c>
      <c r="O9" s="11" t="str">
        <f t="shared" si="6"/>
        <v/>
      </c>
      <c r="P9" s="11" t="str">
        <f>IF(Method!$B$55=TRUE(),"🛑 PAUSED",IF(O9="","",IF(O9&lt;Method!$B$8,"PASS","BET")))</f>
        <v/>
      </c>
    </row>
    <row r="10">
      <c r="A10" s="12">
        <v>7.0</v>
      </c>
      <c r="B10" s="13">
        <v>46186.0</v>
      </c>
      <c r="C10" s="14" t="s">
        <v>56</v>
      </c>
      <c r="D10" s="14" t="s">
        <v>57</v>
      </c>
      <c r="E10" s="12">
        <v>0.9333598017692566</v>
      </c>
      <c r="F10" s="12">
        <v>1.7620295286178589</v>
      </c>
      <c r="G10" s="11">
        <f t="shared" si="1"/>
        <v>0.5083090523</v>
      </c>
      <c r="H10" s="11">
        <f t="shared" si="2"/>
        <v>0.5201596933</v>
      </c>
      <c r="I10" s="11">
        <f t="shared" si="3"/>
        <v>0.7695749913</v>
      </c>
      <c r="J10" s="11">
        <f t="shared" si="4"/>
        <v>0.286619085</v>
      </c>
      <c r="N10" s="11" t="str">
        <f t="shared" si="5"/>
        <v/>
      </c>
      <c r="O10" s="11" t="str">
        <f t="shared" si="6"/>
        <v/>
      </c>
      <c r="P10" s="11" t="str">
        <f>IF(Method!$B$55=TRUE(),"🛑 PAUSED",IF(O10="","",IF(O10&lt;Method!$B$8,"PASS","BET")))</f>
        <v/>
      </c>
    </row>
    <row r="11">
      <c r="A11" s="12">
        <v>8.0</v>
      </c>
      <c r="B11" s="13">
        <v>46186.0</v>
      </c>
      <c r="C11" s="14" t="s">
        <v>58</v>
      </c>
      <c r="D11" s="14" t="s">
        <v>59</v>
      </c>
      <c r="E11" s="12">
        <v>1.0624390840530396</v>
      </c>
      <c r="F11" s="12">
        <v>1.1295288801193237</v>
      </c>
      <c r="G11" s="11">
        <f t="shared" si="1"/>
        <v>0.3751562531</v>
      </c>
      <c r="H11" s="11">
        <f t="shared" si="2"/>
        <v>0.4603550155</v>
      </c>
      <c r="I11" s="11">
        <f t="shared" si="3"/>
        <v>0.6609363504</v>
      </c>
      <c r="J11" s="11">
        <f t="shared" si="4"/>
        <v>0.1790821886</v>
      </c>
      <c r="N11" s="11" t="str">
        <f t="shared" si="5"/>
        <v/>
      </c>
      <c r="O11" s="11" t="str">
        <f t="shared" si="6"/>
        <v/>
      </c>
      <c r="P11" s="11" t="str">
        <f>IF(Method!$B$55=TRUE(),"🛑 PAUSED",IF(O11="","",IF(O11&lt;Method!$B$8,"PASS","BET")))</f>
        <v/>
      </c>
    </row>
    <row r="12">
      <c r="A12" s="12">
        <v>9.0</v>
      </c>
      <c r="B12" s="13">
        <v>46187.0</v>
      </c>
      <c r="C12" s="14" t="s">
        <v>60</v>
      </c>
      <c r="D12" s="14" t="s">
        <v>61</v>
      </c>
      <c r="E12" s="12">
        <v>2.9122471809387207</v>
      </c>
      <c r="F12" s="12">
        <v>0.612472414970398</v>
      </c>
      <c r="G12" s="11">
        <f t="shared" si="1"/>
        <v>0.697835846</v>
      </c>
      <c r="H12" s="11">
        <f t="shared" si="2"/>
        <v>0.4490238975</v>
      </c>
      <c r="I12" s="11">
        <f t="shared" si="3"/>
        <v>0.8915924142</v>
      </c>
      <c r="J12" s="11">
        <f t="shared" si="4"/>
        <v>0.4783818474</v>
      </c>
      <c r="N12" s="11" t="str">
        <f t="shared" si="5"/>
        <v/>
      </c>
      <c r="O12" s="11" t="str">
        <f t="shared" si="6"/>
        <v/>
      </c>
      <c r="P12" s="11" t="str">
        <f>IF(Method!$B$55=TRUE(),"🛑 PAUSED",IF(O12="","",IF(O12&lt;Method!$B$8,"PASS","BET")))</f>
        <v/>
      </c>
    </row>
    <row r="13">
      <c r="A13" s="12">
        <v>10.0</v>
      </c>
      <c r="B13" s="13">
        <v>46187.0</v>
      </c>
      <c r="C13" s="14" t="s">
        <v>62</v>
      </c>
      <c r="D13" s="14" t="s">
        <v>63</v>
      </c>
      <c r="E13" s="12">
        <v>1.5585992336273193</v>
      </c>
      <c r="F13" s="12">
        <v>0.9645595550537109</v>
      </c>
      <c r="G13" s="11">
        <f t="shared" si="1"/>
        <v>0.4638201631</v>
      </c>
      <c r="H13" s="11">
        <f t="shared" si="2"/>
        <v>0.5061617647</v>
      </c>
      <c r="I13" s="11">
        <f t="shared" si="3"/>
        <v>0.7358045785</v>
      </c>
      <c r="J13" s="11">
        <f t="shared" si="4"/>
        <v>0.2482992289</v>
      </c>
      <c r="N13" s="11" t="str">
        <f t="shared" si="5"/>
        <v/>
      </c>
      <c r="O13" s="11" t="str">
        <f t="shared" si="6"/>
        <v/>
      </c>
      <c r="P13" s="11" t="str">
        <f>IF(Method!$B$55=TRUE(),"🛑 PAUSED",IF(O13="","",IF(O13&lt;Method!$B$8,"PASS","BET")))</f>
        <v/>
      </c>
    </row>
    <row r="14">
      <c r="A14" s="12">
        <v>11.0</v>
      </c>
      <c r="B14" s="13">
        <v>46187.0</v>
      </c>
      <c r="C14" s="14" t="s">
        <v>64</v>
      </c>
      <c r="D14" s="14" t="s">
        <v>65</v>
      </c>
      <c r="E14" s="12">
        <v>0.9288633465766907</v>
      </c>
      <c r="F14" s="12">
        <v>1.5627020597457886</v>
      </c>
      <c r="G14" s="11">
        <f t="shared" si="1"/>
        <v>0.4559929118</v>
      </c>
      <c r="H14" s="11">
        <f t="shared" si="2"/>
        <v>0.4959737307</v>
      </c>
      <c r="I14" s="11">
        <f t="shared" si="3"/>
        <v>0.7297428437</v>
      </c>
      <c r="J14" s="11">
        <f t="shared" si="4"/>
        <v>0.2416672226</v>
      </c>
      <c r="N14" s="11" t="str">
        <f t="shared" si="5"/>
        <v/>
      </c>
      <c r="O14" s="11" t="str">
        <f t="shared" si="6"/>
        <v/>
      </c>
      <c r="P14" s="11" t="str">
        <f>IF(Method!$B$55=TRUE(),"🛑 PAUSED",IF(O14="","",IF(O14&lt;Method!$B$8,"PASS","BET")))</f>
        <v/>
      </c>
    </row>
    <row r="15">
      <c r="A15" s="12">
        <v>12.0</v>
      </c>
      <c r="B15" s="13">
        <v>46187.0</v>
      </c>
      <c r="C15" s="14" t="s">
        <v>66</v>
      </c>
      <c r="D15" s="14" t="s">
        <v>67</v>
      </c>
      <c r="E15" s="12">
        <v>1.4041743278503418</v>
      </c>
      <c r="F15" s="12">
        <v>1.151181697845459</v>
      </c>
      <c r="G15" s="11">
        <f t="shared" si="1"/>
        <v>0.4706100977</v>
      </c>
      <c r="H15" s="11">
        <f t="shared" si="2"/>
        <v>0.53249655</v>
      </c>
      <c r="I15" s="11">
        <f t="shared" si="3"/>
        <v>0.7406738363</v>
      </c>
      <c r="J15" s="11">
        <f t="shared" si="4"/>
        <v>0.2544842446</v>
      </c>
      <c r="N15" s="11" t="str">
        <f t="shared" si="5"/>
        <v/>
      </c>
      <c r="O15" s="11" t="str">
        <f t="shared" si="6"/>
        <v/>
      </c>
      <c r="P15" s="11" t="str">
        <f>IF(Method!$B$55=TRUE(),"🛑 PAUSED",IF(O15="","",IF(O15&lt;Method!$B$8,"PASS","BET")))</f>
        <v/>
      </c>
    </row>
    <row r="16">
      <c r="A16" s="12">
        <v>13.0</v>
      </c>
      <c r="B16" s="13">
        <v>46188.0</v>
      </c>
      <c r="C16" s="14" t="s">
        <v>68</v>
      </c>
      <c r="D16" s="14" t="s">
        <v>69</v>
      </c>
      <c r="E16" s="12">
        <v>3.9743473529815674</v>
      </c>
      <c r="F16" s="12">
        <v>0.5507604479789734</v>
      </c>
      <c r="G16" s="11">
        <f t="shared" si="1"/>
        <v>0.8431437241</v>
      </c>
      <c r="H16" s="11">
        <f t="shared" si="2"/>
        <v>0.4256397112</v>
      </c>
      <c r="I16" s="11">
        <f t="shared" si="3"/>
        <v>0.9590575583</v>
      </c>
      <c r="J16" s="11">
        <f t="shared" si="4"/>
        <v>0.6730308988</v>
      </c>
      <c r="N16" s="11" t="str">
        <f t="shared" si="5"/>
        <v/>
      </c>
      <c r="O16" s="11" t="str">
        <f t="shared" si="6"/>
        <v/>
      </c>
      <c r="P16" s="11" t="str">
        <f>IF(Method!$B$55=TRUE(),"🛑 PAUSED",IF(O16="","",IF(O16&lt;Method!$B$8,"PASS","BET")))</f>
        <v/>
      </c>
    </row>
    <row r="17">
      <c r="A17" s="12">
        <v>14.0</v>
      </c>
      <c r="B17" s="13">
        <v>46188.0</v>
      </c>
      <c r="C17" s="14" t="s">
        <v>70</v>
      </c>
      <c r="D17" s="14" t="s">
        <v>71</v>
      </c>
      <c r="E17" s="12">
        <v>1.6559913158416748</v>
      </c>
      <c r="F17" s="12">
        <v>0.8203216195106506</v>
      </c>
      <c r="G17" s="11">
        <f t="shared" si="1"/>
        <v>0.4535575053</v>
      </c>
      <c r="H17" s="11">
        <f t="shared" si="2"/>
        <v>0.4712996664</v>
      </c>
      <c r="I17" s="11">
        <f t="shared" si="3"/>
        <v>0.7282072188</v>
      </c>
      <c r="J17" s="11">
        <f t="shared" si="4"/>
        <v>0.239197895</v>
      </c>
      <c r="N17" s="11" t="str">
        <f t="shared" si="5"/>
        <v/>
      </c>
      <c r="O17" s="11" t="str">
        <f t="shared" si="6"/>
        <v/>
      </c>
      <c r="P17" s="11" t="str">
        <f>IF(Method!$B$55=TRUE(),"🛑 PAUSED",IF(O17="","",IF(O17&lt;Method!$B$8,"PASS","BET")))</f>
        <v/>
      </c>
    </row>
    <row r="18">
      <c r="A18" s="12">
        <v>15.0</v>
      </c>
      <c r="B18" s="13">
        <v>46188.0</v>
      </c>
      <c r="C18" s="14" t="s">
        <v>72</v>
      </c>
      <c r="D18" s="14" t="s">
        <v>73</v>
      </c>
      <c r="E18" s="12">
        <v>0.7826226353645325</v>
      </c>
      <c r="F18" s="12">
        <v>1.8599591255187988</v>
      </c>
      <c r="G18" s="11">
        <f t="shared" si="1"/>
        <v>0.4975505425</v>
      </c>
      <c r="H18" s="11">
        <f t="shared" si="2"/>
        <v>0.4768836114</v>
      </c>
      <c r="I18" s="11">
        <f t="shared" si="3"/>
        <v>0.7623878632</v>
      </c>
      <c r="J18" s="11">
        <f t="shared" si="4"/>
        <v>0.2762590386</v>
      </c>
      <c r="N18" s="11" t="str">
        <f t="shared" si="5"/>
        <v/>
      </c>
      <c r="O18" s="11" t="str">
        <f t="shared" si="6"/>
        <v/>
      </c>
      <c r="P18" s="11" t="str">
        <f>IF(Method!$B$55=TRUE(),"🛑 PAUSED",IF(O18="","",IF(O18&lt;Method!$B$8,"PASS","BET")))</f>
        <v/>
      </c>
    </row>
    <row r="19">
      <c r="A19" s="12">
        <v>16.0</v>
      </c>
      <c r="B19" s="13">
        <v>46188.0</v>
      </c>
      <c r="C19" s="14" t="s">
        <v>74</v>
      </c>
      <c r="D19" s="14" t="s">
        <v>75</v>
      </c>
      <c r="E19" s="12">
        <v>1.6719897985458374</v>
      </c>
      <c r="F19" s="12">
        <v>0.7866598963737488</v>
      </c>
      <c r="G19" s="11">
        <f t="shared" si="1"/>
        <v>0.4494548602</v>
      </c>
      <c r="H19" s="11">
        <f t="shared" si="2"/>
        <v>0.4609606175</v>
      </c>
      <c r="I19" s="11">
        <f t="shared" si="3"/>
        <v>0.7250596673</v>
      </c>
      <c r="J19" s="11">
        <f t="shared" si="4"/>
        <v>0.2356767972</v>
      </c>
      <c r="N19" s="11" t="str">
        <f t="shared" si="5"/>
        <v/>
      </c>
      <c r="O19" s="11" t="str">
        <f t="shared" si="6"/>
        <v/>
      </c>
      <c r="P19" s="11" t="str">
        <f>IF(Method!$B$55=TRUE(),"🛑 PAUSED",IF(O19="","",IF(O19&lt;Method!$B$8,"PASS","BET")))</f>
        <v/>
      </c>
    </row>
    <row r="20">
      <c r="A20" s="12">
        <v>17.0</v>
      </c>
      <c r="B20" s="13">
        <v>46189.0</v>
      </c>
      <c r="C20" s="14" t="s">
        <v>76</v>
      </c>
      <c r="D20" s="14" t="s">
        <v>77</v>
      </c>
      <c r="E20" s="12">
        <v>2.937868118286133</v>
      </c>
      <c r="F20" s="12">
        <v>0.6618795990943909</v>
      </c>
      <c r="G20" s="11">
        <f t="shared" si="1"/>
        <v>0.710281093</v>
      </c>
      <c r="H20" s="11">
        <f t="shared" si="2"/>
        <v>0.4741059748</v>
      </c>
      <c r="I20" s="11">
        <f t="shared" si="3"/>
        <v>0.8977172475</v>
      </c>
      <c r="J20" s="11">
        <f t="shared" si="4"/>
        <v>0.4938189148</v>
      </c>
      <c r="N20" s="11" t="str">
        <f t="shared" si="5"/>
        <v/>
      </c>
      <c r="O20" s="11" t="str">
        <f t="shared" si="6"/>
        <v/>
      </c>
      <c r="P20" s="11" t="str">
        <f>IF(Method!$B$55=TRUE(),"🛑 PAUSED",IF(O20="","",IF(O20&lt;Method!$B$8,"PASS","BET")))</f>
        <v/>
      </c>
    </row>
    <row r="21" ht="15.75" customHeight="1">
      <c r="A21" s="12">
        <v>18.0</v>
      </c>
      <c r="B21" s="13">
        <v>46189.0</v>
      </c>
      <c r="C21" s="14" t="s">
        <v>78</v>
      </c>
      <c r="D21" s="14" t="s">
        <v>79</v>
      </c>
      <c r="E21" s="12">
        <v>0.5224915146827698</v>
      </c>
      <c r="F21" s="12">
        <v>1.817635416984558</v>
      </c>
      <c r="G21" s="11">
        <f t="shared" si="1"/>
        <v>0.4234673133</v>
      </c>
      <c r="H21" s="11">
        <f t="shared" si="2"/>
        <v>0.360323911</v>
      </c>
      <c r="I21" s="11">
        <f t="shared" si="3"/>
        <v>0.7049922264</v>
      </c>
      <c r="J21" s="11">
        <f t="shared" si="4"/>
        <v>0.2133405902</v>
      </c>
      <c r="N21" s="11" t="str">
        <f t="shared" si="5"/>
        <v/>
      </c>
      <c r="O21" s="11" t="str">
        <f t="shared" si="6"/>
        <v/>
      </c>
      <c r="P21" s="11" t="str">
        <f>IF(Method!$B$55=TRUE(),"🛑 PAUSED",IF(O21="","",IF(O21&lt;Method!$B$8,"PASS","BET")))</f>
        <v/>
      </c>
    </row>
    <row r="22" ht="15.75" customHeight="1">
      <c r="A22" s="12">
        <v>19.0</v>
      </c>
      <c r="B22" s="13">
        <v>46189.0</v>
      </c>
      <c r="C22" s="14" t="s">
        <v>80</v>
      </c>
      <c r="D22" s="14" t="s">
        <v>81</v>
      </c>
      <c r="E22" s="12">
        <v>2.8528473377227783</v>
      </c>
      <c r="F22" s="12">
        <v>0.5470420718193054</v>
      </c>
      <c r="G22" s="11">
        <f t="shared" si="1"/>
        <v>0.6758297116</v>
      </c>
      <c r="H22" s="11">
        <f t="shared" si="2"/>
        <v>0.4133453751</v>
      </c>
      <c r="I22" s="11">
        <f t="shared" si="3"/>
        <v>0.8802227955</v>
      </c>
      <c r="J22" s="11">
        <f t="shared" si="4"/>
        <v>0.452047168</v>
      </c>
      <c r="N22" s="11" t="str">
        <f t="shared" si="5"/>
        <v/>
      </c>
      <c r="O22" s="11" t="str">
        <f t="shared" si="6"/>
        <v/>
      </c>
      <c r="P22" s="11" t="str">
        <f>IF(Method!$B$55=TRUE(),"🛑 PAUSED",IF(O22="","",IF(O22&lt;Method!$B$8,"PASS","BET")))</f>
        <v/>
      </c>
    </row>
    <row r="23" ht="15.75" customHeight="1">
      <c r="A23" s="12">
        <v>20.0</v>
      </c>
      <c r="B23" s="13">
        <v>46189.0</v>
      </c>
      <c r="C23" s="14" t="s">
        <v>82</v>
      </c>
      <c r="D23" s="14" t="s">
        <v>83</v>
      </c>
      <c r="E23" s="12">
        <v>1.43788743019104</v>
      </c>
      <c r="F23" s="12">
        <v>0.9036679863929749</v>
      </c>
      <c r="G23" s="11">
        <f t="shared" si="1"/>
        <v>0.416435995</v>
      </c>
      <c r="H23" s="11">
        <f t="shared" si="2"/>
        <v>0.4715970265</v>
      </c>
      <c r="I23" s="11">
        <f t="shared" si="3"/>
        <v>0.6973506994</v>
      </c>
      <c r="J23" s="11">
        <f t="shared" si="4"/>
        <v>0.2099027695</v>
      </c>
      <c r="N23" s="11" t="str">
        <f t="shared" si="5"/>
        <v/>
      </c>
      <c r="O23" s="11" t="str">
        <f t="shared" si="6"/>
        <v/>
      </c>
      <c r="P23" s="11" t="str">
        <f>IF(Method!$B$55=TRUE(),"🛑 PAUSED",IF(O23="","",IF(O23&lt;Method!$B$8,"PASS","BET")))</f>
        <v/>
      </c>
    </row>
    <row r="24" ht="15.75" customHeight="1">
      <c r="A24" s="12">
        <v>21.0</v>
      </c>
      <c r="B24" s="13">
        <v>46190.0</v>
      </c>
      <c r="C24" s="14" t="s">
        <v>84</v>
      </c>
      <c r="D24" s="14" t="s">
        <v>85</v>
      </c>
      <c r="E24" s="12">
        <v>1.9694865942001343</v>
      </c>
      <c r="F24" s="12">
        <v>0.661210298538208</v>
      </c>
      <c r="G24" s="11">
        <f t="shared" si="1"/>
        <v>0.4972179124</v>
      </c>
      <c r="H24" s="11">
        <f t="shared" si="2"/>
        <v>0.4354461837</v>
      </c>
      <c r="I24" s="11">
        <f t="shared" si="3"/>
        <v>0.7629079815</v>
      </c>
      <c r="J24" s="11">
        <f t="shared" si="4"/>
        <v>0.2751014519</v>
      </c>
      <c r="N24" s="11" t="str">
        <f t="shared" si="5"/>
        <v/>
      </c>
      <c r="O24" s="11" t="str">
        <f t="shared" si="6"/>
        <v/>
      </c>
      <c r="P24" s="11" t="str">
        <f>IF(Method!$B$55=TRUE(),"🛑 PAUSED",IF(O24="","",IF(O24&lt;Method!$B$8,"PASS","BET")))</f>
        <v/>
      </c>
    </row>
    <row r="25" ht="15.75" customHeight="1">
      <c r="A25" s="12">
        <v>22.0</v>
      </c>
      <c r="B25" s="13">
        <v>46190.0</v>
      </c>
      <c r="C25" s="14" t="s">
        <v>86</v>
      </c>
      <c r="D25" s="14" t="s">
        <v>87</v>
      </c>
      <c r="E25" s="12">
        <v>1.4578099250793457</v>
      </c>
      <c r="F25" s="12">
        <v>1.0154671669006348</v>
      </c>
      <c r="G25" s="11">
        <f t="shared" si="1"/>
        <v>0.4502795882</v>
      </c>
      <c r="H25" s="11">
        <f t="shared" si="2"/>
        <v>0.5066408164</v>
      </c>
      <c r="I25" s="11">
        <f t="shared" si="3"/>
        <v>0.7249540245</v>
      </c>
      <c r="J25" s="11">
        <f t="shared" si="4"/>
        <v>0.2372358197</v>
      </c>
      <c r="N25" s="11" t="str">
        <f t="shared" si="5"/>
        <v/>
      </c>
      <c r="O25" s="11" t="str">
        <f t="shared" si="6"/>
        <v/>
      </c>
      <c r="P25" s="11" t="str">
        <f>IF(Method!$B$55=TRUE(),"🛑 PAUSED",IF(O25="","",IF(O25&lt;Method!$B$8,"PASS","BET")))</f>
        <v/>
      </c>
    </row>
    <row r="26" ht="15.75" customHeight="1">
      <c r="A26" s="12">
        <v>23.0</v>
      </c>
      <c r="B26" s="13">
        <v>46190.0</v>
      </c>
      <c r="C26" s="14" t="s">
        <v>88</v>
      </c>
      <c r="D26" s="14" t="s">
        <v>89</v>
      </c>
      <c r="E26" s="12">
        <v>1.0865561962127686</v>
      </c>
      <c r="F26" s="12">
        <v>1.5430196523666382</v>
      </c>
      <c r="G26" s="11">
        <f t="shared" si="1"/>
        <v>0.4899266077</v>
      </c>
      <c r="H26" s="11">
        <f t="shared" si="2"/>
        <v>0.5377648565</v>
      </c>
      <c r="I26" s="11">
        <f t="shared" si="3"/>
        <v>0.7554668711</v>
      </c>
      <c r="J26" s="11">
        <f t="shared" si="4"/>
        <v>0.2709767506</v>
      </c>
      <c r="N26" s="11" t="str">
        <f t="shared" si="5"/>
        <v/>
      </c>
      <c r="O26" s="11" t="str">
        <f t="shared" si="6"/>
        <v/>
      </c>
      <c r="P26" s="11" t="str">
        <f>IF(Method!$B$55=TRUE(),"🛑 PAUSED",IF(O26="","",IF(O26&lt;Method!$B$8,"PASS","BET")))</f>
        <v/>
      </c>
    </row>
    <row r="27" ht="15.75" customHeight="1">
      <c r="A27" s="12">
        <v>24.0</v>
      </c>
      <c r="B27" s="13">
        <v>46190.0</v>
      </c>
      <c r="C27" s="14" t="s">
        <v>90</v>
      </c>
      <c r="D27" s="14" t="s">
        <v>91</v>
      </c>
      <c r="E27" s="12">
        <v>0.6899468898773193</v>
      </c>
      <c r="F27" s="12">
        <v>2.0749919414520264</v>
      </c>
      <c r="G27" s="11">
        <f t="shared" si="1"/>
        <v>0.5304788882</v>
      </c>
      <c r="H27" s="11">
        <f t="shared" si="2"/>
        <v>0.4546825303</v>
      </c>
      <c r="I27" s="11">
        <f t="shared" si="3"/>
        <v>0.7869659998</v>
      </c>
      <c r="J27" s="11">
        <f t="shared" si="4"/>
        <v>0.3050638197</v>
      </c>
      <c r="N27" s="11" t="str">
        <f t="shared" si="5"/>
        <v/>
      </c>
      <c r="O27" s="11" t="str">
        <f t="shared" si="6"/>
        <v/>
      </c>
      <c r="P27" s="11" t="str">
        <f>IF(Method!$B$55=TRUE(),"🛑 PAUSED",IF(O27="","",IF(O27&lt;Method!$B$8,"PASS","BET")))</f>
        <v/>
      </c>
    </row>
    <row r="28" ht="15.75" customHeight="1">
      <c r="A28" s="12">
        <v>25.0</v>
      </c>
      <c r="B28" s="13">
        <v>46191.0</v>
      </c>
      <c r="C28" s="14" t="s">
        <v>47</v>
      </c>
      <c r="D28" s="14" t="s">
        <v>45</v>
      </c>
      <c r="E28" s="12">
        <v>1.4885506629943848</v>
      </c>
      <c r="F28" s="12">
        <v>0.7703511118888855</v>
      </c>
      <c r="G28" s="11">
        <f t="shared" si="1"/>
        <v>0.3958070757</v>
      </c>
      <c r="H28" s="11">
        <f t="shared" si="2"/>
        <v>0.4345317751</v>
      </c>
      <c r="I28" s="11">
        <f t="shared" si="3"/>
        <v>0.6798937801</v>
      </c>
      <c r="J28" s="11">
        <f t="shared" si="4"/>
        <v>0.1937076265</v>
      </c>
      <c r="N28" s="11" t="str">
        <f t="shared" si="5"/>
        <v/>
      </c>
      <c r="O28" s="11" t="str">
        <f t="shared" si="6"/>
        <v/>
      </c>
      <c r="P28" s="11" t="str">
        <f>IF(Method!$B$55=TRUE(),"🛑 PAUSED",IF(O28="","",IF(O28&lt;Method!$B$8,"PASS","BET")))</f>
        <v/>
      </c>
    </row>
    <row r="29" ht="15.75" customHeight="1">
      <c r="A29" s="12">
        <v>26.0</v>
      </c>
      <c r="B29" s="13">
        <v>46191.0</v>
      </c>
      <c r="C29" s="14" t="s">
        <v>53</v>
      </c>
      <c r="D29" s="14" t="s">
        <v>49</v>
      </c>
      <c r="E29" s="12">
        <v>2.248751163482666</v>
      </c>
      <c r="F29" s="12">
        <v>0.6002184748649597</v>
      </c>
      <c r="G29" s="11">
        <f t="shared" si="1"/>
        <v>0.5534592651</v>
      </c>
      <c r="H29" s="11">
        <f t="shared" si="2"/>
        <v>0.422484329</v>
      </c>
      <c r="I29" s="11">
        <f t="shared" si="3"/>
        <v>0.8037317674</v>
      </c>
      <c r="J29" s="11">
        <f t="shared" si="4"/>
        <v>0.3256365549</v>
      </c>
      <c r="N29" s="11" t="str">
        <f t="shared" si="5"/>
        <v/>
      </c>
      <c r="O29" s="11" t="str">
        <f t="shared" si="6"/>
        <v/>
      </c>
      <c r="P29" s="11" t="str">
        <f>IF(Method!$B$55=TRUE(),"🛑 PAUSED",IF(O29="","",IF(O29&lt;Method!$B$8,"PASS","BET")))</f>
        <v/>
      </c>
    </row>
    <row r="30" ht="15.75" customHeight="1">
      <c r="A30" s="12">
        <v>27.0</v>
      </c>
      <c r="B30" s="13">
        <v>46191.0</v>
      </c>
      <c r="C30" s="14" t="s">
        <v>48</v>
      </c>
      <c r="D30" s="14" t="s">
        <v>52</v>
      </c>
      <c r="E30" s="12">
        <v>2.413576364517212</v>
      </c>
      <c r="F30" s="12">
        <v>0.32180851697921753</v>
      </c>
      <c r="G30" s="11">
        <f t="shared" si="1"/>
        <v>0.5347342519</v>
      </c>
      <c r="H30" s="11">
        <f t="shared" si="2"/>
        <v>0.2669369299</v>
      </c>
      <c r="I30" s="11">
        <f t="shared" si="3"/>
        <v>0.7935187425</v>
      </c>
      <c r="J30" s="11">
        <f t="shared" si="4"/>
        <v>0.3049768965</v>
      </c>
      <c r="N30" s="11" t="str">
        <f t="shared" si="5"/>
        <v/>
      </c>
      <c r="O30" s="11" t="str">
        <f t="shared" si="6"/>
        <v/>
      </c>
      <c r="P30" s="11" t="str">
        <f>IF(Method!$B$55=TRUE(),"🛑 PAUSED",IF(O30="","",IF(O30&lt;Method!$B$8,"PASS","BET")))</f>
        <v/>
      </c>
    </row>
    <row r="31" ht="15.75" customHeight="1">
      <c r="A31" s="12">
        <v>28.0</v>
      </c>
      <c r="B31" s="13">
        <v>46191.0</v>
      </c>
      <c r="C31" s="14" t="s">
        <v>44</v>
      </c>
      <c r="D31" s="14" t="s">
        <v>46</v>
      </c>
      <c r="E31" s="12">
        <v>1.841786503791809</v>
      </c>
      <c r="F31" s="12">
        <v>0.6759727001190186</v>
      </c>
      <c r="G31" s="11">
        <f t="shared" si="1"/>
        <v>0.4673936483</v>
      </c>
      <c r="H31" s="11">
        <f t="shared" si="2"/>
        <v>0.4326608557</v>
      </c>
      <c r="I31" s="11">
        <f t="shared" si="3"/>
        <v>0.7399214853</v>
      </c>
      <c r="J31" s="11">
        <f t="shared" si="4"/>
        <v>0.2497857199</v>
      </c>
      <c r="N31" s="11" t="str">
        <f t="shared" si="5"/>
        <v/>
      </c>
      <c r="O31" s="11" t="str">
        <f t="shared" si="6"/>
        <v/>
      </c>
      <c r="P31" s="11" t="str">
        <f>IF(Method!$B$55=TRUE(),"🛑 PAUSED",IF(O31="","",IF(O31&lt;Method!$B$8,"PASS","BET")))</f>
        <v/>
      </c>
    </row>
    <row r="32" ht="15.75" customHeight="1">
      <c r="A32" s="12">
        <v>29.0</v>
      </c>
      <c r="B32" s="13">
        <v>46192.0</v>
      </c>
      <c r="C32" s="14" t="s">
        <v>50</v>
      </c>
      <c r="D32" s="14" t="s">
        <v>58</v>
      </c>
      <c r="E32" s="12">
        <v>1.607243299484253</v>
      </c>
      <c r="F32" s="12">
        <v>0.9897469878196716</v>
      </c>
      <c r="G32" s="11">
        <f t="shared" si="1"/>
        <v>0.4825967134</v>
      </c>
      <c r="H32" s="11">
        <f t="shared" si="2"/>
        <v>0.5197125462</v>
      </c>
      <c r="I32" s="11">
        <f t="shared" si="3"/>
        <v>0.7502097562</v>
      </c>
      <c r="J32" s="11">
        <f t="shared" si="4"/>
        <v>0.2643197531</v>
      </c>
      <c r="N32" s="11" t="str">
        <f t="shared" si="5"/>
        <v/>
      </c>
      <c r="O32" s="11" t="str">
        <f t="shared" si="6"/>
        <v/>
      </c>
      <c r="P32" s="11" t="str">
        <f>IF(Method!$B$55=TRUE(),"🛑 PAUSED",IF(O32="","",IF(O32&lt;Method!$B$8,"PASS","BET")))</f>
        <v/>
      </c>
    </row>
    <row r="33" ht="15.75" customHeight="1">
      <c r="A33" s="12">
        <v>30.0</v>
      </c>
      <c r="B33" s="13">
        <v>46192.0</v>
      </c>
      <c r="C33" s="14" t="s">
        <v>57</v>
      </c>
      <c r="D33" s="14" t="s">
        <v>55</v>
      </c>
      <c r="E33" s="12">
        <v>0.8106740713119507</v>
      </c>
      <c r="F33" s="12">
        <v>1.6682353019714355</v>
      </c>
      <c r="G33" s="11">
        <f t="shared" si="1"/>
        <v>0.4544075333</v>
      </c>
      <c r="H33" s="11">
        <f t="shared" si="2"/>
        <v>0.4691963776</v>
      </c>
      <c r="I33" s="11">
        <f t="shared" si="3"/>
        <v>0.7289283456</v>
      </c>
      <c r="J33" s="11">
        <f t="shared" si="4"/>
        <v>0.2398474751</v>
      </c>
      <c r="N33" s="11" t="str">
        <f t="shared" si="5"/>
        <v/>
      </c>
      <c r="O33" s="11" t="str">
        <f t="shared" si="6"/>
        <v/>
      </c>
      <c r="P33" s="11" t="str">
        <f>IF(Method!$B$55=TRUE(),"🛑 PAUSED",IF(O33="","",IF(O33&lt;Method!$B$8,"PASS","BET")))</f>
        <v/>
      </c>
    </row>
    <row r="34" ht="15.75" customHeight="1">
      <c r="A34" s="12">
        <v>31.0</v>
      </c>
      <c r="B34" s="13">
        <v>46192.0</v>
      </c>
      <c r="C34" s="14" t="s">
        <v>54</v>
      </c>
      <c r="D34" s="14" t="s">
        <v>56</v>
      </c>
      <c r="E34" s="12">
        <v>2.7283754348754883</v>
      </c>
      <c r="F34" s="12">
        <v>0.5863939523696899</v>
      </c>
      <c r="G34" s="11">
        <f t="shared" si="1"/>
        <v>0.6577895702</v>
      </c>
      <c r="H34" s="11">
        <f t="shared" si="2"/>
        <v>0.4316016455</v>
      </c>
      <c r="I34" s="11">
        <f t="shared" si="3"/>
        <v>0.8695994158</v>
      </c>
      <c r="J34" s="11">
        <f t="shared" si="4"/>
        <v>0.4322928787</v>
      </c>
      <c r="N34" s="11" t="str">
        <f t="shared" si="5"/>
        <v/>
      </c>
      <c r="O34" s="11" t="str">
        <f t="shared" si="6"/>
        <v/>
      </c>
      <c r="P34" s="11" t="str">
        <f>IF(Method!$B$55=TRUE(),"🛑 PAUSED",IF(O34="","",IF(O34&lt;Method!$B$8,"PASS","BET")))</f>
        <v/>
      </c>
    </row>
    <row r="35" ht="15.75" customHeight="1">
      <c r="A35" s="12">
        <v>32.0</v>
      </c>
      <c r="B35" s="13">
        <v>46192.0</v>
      </c>
      <c r="C35" s="14" t="s">
        <v>59</v>
      </c>
      <c r="D35" s="14" t="s">
        <v>51</v>
      </c>
      <c r="E35" s="12">
        <v>1.4992173910140991</v>
      </c>
      <c r="F35" s="12">
        <v>1.0080127716064453</v>
      </c>
      <c r="G35" s="11">
        <f t="shared" si="1"/>
        <v>0.4592140236</v>
      </c>
      <c r="H35" s="11">
        <f t="shared" si="2"/>
        <v>0.5105606375</v>
      </c>
      <c r="I35" s="11">
        <f t="shared" si="3"/>
        <v>0.7320645376</v>
      </c>
      <c r="J35" s="11">
        <f t="shared" si="4"/>
        <v>0.2445957514</v>
      </c>
      <c r="N35" s="11" t="str">
        <f t="shared" si="5"/>
        <v/>
      </c>
      <c r="O35" s="11" t="str">
        <f t="shared" si="6"/>
        <v/>
      </c>
      <c r="P35" s="11" t="str">
        <f>IF(Method!$B$55=TRUE(),"🛑 PAUSED",IF(O35="","",IF(O35&lt;Method!$B$8,"PASS","BET")))</f>
        <v/>
      </c>
    </row>
    <row r="36" ht="15.75" customHeight="1">
      <c r="A36" s="12">
        <v>33.0</v>
      </c>
      <c r="B36" s="13">
        <v>46193.0</v>
      </c>
      <c r="C36" s="14" t="s">
        <v>62</v>
      </c>
      <c r="D36" s="14" t="s">
        <v>66</v>
      </c>
      <c r="E36" s="12">
        <v>2.5558762550354004</v>
      </c>
      <c r="F36" s="12">
        <v>0.7831291556358337</v>
      </c>
      <c r="G36" s="11">
        <f t="shared" si="1"/>
        <v>0.6578806455</v>
      </c>
      <c r="H36" s="11">
        <f t="shared" si="2"/>
        <v>0.5176053604</v>
      </c>
      <c r="I36" s="11">
        <f t="shared" si="3"/>
        <v>0.8678933328</v>
      </c>
      <c r="J36" s="11">
        <f t="shared" si="4"/>
        <v>0.434560295</v>
      </c>
      <c r="N36" s="11" t="str">
        <f t="shared" si="5"/>
        <v/>
      </c>
      <c r="O36" s="11" t="str">
        <f t="shared" si="6"/>
        <v/>
      </c>
      <c r="P36" s="11" t="str">
        <f>IF(Method!$B$55=TRUE(),"🛑 PAUSED",IF(O36="","",IF(O36&lt;Method!$B$8,"PASS","BET")))</f>
        <v/>
      </c>
    </row>
    <row r="37" ht="15.75" customHeight="1">
      <c r="A37" s="12">
        <v>34.0</v>
      </c>
      <c r="B37" s="13">
        <v>46193.0</v>
      </c>
      <c r="C37" s="14" t="s">
        <v>60</v>
      </c>
      <c r="D37" s="14" t="s">
        <v>64</v>
      </c>
      <c r="E37" s="12">
        <v>1.7893691062927246</v>
      </c>
      <c r="F37" s="12">
        <v>0.745577871799469</v>
      </c>
      <c r="G37" s="11">
        <f t="shared" si="1"/>
        <v>0.4704006057</v>
      </c>
      <c r="H37" s="11">
        <f t="shared" si="2"/>
        <v>0.4566141418</v>
      </c>
      <c r="I37" s="11">
        <f t="shared" si="3"/>
        <v>0.7418755505</v>
      </c>
      <c r="J37" s="11">
        <f t="shared" si="4"/>
        <v>0.2527573411</v>
      </c>
      <c r="N37" s="11" t="str">
        <f t="shared" si="5"/>
        <v/>
      </c>
      <c r="O37" s="11" t="str">
        <f t="shared" si="6"/>
        <v/>
      </c>
      <c r="P37" s="11" t="str">
        <f>IF(Method!$B$55=TRUE(),"🛑 PAUSED",IF(O37="","",IF(O37&lt;Method!$B$8,"PASS","BET")))</f>
        <v/>
      </c>
    </row>
    <row r="38" ht="15.75" customHeight="1">
      <c r="A38" s="12">
        <v>35.0</v>
      </c>
      <c r="B38" s="13">
        <v>46193.0</v>
      </c>
      <c r="C38" s="14" t="s">
        <v>65</v>
      </c>
      <c r="D38" s="14" t="s">
        <v>61</v>
      </c>
      <c r="E38" s="12">
        <v>2.5654141902923584</v>
      </c>
      <c r="F38" s="12">
        <v>0.5425713062286377</v>
      </c>
      <c r="G38" s="11">
        <f t="shared" si="1"/>
        <v>0.6151879017</v>
      </c>
      <c r="H38" s="11">
        <f t="shared" si="2"/>
        <v>0.4042488816</v>
      </c>
      <c r="I38" s="11">
        <f t="shared" si="3"/>
        <v>0.8445754689</v>
      </c>
      <c r="J38" s="11">
        <f t="shared" si="4"/>
        <v>0.386125396</v>
      </c>
      <c r="N38" s="11" t="str">
        <f t="shared" si="5"/>
        <v/>
      </c>
      <c r="O38" s="11" t="str">
        <f t="shared" si="6"/>
        <v/>
      </c>
      <c r="P38" s="11" t="str">
        <f>IF(Method!$B$55=TRUE(),"🛑 PAUSED",IF(O38="","",IF(O38&lt;Method!$B$8,"PASS","BET")))</f>
        <v/>
      </c>
    </row>
    <row r="39" ht="15.75" customHeight="1">
      <c r="A39" s="12">
        <v>36.0</v>
      </c>
      <c r="B39" s="13">
        <v>46193.0</v>
      </c>
      <c r="C39" s="14" t="s">
        <v>67</v>
      </c>
      <c r="D39" s="14" t="s">
        <v>63</v>
      </c>
      <c r="E39" s="12">
        <v>0.7097924947738647</v>
      </c>
      <c r="F39" s="12">
        <v>1.8554946184158325</v>
      </c>
      <c r="G39" s="11">
        <f t="shared" si="1"/>
        <v>0.4791082758</v>
      </c>
      <c r="H39" s="11">
        <f t="shared" si="2"/>
        <v>0.4478172232</v>
      </c>
      <c r="I39" s="11">
        <f t="shared" si="3"/>
        <v>0.7488315675</v>
      </c>
      <c r="J39" s="11">
        <f t="shared" si="4"/>
        <v>0.259876683</v>
      </c>
      <c r="N39" s="11" t="str">
        <f t="shared" si="5"/>
        <v/>
      </c>
      <c r="O39" s="11" t="str">
        <f t="shared" si="6"/>
        <v/>
      </c>
      <c r="P39" s="11" t="str">
        <f>IF(Method!$B$55=TRUE(),"🛑 PAUSED",IF(O39="","",IF(O39&lt;Method!$B$8,"PASS","BET")))</f>
        <v/>
      </c>
    </row>
    <row r="40" ht="15.75" customHeight="1">
      <c r="A40" s="12">
        <v>37.0</v>
      </c>
      <c r="B40" s="13">
        <v>46194.0</v>
      </c>
      <c r="C40" s="14" t="s">
        <v>68</v>
      </c>
      <c r="D40" s="14" t="s">
        <v>72</v>
      </c>
      <c r="E40" s="12">
        <v>3.7057340145111084</v>
      </c>
      <c r="F40" s="12">
        <v>0.5405099987983704</v>
      </c>
      <c r="G40" s="11">
        <f t="shared" si="1"/>
        <v>0.8109263522</v>
      </c>
      <c r="H40" s="11">
        <f t="shared" si="2"/>
        <v>0.4188230401</v>
      </c>
      <c r="I40" s="11">
        <f t="shared" si="3"/>
        <v>0.9462586768</v>
      </c>
      <c r="J40" s="11">
        <f t="shared" si="4"/>
        <v>0.6247522503</v>
      </c>
      <c r="N40" s="11" t="str">
        <f t="shared" si="5"/>
        <v/>
      </c>
      <c r="O40" s="11" t="str">
        <f t="shared" si="6"/>
        <v/>
      </c>
      <c r="P40" s="11" t="str">
        <f>IF(Method!$B$55=TRUE(),"🛑 PAUSED",IF(O40="","",IF(O40&lt;Method!$B$8,"PASS","BET")))</f>
        <v/>
      </c>
    </row>
    <row r="41" ht="15.75" customHeight="1">
      <c r="A41" s="12">
        <v>38.0</v>
      </c>
      <c r="B41" s="13">
        <v>46194.0</v>
      </c>
      <c r="C41" s="14" t="s">
        <v>70</v>
      </c>
      <c r="D41" s="14" t="s">
        <v>74</v>
      </c>
      <c r="E41" s="12">
        <v>1.5389460325241089</v>
      </c>
      <c r="F41" s="12">
        <v>1.0672558546066284</v>
      </c>
      <c r="G41" s="11">
        <f t="shared" si="1"/>
        <v>0.4841599399</v>
      </c>
      <c r="H41" s="11">
        <f t="shared" si="2"/>
        <v>0.5321529924</v>
      </c>
      <c r="I41" s="11">
        <f t="shared" si="3"/>
        <v>0.7511749729</v>
      </c>
      <c r="J41" s="11">
        <f t="shared" si="4"/>
        <v>0.265916084</v>
      </c>
      <c r="N41" s="11" t="str">
        <f t="shared" si="5"/>
        <v/>
      </c>
      <c r="O41" s="11" t="str">
        <f t="shared" si="6"/>
        <v/>
      </c>
      <c r="P41" s="11" t="str">
        <f>IF(Method!$B$55=TRUE(),"🛑 PAUSED",IF(O41="","",IF(O41&lt;Method!$B$8,"PASS","BET")))</f>
        <v/>
      </c>
    </row>
    <row r="42" ht="15.75" customHeight="1">
      <c r="A42" s="12">
        <v>39.0</v>
      </c>
      <c r="B42" s="13">
        <v>46194.0</v>
      </c>
      <c r="C42" s="14" t="s">
        <v>73</v>
      </c>
      <c r="D42" s="14" t="s">
        <v>69</v>
      </c>
      <c r="E42" s="12">
        <v>1.8881938457489014</v>
      </c>
      <c r="F42" s="12">
        <v>0.6666003465652466</v>
      </c>
      <c r="G42" s="11">
        <f t="shared" si="1"/>
        <v>0.4773598125</v>
      </c>
      <c r="H42" s="11">
        <f t="shared" si="2"/>
        <v>0.4321419535</v>
      </c>
      <c r="I42" s="11">
        <f t="shared" si="3"/>
        <v>0.7477509495</v>
      </c>
      <c r="J42" s="11">
        <f t="shared" si="4"/>
        <v>0.258089201</v>
      </c>
      <c r="N42" s="11" t="str">
        <f t="shared" si="5"/>
        <v/>
      </c>
      <c r="O42" s="11" t="str">
        <f t="shared" si="6"/>
        <v/>
      </c>
      <c r="P42" s="11" t="str">
        <f>IF(Method!$B$55=TRUE(),"🛑 PAUSED",IF(O42="","",IF(O42&lt;Method!$B$8,"PASS","BET")))</f>
        <v/>
      </c>
    </row>
    <row r="43" ht="15.75" customHeight="1">
      <c r="A43" s="12">
        <v>40.0</v>
      </c>
      <c r="B43" s="13">
        <v>46194.0</v>
      </c>
      <c r="C43" s="14" t="s">
        <v>75</v>
      </c>
      <c r="D43" s="14" t="s">
        <v>71</v>
      </c>
      <c r="E43" s="12">
        <v>1.0520333051681519</v>
      </c>
      <c r="F43" s="12">
        <v>1.466339111328125</v>
      </c>
      <c r="G43" s="11">
        <f t="shared" si="1"/>
        <v>0.4617212924</v>
      </c>
      <c r="H43" s="11">
        <f t="shared" si="2"/>
        <v>0.5176878272</v>
      </c>
      <c r="I43" s="11">
        <f t="shared" si="3"/>
        <v>0.7339337588</v>
      </c>
      <c r="J43" s="11">
        <f t="shared" si="4"/>
        <v>0.2468021609</v>
      </c>
      <c r="N43" s="11" t="str">
        <f t="shared" si="5"/>
        <v/>
      </c>
      <c r="O43" s="11" t="str">
        <f t="shared" si="6"/>
        <v/>
      </c>
      <c r="P43" s="11" t="str">
        <f>IF(Method!$B$55=TRUE(),"🛑 PAUSED",IF(O43="","",IF(O43&lt;Method!$B$8,"PASS","BET")))</f>
        <v/>
      </c>
    </row>
    <row r="44" ht="15.75" customHeight="1">
      <c r="A44" s="12">
        <v>41.0</v>
      </c>
      <c r="B44" s="13">
        <v>46195.0</v>
      </c>
      <c r="C44" s="14" t="s">
        <v>80</v>
      </c>
      <c r="D44" s="14" t="s">
        <v>82</v>
      </c>
      <c r="E44" s="12">
        <v>2.6654787063598633</v>
      </c>
      <c r="F44" s="12">
        <v>0.5328119397163391</v>
      </c>
      <c r="G44" s="11">
        <f t="shared" si="1"/>
        <v>0.6350718632</v>
      </c>
      <c r="H44" s="11">
        <f t="shared" si="2"/>
        <v>0.4015468599</v>
      </c>
      <c r="I44" s="11">
        <f t="shared" si="3"/>
        <v>0.8567999056</v>
      </c>
      <c r="J44" s="11">
        <f t="shared" si="4"/>
        <v>0.4069240356</v>
      </c>
      <c r="N44" s="11" t="str">
        <f t="shared" si="5"/>
        <v/>
      </c>
      <c r="O44" s="11" t="str">
        <f t="shared" si="6"/>
        <v/>
      </c>
      <c r="P44" s="11" t="str">
        <f>IF(Method!$B$55=TRUE(),"🛑 PAUSED",IF(O44="","",IF(O44&lt;Method!$B$8,"PASS","BET")))</f>
        <v/>
      </c>
    </row>
    <row r="45" ht="15.75" customHeight="1">
      <c r="A45" s="12">
        <v>42.0</v>
      </c>
      <c r="B45" s="13">
        <v>46195.0</v>
      </c>
      <c r="C45" s="14" t="s">
        <v>76</v>
      </c>
      <c r="D45" s="14" t="s">
        <v>78</v>
      </c>
      <c r="E45" s="12">
        <v>2.8389737606048584</v>
      </c>
      <c r="F45" s="12">
        <v>0.6842857003211975</v>
      </c>
      <c r="G45" s="11">
        <f t="shared" si="1"/>
        <v>0.6958236201</v>
      </c>
      <c r="H45" s="11">
        <f t="shared" si="2"/>
        <v>0.482611603</v>
      </c>
      <c r="I45" s="11">
        <f t="shared" si="3"/>
        <v>0.8898457682</v>
      </c>
      <c r="J45" s="11">
        <f t="shared" si="4"/>
        <v>0.476869317</v>
      </c>
      <c r="N45" s="11" t="str">
        <f t="shared" si="5"/>
        <v/>
      </c>
      <c r="O45" s="11" t="str">
        <f t="shared" si="6"/>
        <v/>
      </c>
      <c r="P45" s="11" t="str">
        <f>IF(Method!$B$55=TRUE(),"🛑 PAUSED",IF(O45="","",IF(O45&lt;Method!$B$8,"PASS","BET")))</f>
        <v/>
      </c>
    </row>
    <row r="46" ht="15.75" customHeight="1">
      <c r="A46" s="12">
        <v>43.0</v>
      </c>
      <c r="B46" s="13">
        <v>46195.0</v>
      </c>
      <c r="C46" s="14" t="s">
        <v>79</v>
      </c>
      <c r="D46" s="14" t="s">
        <v>77</v>
      </c>
      <c r="E46" s="12">
        <v>1.6938210725784302</v>
      </c>
      <c r="F46" s="12">
        <v>0.9878279566764832</v>
      </c>
      <c r="G46" s="11">
        <f t="shared" si="1"/>
        <v>0.5041053766</v>
      </c>
      <c r="H46" s="11">
        <f t="shared" si="2"/>
        <v>0.5294871857</v>
      </c>
      <c r="I46" s="11">
        <f t="shared" si="3"/>
        <v>0.7662781297</v>
      </c>
      <c r="J46" s="11">
        <f t="shared" si="4"/>
        <v>0.2831219628</v>
      </c>
      <c r="N46" s="11" t="str">
        <f t="shared" si="5"/>
        <v/>
      </c>
      <c r="O46" s="11" t="str">
        <f t="shared" si="6"/>
        <v/>
      </c>
      <c r="P46" s="11" t="str">
        <f>IF(Method!$B$55=TRUE(),"🛑 PAUSED",IF(O46="","",IF(O46&lt;Method!$B$8,"PASS","BET")))</f>
        <v/>
      </c>
    </row>
    <row r="47" ht="15.75" customHeight="1">
      <c r="A47" s="12">
        <v>44.0</v>
      </c>
      <c r="B47" s="13">
        <v>46195.0</v>
      </c>
      <c r="C47" s="14" t="s">
        <v>83</v>
      </c>
      <c r="D47" s="14" t="s">
        <v>81</v>
      </c>
      <c r="E47" s="12">
        <v>1.111549973487854</v>
      </c>
      <c r="F47" s="12">
        <v>1.5776488780975342</v>
      </c>
      <c r="G47" s="11">
        <f t="shared" si="1"/>
        <v>0.504694252</v>
      </c>
      <c r="H47" s="11">
        <f t="shared" si="2"/>
        <v>0.5489675283</v>
      </c>
      <c r="I47" s="11">
        <f t="shared" si="3"/>
        <v>0.7663307249</v>
      </c>
      <c r="J47" s="11">
        <f t="shared" si="4"/>
        <v>0.2840730037</v>
      </c>
      <c r="N47" s="11" t="str">
        <f t="shared" si="5"/>
        <v/>
      </c>
      <c r="O47" s="11" t="str">
        <f t="shared" si="6"/>
        <v/>
      </c>
      <c r="P47" s="11" t="str">
        <f>IF(Method!$B$55=TRUE(),"🛑 PAUSED",IF(O47="","",IF(O47&lt;Method!$B$8,"PASS","BET")))</f>
        <v/>
      </c>
    </row>
    <row r="48" ht="15.75" customHeight="1">
      <c r="A48" s="12">
        <v>45.0</v>
      </c>
      <c r="B48" s="13">
        <v>46196.0</v>
      </c>
      <c r="C48" s="14" t="s">
        <v>84</v>
      </c>
      <c r="D48" s="14" t="s">
        <v>90</v>
      </c>
      <c r="E48" s="12">
        <v>1.9546637535095215</v>
      </c>
      <c r="F48" s="12">
        <v>0.7752339243888855</v>
      </c>
      <c r="G48" s="11">
        <f t="shared" si="1"/>
        <v>0.5198019662</v>
      </c>
      <c r="H48" s="11">
        <f t="shared" si="2"/>
        <v>0.4815468123</v>
      </c>
      <c r="I48" s="11">
        <f t="shared" si="3"/>
        <v>0.7787483625</v>
      </c>
      <c r="J48" s="11">
        <f t="shared" si="4"/>
        <v>0.2960012699</v>
      </c>
      <c r="N48" s="11" t="str">
        <f t="shared" si="5"/>
        <v/>
      </c>
      <c r="O48" s="11" t="str">
        <f t="shared" si="6"/>
        <v/>
      </c>
      <c r="P48" s="11" t="str">
        <f>IF(Method!$B$55=TRUE(),"🛑 PAUSED",IF(O48="","",IF(O48&lt;Method!$B$8,"PASS","BET")))</f>
        <v/>
      </c>
    </row>
    <row r="49" ht="15.75" customHeight="1">
      <c r="A49" s="12">
        <v>46.0</v>
      </c>
      <c r="B49" s="13">
        <v>46196.0</v>
      </c>
      <c r="C49" s="14" t="s">
        <v>86</v>
      </c>
      <c r="D49" s="14" t="s">
        <v>88</v>
      </c>
      <c r="E49" s="12">
        <v>2.538456439971924</v>
      </c>
      <c r="F49" s="12">
        <v>0.5659275054931641</v>
      </c>
      <c r="G49" s="11">
        <f t="shared" si="1"/>
        <v>0.61370814</v>
      </c>
      <c r="H49" s="11">
        <f t="shared" si="2"/>
        <v>0.4158411784</v>
      </c>
      <c r="I49" s="11">
        <f t="shared" si="3"/>
        <v>0.8434204966</v>
      </c>
      <c r="J49" s="11">
        <f t="shared" si="4"/>
        <v>0.3848720801</v>
      </c>
      <c r="N49" s="11" t="str">
        <f t="shared" si="5"/>
        <v/>
      </c>
      <c r="O49" s="11" t="str">
        <f t="shared" si="6"/>
        <v/>
      </c>
      <c r="P49" s="11" t="str">
        <f>IF(Method!$B$55=TRUE(),"🛑 PAUSED",IF(O49="","",IF(O49&lt;Method!$B$8,"PASS","BET")))</f>
        <v/>
      </c>
    </row>
    <row r="50" ht="15.75" customHeight="1">
      <c r="A50" s="12">
        <v>47.0</v>
      </c>
      <c r="B50" s="13">
        <v>46196.0</v>
      </c>
      <c r="C50" s="14" t="s">
        <v>89</v>
      </c>
      <c r="D50" s="14" t="s">
        <v>87</v>
      </c>
      <c r="E50" s="12">
        <v>0.934880793094635</v>
      </c>
      <c r="F50" s="12">
        <v>1.8212190866470337</v>
      </c>
      <c r="G50" s="11">
        <f t="shared" si="1"/>
        <v>0.5234130453</v>
      </c>
      <c r="H50" s="11">
        <f t="shared" si="2"/>
        <v>0.5265587692</v>
      </c>
      <c r="I50" s="11">
        <f t="shared" si="3"/>
        <v>0.7804691439</v>
      </c>
      <c r="J50" s="11">
        <f t="shared" si="4"/>
        <v>0.3002604235</v>
      </c>
      <c r="N50" s="11" t="str">
        <f t="shared" si="5"/>
        <v/>
      </c>
      <c r="O50" s="11" t="str">
        <f t="shared" si="6"/>
        <v/>
      </c>
      <c r="P50" s="11" t="str">
        <f>IF(Method!$B$55=TRUE(),"🛑 PAUSED",IF(O50="","",IF(O50&lt;Method!$B$8,"PASS","BET")))</f>
        <v/>
      </c>
    </row>
    <row r="51" ht="15.75" customHeight="1">
      <c r="A51" s="12">
        <v>48.0</v>
      </c>
      <c r="B51" s="13">
        <v>46196.0</v>
      </c>
      <c r="C51" s="14" t="s">
        <v>91</v>
      </c>
      <c r="D51" s="14" t="s">
        <v>85</v>
      </c>
      <c r="E51" s="12">
        <v>2.1405017375946045</v>
      </c>
      <c r="F51" s="12">
        <v>0.5892113447189331</v>
      </c>
      <c r="G51" s="11">
        <f t="shared" si="1"/>
        <v>0.524327094</v>
      </c>
      <c r="H51" s="11">
        <f t="shared" si="2"/>
        <v>0.411982085</v>
      </c>
      <c r="I51" s="11">
        <f t="shared" si="3"/>
        <v>0.7833652022</v>
      </c>
      <c r="J51" s="11">
        <f t="shared" si="4"/>
        <v>0.2985625095</v>
      </c>
      <c r="N51" s="11" t="str">
        <f t="shared" si="5"/>
        <v/>
      </c>
      <c r="O51" s="11" t="str">
        <f t="shared" si="6"/>
        <v/>
      </c>
      <c r="P51" s="11" t="str">
        <f>IF(Method!$B$55=TRUE(),"🛑 PAUSED",IF(O51="","",IF(O51&lt;Method!$B$8,"PASS","BET")))</f>
        <v/>
      </c>
    </row>
    <row r="52" ht="15.75" customHeight="1">
      <c r="A52" s="12">
        <v>49.0</v>
      </c>
      <c r="B52" s="13">
        <v>46197.0</v>
      </c>
      <c r="C52" s="14" t="s">
        <v>53</v>
      </c>
      <c r="D52" s="14" t="s">
        <v>48</v>
      </c>
      <c r="E52" s="12">
        <v>1.4654194116592407</v>
      </c>
      <c r="F52" s="12">
        <v>1.1159298419952393</v>
      </c>
      <c r="G52" s="11">
        <f t="shared" si="1"/>
        <v>0.4774519314</v>
      </c>
      <c r="H52" s="11">
        <f t="shared" si="2"/>
        <v>0.5338086838</v>
      </c>
      <c r="I52" s="11">
        <f t="shared" si="3"/>
        <v>0.7459761192</v>
      </c>
      <c r="J52" s="11">
        <f t="shared" si="4"/>
        <v>0.2602591122</v>
      </c>
      <c r="N52" s="11" t="str">
        <f t="shared" si="5"/>
        <v/>
      </c>
      <c r="O52" s="11" t="str">
        <f t="shared" si="6"/>
        <v/>
      </c>
      <c r="P52" s="11" t="str">
        <f>IF(Method!$B$55=TRUE(),"🛑 PAUSED",IF(O52="","",IF(O52&lt;Method!$B$8,"PASS","BET")))</f>
        <v/>
      </c>
    </row>
    <row r="53" ht="15.75" customHeight="1">
      <c r="A53" s="12">
        <v>50.0</v>
      </c>
      <c r="B53" s="13">
        <v>46197.0</v>
      </c>
      <c r="C53" s="14" t="s">
        <v>49</v>
      </c>
      <c r="D53" s="14" t="s">
        <v>52</v>
      </c>
      <c r="E53" s="12">
        <v>1.4026122093200684</v>
      </c>
      <c r="F53" s="12">
        <v>1.0204110145568848</v>
      </c>
      <c r="G53" s="11">
        <f t="shared" si="1"/>
        <v>0.4370305247</v>
      </c>
      <c r="H53" s="11">
        <f t="shared" si="2"/>
        <v>0.499588796</v>
      </c>
      <c r="I53" s="11">
        <f t="shared" si="3"/>
        <v>0.7142354298</v>
      </c>
      <c r="J53" s="11">
        <f t="shared" si="4"/>
        <v>0.226484217</v>
      </c>
      <c r="N53" s="11" t="str">
        <f t="shared" si="5"/>
        <v/>
      </c>
      <c r="O53" s="11" t="str">
        <f t="shared" si="6"/>
        <v/>
      </c>
      <c r="P53" s="11" t="str">
        <f>IF(Method!$B$55=TRUE(),"🛑 PAUSED",IF(O53="","",IF(O53&lt;Method!$B$8,"PASS","BET")))</f>
        <v/>
      </c>
    </row>
    <row r="54" ht="15.75" customHeight="1">
      <c r="A54" s="12">
        <v>51.0</v>
      </c>
      <c r="B54" s="13">
        <v>46197.0</v>
      </c>
      <c r="C54" s="14" t="s">
        <v>57</v>
      </c>
      <c r="D54" s="14" t="s">
        <v>54</v>
      </c>
      <c r="E54" s="12">
        <v>0.8088209629058838</v>
      </c>
      <c r="F54" s="12">
        <v>2.084231376647949</v>
      </c>
      <c r="G54" s="11">
        <f t="shared" si="1"/>
        <v>0.5589769561</v>
      </c>
      <c r="H54" s="11">
        <f t="shared" si="2"/>
        <v>0.5036649741</v>
      </c>
      <c r="I54" s="11">
        <f t="shared" si="3"/>
        <v>0.8058830271</v>
      </c>
      <c r="J54" s="11">
        <f t="shared" si="4"/>
        <v>0.332721264</v>
      </c>
      <c r="N54" s="11" t="str">
        <f t="shared" si="5"/>
        <v/>
      </c>
      <c r="O54" s="11" t="str">
        <f t="shared" si="6"/>
        <v/>
      </c>
      <c r="P54" s="11" t="str">
        <f>IF(Method!$B$55=TRUE(),"🛑 PAUSED",IF(O54="","",IF(O54&lt;Method!$B$8,"PASS","BET")))</f>
        <v/>
      </c>
    </row>
    <row r="55" ht="15.75" customHeight="1">
      <c r="A55" s="12">
        <v>52.0</v>
      </c>
      <c r="B55" s="13">
        <v>46197.0</v>
      </c>
      <c r="C55" s="14" t="s">
        <v>55</v>
      </c>
      <c r="D55" s="14" t="s">
        <v>56</v>
      </c>
      <c r="E55" s="12">
        <v>2.1951677799224854</v>
      </c>
      <c r="F55" s="12">
        <v>0.592192530632019</v>
      </c>
      <c r="G55" s="11">
        <f t="shared" si="1"/>
        <v>0.5386077607</v>
      </c>
      <c r="H55" s="11">
        <f t="shared" si="2"/>
        <v>0.4160974283</v>
      </c>
      <c r="I55" s="11">
        <f t="shared" si="3"/>
        <v>0.7934913321</v>
      </c>
      <c r="J55" s="11">
        <f t="shared" si="4"/>
        <v>0.3116630533</v>
      </c>
      <c r="N55" s="11" t="str">
        <f t="shared" si="5"/>
        <v/>
      </c>
      <c r="O55" s="11" t="str">
        <f t="shared" si="6"/>
        <v/>
      </c>
      <c r="P55" s="11" t="str">
        <f>IF(Method!$B$55=TRUE(),"🛑 PAUSED",IF(O55="","",IF(O55&lt;Method!$B$8,"PASS","BET")))</f>
        <v/>
      </c>
    </row>
    <row r="56" ht="15.75" customHeight="1">
      <c r="A56" s="12">
        <v>53.0</v>
      </c>
      <c r="B56" s="13">
        <v>46197.0</v>
      </c>
      <c r="C56" s="14" t="s">
        <v>47</v>
      </c>
      <c r="D56" s="14" t="s">
        <v>44</v>
      </c>
      <c r="E56" s="12">
        <v>0.6496236324310303</v>
      </c>
      <c r="F56" s="12">
        <v>2.094792604446411</v>
      </c>
      <c r="G56" s="11">
        <f t="shared" si="1"/>
        <v>0.5263799741</v>
      </c>
      <c r="H56" s="11">
        <f t="shared" si="2"/>
        <v>0.4379646435</v>
      </c>
      <c r="I56" s="11">
        <f t="shared" si="3"/>
        <v>0.7843498502</v>
      </c>
      <c r="J56" s="11">
        <f t="shared" si="4"/>
        <v>0.300976303</v>
      </c>
      <c r="N56" s="11" t="str">
        <f t="shared" si="5"/>
        <v/>
      </c>
      <c r="O56" s="11" t="str">
        <f t="shared" si="6"/>
        <v/>
      </c>
      <c r="P56" s="11" t="str">
        <f>IF(Method!$B$55=TRUE(),"🛑 PAUSED",IF(O56="","",IF(O56&lt;Method!$B$8,"PASS","BET")))</f>
        <v/>
      </c>
    </row>
    <row r="57" ht="15.75" customHeight="1">
      <c r="A57" s="12">
        <v>54.0</v>
      </c>
      <c r="B57" s="13">
        <v>46197.0</v>
      </c>
      <c r="C57" s="14" t="s">
        <v>45</v>
      </c>
      <c r="D57" s="14" t="s">
        <v>46</v>
      </c>
      <c r="E57" s="12">
        <v>0.7381753325462341</v>
      </c>
      <c r="F57" s="12">
        <v>1.490415096282959</v>
      </c>
      <c r="G57" s="11">
        <f t="shared" si="1"/>
        <v>0.388015763</v>
      </c>
      <c r="H57" s="11">
        <f t="shared" si="2"/>
        <v>0.4231685862</v>
      </c>
      <c r="I57" s="11">
        <f t="shared" si="3"/>
        <v>0.6730775093</v>
      </c>
      <c r="J57" s="11">
        <f t="shared" si="4"/>
        <v>0.1877859041</v>
      </c>
      <c r="N57" s="11" t="str">
        <f t="shared" si="5"/>
        <v/>
      </c>
      <c r="O57" s="11" t="str">
        <f t="shared" si="6"/>
        <v/>
      </c>
      <c r="P57" s="11" t="str">
        <f>IF(Method!$B$55=TRUE(),"🛑 PAUSED",IF(O57="","",IF(O57&lt;Method!$B$8,"PASS","BET")))</f>
        <v/>
      </c>
    </row>
    <row r="58" ht="15.75" customHeight="1">
      <c r="A58" s="12">
        <v>55.0</v>
      </c>
      <c r="B58" s="13">
        <v>46198.0</v>
      </c>
      <c r="C58" s="14" t="s">
        <v>65</v>
      </c>
      <c r="D58" s="14" t="s">
        <v>60</v>
      </c>
      <c r="E58" s="12">
        <v>1.2473100423812866</v>
      </c>
      <c r="F58" s="12">
        <v>1.2764403820037842</v>
      </c>
      <c r="G58" s="11">
        <f t="shared" si="1"/>
        <v>0.4622686982</v>
      </c>
      <c r="H58" s="11">
        <f t="shared" si="2"/>
        <v>0.5304486177</v>
      </c>
      <c r="I58" s="11">
        <f t="shared" si="3"/>
        <v>0.7341390492</v>
      </c>
      <c r="J58" s="11">
        <f t="shared" si="4"/>
        <v>0.2475148662</v>
      </c>
      <c r="N58" s="11" t="str">
        <f t="shared" si="5"/>
        <v/>
      </c>
      <c r="O58" s="11" t="str">
        <f t="shared" si="6"/>
        <v/>
      </c>
      <c r="P58" s="11" t="str">
        <f>IF(Method!$B$55=TRUE(),"🛑 PAUSED",IF(O58="","",IF(O58&lt;Method!$B$8,"PASS","BET")))</f>
        <v/>
      </c>
    </row>
    <row r="59" ht="15.75" customHeight="1">
      <c r="A59" s="12">
        <v>56.0</v>
      </c>
      <c r="B59" s="13">
        <v>46198.0</v>
      </c>
      <c r="C59" s="14" t="s">
        <v>61</v>
      </c>
      <c r="D59" s="14" t="s">
        <v>64</v>
      </c>
      <c r="E59" s="12">
        <v>0.6613684892654419</v>
      </c>
      <c r="F59" s="12">
        <v>2.0592832565307617</v>
      </c>
      <c r="G59" s="11">
        <f t="shared" si="1"/>
        <v>0.5201193141</v>
      </c>
      <c r="H59" s="11">
        <f t="shared" si="2"/>
        <v>0.4411759173</v>
      </c>
      <c r="I59" s="11">
        <f t="shared" si="3"/>
        <v>0.7797590903</v>
      </c>
      <c r="J59" s="11">
        <f t="shared" si="4"/>
        <v>0.2954063431</v>
      </c>
      <c r="N59" s="11" t="str">
        <f t="shared" si="5"/>
        <v/>
      </c>
      <c r="O59" s="11" t="str">
        <f t="shared" si="6"/>
        <v/>
      </c>
      <c r="P59" s="11" t="str">
        <f>IF(Method!$B$55=TRUE(),"🛑 PAUSED",IF(O59="","",IF(O59&lt;Method!$B$8,"PASS","BET")))</f>
        <v/>
      </c>
    </row>
    <row r="60" ht="15.75" customHeight="1">
      <c r="A60" s="12">
        <v>57.0</v>
      </c>
      <c r="B60" s="13">
        <v>46198.0</v>
      </c>
      <c r="C60" s="14" t="s">
        <v>63</v>
      </c>
      <c r="D60" s="14" t="s">
        <v>66</v>
      </c>
      <c r="E60" s="12">
        <v>1.8370896577835083</v>
      </c>
      <c r="F60" s="12">
        <v>0.8426067233085632</v>
      </c>
      <c r="G60" s="11">
        <f t="shared" si="1"/>
        <v>0.5058493148</v>
      </c>
      <c r="H60" s="11">
        <f t="shared" si="2"/>
        <v>0.496899932</v>
      </c>
      <c r="I60" s="11">
        <f t="shared" si="3"/>
        <v>0.7682070409</v>
      </c>
      <c r="J60" s="11">
        <f t="shared" si="4"/>
        <v>0.2839404371</v>
      </c>
      <c r="N60" s="11" t="str">
        <f t="shared" si="5"/>
        <v/>
      </c>
      <c r="O60" s="11" t="str">
        <f t="shared" si="6"/>
        <v/>
      </c>
      <c r="P60" s="11" t="str">
        <f>IF(Method!$B$55=TRUE(),"🛑 PAUSED",IF(O60="","",IF(O60&lt;Method!$B$8,"PASS","BET")))</f>
        <v/>
      </c>
    </row>
    <row r="61" ht="15.75" customHeight="1">
      <c r="A61" s="12">
        <v>58.0</v>
      </c>
      <c r="B61" s="13">
        <v>46198.0</v>
      </c>
      <c r="C61" s="14" t="s">
        <v>67</v>
      </c>
      <c r="D61" s="14" t="s">
        <v>62</v>
      </c>
      <c r="E61" s="12">
        <v>0.6021531820297241</v>
      </c>
      <c r="F61" s="12">
        <v>2.3058197498321533</v>
      </c>
      <c r="G61" s="11">
        <f t="shared" si="1"/>
        <v>0.5675692412</v>
      </c>
      <c r="H61" s="11">
        <f t="shared" si="2"/>
        <v>0.4259029429</v>
      </c>
      <c r="I61" s="11">
        <f t="shared" si="3"/>
        <v>0.8132819891</v>
      </c>
      <c r="J61" s="11">
        <f t="shared" si="4"/>
        <v>0.339145293</v>
      </c>
      <c r="N61" s="11" t="str">
        <f t="shared" si="5"/>
        <v/>
      </c>
      <c r="O61" s="11" t="str">
        <f t="shared" si="6"/>
        <v/>
      </c>
      <c r="P61" s="11" t="str">
        <f>IF(Method!$B$55=TRUE(),"🛑 PAUSED",IF(O61="","",IF(O61&lt;Method!$B$8,"PASS","BET")))</f>
        <v/>
      </c>
    </row>
    <row r="62" ht="15.75" customHeight="1">
      <c r="A62" s="12">
        <v>59.0</v>
      </c>
      <c r="B62" s="13">
        <v>46198.0</v>
      </c>
      <c r="C62" s="14" t="s">
        <v>59</v>
      </c>
      <c r="D62" s="14" t="s">
        <v>50</v>
      </c>
      <c r="E62" s="12">
        <v>1.7802023887634277</v>
      </c>
      <c r="F62" s="12">
        <v>1.1438897848129272</v>
      </c>
      <c r="G62" s="11">
        <f t="shared" si="1"/>
        <v>0.5611767553</v>
      </c>
      <c r="H62" s="11">
        <f t="shared" si="2"/>
        <v>0.5823979497</v>
      </c>
      <c r="I62" s="11">
        <f t="shared" si="3"/>
        <v>0.8057208839</v>
      </c>
      <c r="J62" s="11">
        <f t="shared" si="4"/>
        <v>0.3367190927</v>
      </c>
      <c r="N62" s="11" t="str">
        <f t="shared" si="5"/>
        <v/>
      </c>
      <c r="O62" s="11" t="str">
        <f t="shared" si="6"/>
        <v/>
      </c>
      <c r="P62" s="11" t="str">
        <f>IF(Method!$B$55=TRUE(),"🛑 PAUSED",IF(O62="","",IF(O62&lt;Method!$B$8,"PASS","BET")))</f>
        <v/>
      </c>
    </row>
    <row r="63" ht="15.75" customHeight="1">
      <c r="A63" s="12">
        <v>60.0</v>
      </c>
      <c r="B63" s="13">
        <v>46198.0</v>
      </c>
      <c r="C63" s="14" t="s">
        <v>51</v>
      </c>
      <c r="D63" s="14" t="s">
        <v>58</v>
      </c>
      <c r="E63" s="12">
        <v>1.2101430892944336</v>
      </c>
      <c r="F63" s="12">
        <v>1.1266133785247803</v>
      </c>
      <c r="G63" s="11">
        <f t="shared" si="1"/>
        <v>0.4137205415</v>
      </c>
      <c r="H63" s="11">
        <f t="shared" si="2"/>
        <v>0.4915282681</v>
      </c>
      <c r="I63" s="11">
        <f t="shared" si="3"/>
        <v>0.6947231035</v>
      </c>
      <c r="J63" s="11">
        <f t="shared" si="4"/>
        <v>0.2081850903</v>
      </c>
      <c r="N63" s="11" t="str">
        <f t="shared" si="5"/>
        <v/>
      </c>
      <c r="O63" s="11" t="str">
        <f t="shared" si="6"/>
        <v/>
      </c>
      <c r="P63" s="11" t="str">
        <f>IF(Method!$B$55=TRUE(),"🛑 PAUSED",IF(O63="","",IF(O63&lt;Method!$B$8,"PASS","BET")))</f>
        <v/>
      </c>
    </row>
    <row r="64" ht="15.75" customHeight="1">
      <c r="A64" s="12">
        <v>61.0</v>
      </c>
      <c r="B64" s="13">
        <v>46199.0</v>
      </c>
      <c r="C64" s="14" t="s">
        <v>79</v>
      </c>
      <c r="D64" s="14" t="s">
        <v>76</v>
      </c>
      <c r="E64" s="12">
        <v>1.4269098043441772</v>
      </c>
      <c r="F64" s="12">
        <v>1.8852885961532593</v>
      </c>
      <c r="G64" s="11">
        <f t="shared" si="1"/>
        <v>0.6436580234</v>
      </c>
      <c r="H64" s="11">
        <f t="shared" si="2"/>
        <v>0.6579983294</v>
      </c>
      <c r="I64" s="11">
        <f t="shared" si="3"/>
        <v>0.8564755056</v>
      </c>
      <c r="J64" s="11">
        <f t="shared" si="4"/>
        <v>0.4227758188</v>
      </c>
      <c r="N64" s="11" t="str">
        <f t="shared" si="5"/>
        <v/>
      </c>
      <c r="O64" s="11" t="str">
        <f t="shared" si="6"/>
        <v/>
      </c>
      <c r="P64" s="11" t="str">
        <f>IF(Method!$B$55=TRUE(),"🛑 PAUSED",IF(O64="","",IF(O64&lt;Method!$B$8,"PASS","BET")))</f>
        <v/>
      </c>
    </row>
    <row r="65" ht="15.75" customHeight="1">
      <c r="A65" s="12">
        <v>62.0</v>
      </c>
      <c r="B65" s="13">
        <v>46199.0</v>
      </c>
      <c r="C65" s="14" t="s">
        <v>77</v>
      </c>
      <c r="D65" s="14" t="s">
        <v>78</v>
      </c>
      <c r="E65" s="12">
        <v>1.7097651958465576</v>
      </c>
      <c r="F65" s="12">
        <v>0.7337285280227661</v>
      </c>
      <c r="G65" s="11">
        <f t="shared" si="1"/>
        <v>0.446414399</v>
      </c>
      <c r="H65" s="11">
        <f t="shared" si="2"/>
        <v>0.444782569</v>
      </c>
      <c r="I65" s="11">
        <f t="shared" si="3"/>
        <v>0.722849504</v>
      </c>
      <c r="J65" s="11">
        <f t="shared" si="4"/>
        <v>0.2329214763</v>
      </c>
      <c r="N65" s="11" t="str">
        <f t="shared" si="5"/>
        <v/>
      </c>
      <c r="O65" s="11" t="str">
        <f t="shared" si="6"/>
        <v/>
      </c>
      <c r="P65" s="11" t="str">
        <f>IF(Method!$B$55=TRUE(),"🛑 PAUSED",IF(O65="","",IF(O65&lt;Method!$B$8,"PASS","BET")))</f>
        <v/>
      </c>
    </row>
    <row r="66" ht="15.75" customHeight="1">
      <c r="A66" s="12">
        <v>63.0</v>
      </c>
      <c r="B66" s="13">
        <v>46199.0</v>
      </c>
      <c r="C66" s="14" t="s">
        <v>73</v>
      </c>
      <c r="D66" s="14" t="s">
        <v>68</v>
      </c>
      <c r="E66" s="12">
        <v>0.35281869769096375</v>
      </c>
      <c r="F66" s="12">
        <v>2.3733348846435547</v>
      </c>
      <c r="G66" s="11">
        <f t="shared" si="1"/>
        <v>0.531218456</v>
      </c>
      <c r="H66" s="11">
        <f t="shared" si="2"/>
        <v>0.2866848233</v>
      </c>
      <c r="I66" s="11">
        <f t="shared" si="3"/>
        <v>0.7906456517</v>
      </c>
      <c r="J66" s="11">
        <f t="shared" si="4"/>
        <v>0.3021818012</v>
      </c>
      <c r="N66" s="11" t="str">
        <f t="shared" si="5"/>
        <v/>
      </c>
      <c r="O66" s="11" t="str">
        <f t="shared" si="6"/>
        <v/>
      </c>
      <c r="P66" s="11" t="str">
        <f>IF(Method!$B$55=TRUE(),"🛑 PAUSED",IF(O66="","",IF(O66&lt;Method!$B$8,"PASS","BET")))</f>
        <v/>
      </c>
    </row>
    <row r="67" ht="15.75" customHeight="1">
      <c r="A67" s="12">
        <v>64.0</v>
      </c>
      <c r="B67" s="13">
        <v>46199.0</v>
      </c>
      <c r="C67" s="14" t="s">
        <v>69</v>
      </c>
      <c r="D67" s="14" t="s">
        <v>72</v>
      </c>
      <c r="E67" s="12">
        <v>1.0488569736480713</v>
      </c>
      <c r="F67" s="12">
        <v>1.1576118469238281</v>
      </c>
      <c r="G67" s="11">
        <f t="shared" si="1"/>
        <v>0.3790844764</v>
      </c>
      <c r="H67" s="11">
        <f t="shared" si="2"/>
        <v>0.462970001</v>
      </c>
      <c r="I67" s="11">
        <f t="shared" si="3"/>
        <v>0.6644930985</v>
      </c>
      <c r="J67" s="11">
        <f t="shared" si="4"/>
        <v>0.1819518896</v>
      </c>
      <c r="N67" s="11" t="str">
        <f t="shared" si="5"/>
        <v/>
      </c>
      <c r="O67" s="11" t="str">
        <f t="shared" si="6"/>
        <v/>
      </c>
      <c r="P67" s="11" t="str">
        <f>IF(Method!$B$55=TRUE(),"🛑 PAUSED",IF(O67="","",IF(O67&lt;Method!$B$8,"PASS","BET")))</f>
        <v/>
      </c>
    </row>
    <row r="68" ht="15.75" customHeight="1">
      <c r="A68" s="12">
        <v>65.0</v>
      </c>
      <c r="B68" s="13">
        <v>46199.0</v>
      </c>
      <c r="C68" s="14" t="s">
        <v>71</v>
      </c>
      <c r="D68" s="14" t="s">
        <v>74</v>
      </c>
      <c r="E68" s="12">
        <v>1.0271209478378296</v>
      </c>
      <c r="F68" s="12">
        <v>1.2997547388076782</v>
      </c>
      <c r="G68" s="11">
        <f t="shared" si="1"/>
        <v>0.4114634417</v>
      </c>
      <c r="H68" s="11">
        <f t="shared" si="2"/>
        <v>0.484360658</v>
      </c>
      <c r="I68" s="11">
        <f t="shared" si="3"/>
        <v>0.692888291</v>
      </c>
      <c r="J68" s="11">
        <f t="shared" si="4"/>
        <v>0.2063336229</v>
      </c>
      <c r="N68" s="11" t="str">
        <f t="shared" si="5"/>
        <v/>
      </c>
      <c r="O68" s="11" t="str">
        <f t="shared" si="6"/>
        <v/>
      </c>
      <c r="P68" s="11" t="str">
        <f>IF(Method!$B$55=TRUE(),"🛑 PAUSED",IF(O68="","",IF(O68&lt;Method!$B$8,"PASS","BET")))</f>
        <v/>
      </c>
    </row>
    <row r="69" ht="15.75" customHeight="1">
      <c r="A69" s="12">
        <v>66.0</v>
      </c>
      <c r="B69" s="13">
        <v>46199.0</v>
      </c>
      <c r="C69" s="14" t="s">
        <v>75</v>
      </c>
      <c r="D69" s="14" t="s">
        <v>70</v>
      </c>
      <c r="E69" s="12">
        <v>0.695321261882782</v>
      </c>
      <c r="F69" s="12">
        <v>2.0728375911712646</v>
      </c>
      <c r="G69" s="11">
        <f t="shared" si="1"/>
        <v>0.5311472439</v>
      </c>
      <c r="H69" s="11">
        <f t="shared" si="2"/>
        <v>0.4568727269</v>
      </c>
      <c r="I69" s="11">
        <f t="shared" si="3"/>
        <v>0.7874006641</v>
      </c>
      <c r="J69" s="11">
        <f t="shared" si="4"/>
        <v>0.305721356</v>
      </c>
      <c r="N69" s="11" t="str">
        <f t="shared" si="5"/>
        <v/>
      </c>
      <c r="O69" s="11" t="str">
        <f t="shared" si="6"/>
        <v/>
      </c>
      <c r="P69" s="11" t="str">
        <f>IF(Method!$B$55=TRUE(),"🛑 PAUSED",IF(O69="","",IF(O69&lt;Method!$B$8,"PASS","BET")))</f>
        <v/>
      </c>
    </row>
    <row r="70" ht="15.75" customHeight="1">
      <c r="A70" s="12">
        <v>67.0</v>
      </c>
      <c r="B70" s="13">
        <v>46200.0</v>
      </c>
      <c r="C70" s="14" t="s">
        <v>89</v>
      </c>
      <c r="D70" s="14" t="s">
        <v>86</v>
      </c>
      <c r="E70" s="12">
        <v>0.6349689364433289</v>
      </c>
      <c r="F70" s="12">
        <v>2.513543128967285</v>
      </c>
      <c r="G70" s="11">
        <f t="shared" si="1"/>
        <v>0.6214833786</v>
      </c>
      <c r="H70" s="11">
        <f t="shared" si="2"/>
        <v>0.4497423754</v>
      </c>
      <c r="I70" s="11">
        <f t="shared" si="3"/>
        <v>0.8475543467</v>
      </c>
      <c r="J70" s="11">
        <f t="shared" si="4"/>
        <v>0.3937537973</v>
      </c>
      <c r="N70" s="11" t="str">
        <f t="shared" si="5"/>
        <v/>
      </c>
      <c r="O70" s="11" t="str">
        <f t="shared" si="6"/>
        <v/>
      </c>
      <c r="P70" s="11" t="str">
        <f>IF(Method!$B$55=TRUE(),"🛑 PAUSED",IF(O70="","",IF(O70&lt;Method!$B$8,"PASS","BET")))</f>
        <v/>
      </c>
    </row>
    <row r="71" ht="15.75" customHeight="1">
      <c r="A71" s="12">
        <v>68.0</v>
      </c>
      <c r="B71" s="13">
        <v>46200.0</v>
      </c>
      <c r="C71" s="14" t="s">
        <v>87</v>
      </c>
      <c r="D71" s="14" t="s">
        <v>88</v>
      </c>
      <c r="E71" s="12">
        <v>2.1218626499176025</v>
      </c>
      <c r="F71" s="12">
        <v>0.6280028820037842</v>
      </c>
      <c r="G71" s="11">
        <f t="shared" si="1"/>
        <v>0.5283102146</v>
      </c>
      <c r="H71" s="11">
        <f t="shared" si="2"/>
        <v>0.4295142735</v>
      </c>
      <c r="I71" s="11">
        <f t="shared" si="3"/>
        <v>0.7858999291</v>
      </c>
      <c r="J71" s="11">
        <f t="shared" si="4"/>
        <v>0.3025419444</v>
      </c>
      <c r="N71" s="11" t="str">
        <f t="shared" si="5"/>
        <v/>
      </c>
      <c r="O71" s="11" t="str">
        <f t="shared" si="6"/>
        <v/>
      </c>
      <c r="P71" s="11" t="str">
        <f>IF(Method!$B$55=TRUE(),"🛑 PAUSED",IF(O71="","",IF(O71&lt;Method!$B$8,"PASS","BET")))</f>
        <v/>
      </c>
    </row>
    <row r="72" ht="15.75" customHeight="1">
      <c r="A72" s="12">
        <v>69.0</v>
      </c>
      <c r="B72" s="13">
        <v>46200.0</v>
      </c>
      <c r="C72" s="14" t="s">
        <v>91</v>
      </c>
      <c r="D72" s="14" t="s">
        <v>84</v>
      </c>
      <c r="E72" s="12">
        <v>1.5247794389724731</v>
      </c>
      <c r="F72" s="12">
        <v>1.1260976791381836</v>
      </c>
      <c r="G72" s="11">
        <f t="shared" si="1"/>
        <v>0.4949885552</v>
      </c>
      <c r="H72" s="11">
        <f t="shared" si="2"/>
        <v>0.5451757974</v>
      </c>
      <c r="I72" s="11">
        <f t="shared" si="3"/>
        <v>0.7591512363</v>
      </c>
      <c r="J72" s="11">
        <f t="shared" si="4"/>
        <v>0.2755109785</v>
      </c>
      <c r="N72" s="11" t="str">
        <f t="shared" si="5"/>
        <v/>
      </c>
      <c r="O72" s="11" t="str">
        <f t="shared" si="6"/>
        <v/>
      </c>
      <c r="P72" s="11" t="str">
        <f>IF(Method!$B$55=TRUE(),"🛑 PAUSED",IF(O72="","",IF(O72&lt;Method!$B$8,"PASS","BET")))</f>
        <v/>
      </c>
    </row>
    <row r="73" ht="15.75" customHeight="1">
      <c r="A73" s="12">
        <v>70.0</v>
      </c>
      <c r="B73" s="13">
        <v>46200.0</v>
      </c>
      <c r="C73" s="14" t="s">
        <v>85</v>
      </c>
      <c r="D73" s="14" t="s">
        <v>90</v>
      </c>
      <c r="E73" s="12">
        <v>0.9883605241775513</v>
      </c>
      <c r="F73" s="12">
        <v>1.1738275289535522</v>
      </c>
      <c r="G73" s="11">
        <f t="shared" si="1"/>
        <v>0.3673197945</v>
      </c>
      <c r="H73" s="11">
        <f t="shared" si="2"/>
        <v>0.451293112</v>
      </c>
      <c r="I73" s="11">
        <f t="shared" si="3"/>
        <v>0.653809264</v>
      </c>
      <c r="J73" s="11">
        <f t="shared" si="4"/>
        <v>0.1733534706</v>
      </c>
      <c r="N73" s="11" t="str">
        <f t="shared" si="5"/>
        <v/>
      </c>
      <c r="O73" s="11" t="str">
        <f t="shared" si="6"/>
        <v/>
      </c>
      <c r="P73" s="11" t="str">
        <f>IF(Method!$B$55=TRUE(),"🛑 PAUSED",IF(O73="","",IF(O73&lt;Method!$B$8,"PASS","BET")))</f>
        <v/>
      </c>
    </row>
    <row r="74" ht="15.75" customHeight="1">
      <c r="A74" s="12">
        <v>71.0</v>
      </c>
      <c r="B74" s="13">
        <v>46200.0</v>
      </c>
      <c r="C74" s="14" t="s">
        <v>81</v>
      </c>
      <c r="D74" s="14" t="s">
        <v>82</v>
      </c>
      <c r="E74" s="12">
        <v>1.013149380683899</v>
      </c>
      <c r="F74" s="12">
        <v>1.296699047088623</v>
      </c>
      <c r="G74" s="11">
        <f t="shared" si="1"/>
        <v>0.4069934464</v>
      </c>
      <c r="H74" s="11">
        <f t="shared" si="2"/>
        <v>0.4802231321</v>
      </c>
      <c r="I74" s="11">
        <f t="shared" si="3"/>
        <v>0.6890806684</v>
      </c>
      <c r="J74" s="11">
        <f t="shared" si="4"/>
        <v>0.2028687055</v>
      </c>
      <c r="N74" s="11" t="str">
        <f t="shared" si="5"/>
        <v/>
      </c>
      <c r="O74" s="11" t="str">
        <f t="shared" si="6"/>
        <v/>
      </c>
      <c r="P74" s="11" t="str">
        <f>IF(Method!$B$55=TRUE(),"🛑 PAUSED",IF(O74="","",IF(O74&lt;Method!$B$8,"PASS","BET")))</f>
        <v/>
      </c>
    </row>
    <row r="75" ht="15.75" customHeight="1">
      <c r="A75" s="12">
        <v>72.0</v>
      </c>
      <c r="B75" s="13">
        <v>46200.0</v>
      </c>
      <c r="C75" s="14" t="s">
        <v>83</v>
      </c>
      <c r="D75" s="14" t="s">
        <v>80</v>
      </c>
      <c r="E75" s="12">
        <v>0.32589203119277954</v>
      </c>
      <c r="F75" s="12">
        <v>3.5634143352508545</v>
      </c>
      <c r="G75" s="11">
        <f t="shared" si="1"/>
        <v>0.7665954564</v>
      </c>
      <c r="H75" s="11">
        <f t="shared" si="2"/>
        <v>0.2811615202</v>
      </c>
      <c r="I75" s="11">
        <f t="shared" si="3"/>
        <v>0.9289532562</v>
      </c>
      <c r="J75" s="11">
        <f t="shared" si="4"/>
        <v>0.5602282196</v>
      </c>
      <c r="N75" s="11" t="str">
        <f t="shared" si="5"/>
        <v/>
      </c>
      <c r="O75" s="11" t="str">
        <f t="shared" si="6"/>
        <v/>
      </c>
      <c r="P75" s="11" t="str">
        <f>IF(Method!$B$55=TRUE(),"🛑 PAUSED",IF(O75="","",IF(O75&lt;Method!$B$8,"PASS","BET")))</f>
        <v/>
      </c>
    </row>
    <row r="76" ht="15.75" customHeight="1">
      <c r="A76" s="12">
        <v>73.0</v>
      </c>
      <c r="B76" s="13">
        <v>46201.0</v>
      </c>
      <c r="C76" s="14" t="s">
        <v>45</v>
      </c>
      <c r="D76" s="14" t="s">
        <v>48</v>
      </c>
      <c r="E76" s="12">
        <v>0.6325141489505768</v>
      </c>
      <c r="F76" s="12">
        <v>1.7862316370010376</v>
      </c>
      <c r="G76" s="11">
        <f t="shared" si="1"/>
        <v>0.4419905563</v>
      </c>
      <c r="H76" s="11">
        <f t="shared" si="2"/>
        <v>0.4095750601</v>
      </c>
      <c r="I76" s="11">
        <f t="shared" si="3"/>
        <v>0.7197840396</v>
      </c>
      <c r="J76" s="11">
        <f t="shared" si="4"/>
        <v>0.2287281213</v>
      </c>
      <c r="N76" s="11" t="str">
        <f t="shared" si="5"/>
        <v/>
      </c>
      <c r="O76" s="11" t="str">
        <f t="shared" si="6"/>
        <v/>
      </c>
      <c r="P76" s="11" t="str">
        <f>IF(Method!$B$55=TRUE(),"🛑 PAUSED",IF(O76="","",IF(O76&lt;Method!$B$8,"PASS","BET")))</f>
        <v/>
      </c>
    </row>
    <row r="77" ht="15.75" customHeight="1">
      <c r="A77" s="12">
        <v>74.0</v>
      </c>
      <c r="B77" s="13">
        <v>46202.0</v>
      </c>
      <c r="C77" s="14" t="s">
        <v>60</v>
      </c>
      <c r="D77" s="14" t="s">
        <v>51</v>
      </c>
      <c r="E77" s="12">
        <v>1.5224198698997498</v>
      </c>
      <c r="F77" s="12">
        <v>0.919484406709671</v>
      </c>
      <c r="G77" s="11">
        <f t="shared" si="1"/>
        <v>0.4430216439</v>
      </c>
      <c r="H77" s="11">
        <f t="shared" si="2"/>
        <v>0.4879244973</v>
      </c>
      <c r="I77" s="11">
        <f t="shared" si="3"/>
        <v>0.7193602396</v>
      </c>
      <c r="J77" s="11">
        <f t="shared" si="4"/>
        <v>0.2310302161</v>
      </c>
      <c r="N77" s="11" t="str">
        <f t="shared" si="5"/>
        <v/>
      </c>
      <c r="O77" s="11" t="str">
        <f t="shared" si="6"/>
        <v/>
      </c>
      <c r="P77" s="11" t="str">
        <f>IF(Method!$B$55=TRUE(),"🛑 PAUSED",IF(O77="","",IF(O77&lt;Method!$B$8,"PASS","BET")))</f>
        <v/>
      </c>
    </row>
    <row r="78" ht="15.75" customHeight="1">
      <c r="A78" s="12">
        <v>75.0</v>
      </c>
      <c r="B78" s="13">
        <v>46202.0</v>
      </c>
      <c r="C78" s="14" t="s">
        <v>62</v>
      </c>
      <c r="D78" s="14" t="s">
        <v>55</v>
      </c>
      <c r="E78" s="12">
        <v>1.2584140300750732</v>
      </c>
      <c r="F78" s="12">
        <v>1.0889513492584229</v>
      </c>
      <c r="G78" s="11">
        <f t="shared" si="1"/>
        <v>0.4166300041</v>
      </c>
      <c r="H78" s="11">
        <f t="shared" si="2"/>
        <v>0.4921573706</v>
      </c>
      <c r="I78" s="11">
        <f t="shared" si="3"/>
        <v>0.6972057111</v>
      </c>
      <c r="J78" s="11">
        <f t="shared" si="4"/>
        <v>0.2104255388</v>
      </c>
      <c r="N78" s="11" t="str">
        <f t="shared" si="5"/>
        <v/>
      </c>
      <c r="O78" s="11" t="str">
        <f t="shared" si="6"/>
        <v/>
      </c>
      <c r="P78" s="11" t="str">
        <f>IF(Method!$B$55=TRUE(),"🛑 PAUSED",IF(O78="","",IF(O78&lt;Method!$B$8,"PASS","BET")))</f>
        <v/>
      </c>
    </row>
    <row r="79" ht="15.75" customHeight="1">
      <c r="A79" s="12">
        <v>76.0</v>
      </c>
      <c r="B79" s="13">
        <v>46202.0</v>
      </c>
      <c r="C79" s="14" t="s">
        <v>54</v>
      </c>
      <c r="D79" s="14" t="s">
        <v>63</v>
      </c>
      <c r="E79" s="12">
        <v>1.5408908128738403</v>
      </c>
      <c r="F79" s="12">
        <v>1.0136008858680725</v>
      </c>
      <c r="G79" s="11">
        <f t="shared" si="1"/>
        <v>0.4714112573</v>
      </c>
      <c r="H79" s="11">
        <f t="shared" si="2"/>
        <v>0.5178693587</v>
      </c>
      <c r="I79" s="11">
        <f t="shared" si="3"/>
        <v>0.7415693673</v>
      </c>
      <c r="J79" s="11">
        <f t="shared" si="4"/>
        <v>0.2548491403</v>
      </c>
      <c r="N79" s="11" t="str">
        <f t="shared" si="5"/>
        <v/>
      </c>
      <c r="O79" s="11" t="str">
        <f t="shared" si="6"/>
        <v/>
      </c>
      <c r="P79" s="11" t="str">
        <f>IF(Method!$B$55=TRUE(),"🛑 PAUSED",IF(O79="","",IF(O79&lt;Method!$B$8,"PASS","BET")))</f>
        <v/>
      </c>
    </row>
    <row r="80" ht="15.75" customHeight="1">
      <c r="A80" s="12">
        <v>77.0</v>
      </c>
      <c r="B80" s="13">
        <v>46203.0</v>
      </c>
      <c r="C80" s="14" t="s">
        <v>76</v>
      </c>
      <c r="D80" s="14" t="s">
        <v>66</v>
      </c>
      <c r="E80" s="12">
        <v>2.9896652698516846</v>
      </c>
      <c r="F80" s="12">
        <v>0.5893204510211945</v>
      </c>
      <c r="G80" s="11">
        <f t="shared" si="1"/>
        <v>0.7083192262</v>
      </c>
      <c r="H80" s="11">
        <f t="shared" si="2"/>
        <v>0.4384506691</v>
      </c>
      <c r="I80" s="11">
        <f t="shared" si="3"/>
        <v>0.8973748429</v>
      </c>
      <c r="J80" s="11">
        <f t="shared" si="4"/>
        <v>0.4905642315</v>
      </c>
      <c r="N80" s="11" t="str">
        <f t="shared" si="5"/>
        <v/>
      </c>
      <c r="O80" s="11" t="str">
        <f t="shared" si="6"/>
        <v/>
      </c>
      <c r="P80" s="11" t="str">
        <f>IF(Method!$B$55=TRUE(),"🛑 PAUSED",IF(O80="","",IF(O80&lt;Method!$B$8,"PASS","BET")))</f>
        <v/>
      </c>
    </row>
    <row r="81" ht="15.75" customHeight="1">
      <c r="A81" s="12">
        <v>78.0</v>
      </c>
      <c r="B81" s="13">
        <v>46203.0</v>
      </c>
      <c r="C81" s="14" t="s">
        <v>64</v>
      </c>
      <c r="D81" s="14" t="s">
        <v>79</v>
      </c>
      <c r="E81" s="12">
        <v>0.7913245260715485</v>
      </c>
      <c r="F81" s="12">
        <v>1.7080472111701965</v>
      </c>
      <c r="G81" s="11">
        <f t="shared" si="1"/>
        <v>0.4601548582</v>
      </c>
      <c r="H81" s="11">
        <f t="shared" si="2"/>
        <v>0.4662896497</v>
      </c>
      <c r="I81" s="11">
        <f t="shared" si="3"/>
        <v>0.7335885857</v>
      </c>
      <c r="J81" s="11">
        <f t="shared" si="4"/>
        <v>0.244483418</v>
      </c>
      <c r="N81" s="11" t="str">
        <f t="shared" si="5"/>
        <v/>
      </c>
      <c r="O81" s="11" t="str">
        <f t="shared" si="6"/>
        <v/>
      </c>
      <c r="P81" s="11" t="str">
        <f>IF(Method!$B$55=TRUE(),"🛑 PAUSED",IF(O81="","",IF(O81&lt;Method!$B$8,"PASS","BET")))</f>
        <v/>
      </c>
    </row>
    <row r="82" ht="15.75" customHeight="1">
      <c r="A82" s="12">
        <v>79.0</v>
      </c>
      <c r="B82" s="13">
        <v>46203.0</v>
      </c>
      <c r="C82" s="14" t="s">
        <v>44</v>
      </c>
      <c r="D82" s="14" t="s">
        <v>65</v>
      </c>
      <c r="E82" s="12">
        <v>1.1754515171051025</v>
      </c>
      <c r="F82" s="12">
        <v>1.1727395057678223</v>
      </c>
      <c r="G82" s="11">
        <f t="shared" si="1"/>
        <v>0.4166988088</v>
      </c>
      <c r="H82" s="11">
        <f t="shared" si="2"/>
        <v>0.494466013</v>
      </c>
      <c r="I82" s="11">
        <f t="shared" si="3"/>
        <v>0.6972292919</v>
      </c>
      <c r="J82" s="11">
        <f t="shared" si="4"/>
        <v>0.2105206505</v>
      </c>
      <c r="N82" s="11" t="str">
        <f t="shared" si="5"/>
        <v/>
      </c>
      <c r="O82" s="11" t="str">
        <f t="shared" si="6"/>
        <v/>
      </c>
      <c r="P82" s="11" t="str">
        <f>IF(Method!$B$55=TRUE(),"🛑 PAUSED",IF(O82="","",IF(O82&lt;Method!$B$8,"PASS","BET")))</f>
        <v/>
      </c>
    </row>
    <row r="83" ht="15.75" customHeight="1">
      <c r="A83" s="12">
        <v>80.0</v>
      </c>
      <c r="B83" s="13">
        <v>46204.0</v>
      </c>
      <c r="C83" s="14" t="s">
        <v>86</v>
      </c>
      <c r="D83" s="14" t="s">
        <v>85</v>
      </c>
      <c r="E83" s="12">
        <v>2.0529123544692993</v>
      </c>
      <c r="F83" s="12">
        <v>0.6072108149528503</v>
      </c>
      <c r="G83" s="11">
        <f t="shared" si="1"/>
        <v>0.5061760691</v>
      </c>
      <c r="H83" s="11">
        <f t="shared" si="2"/>
        <v>0.4159487159</v>
      </c>
      <c r="I83" s="11">
        <f t="shared" si="3"/>
        <v>0.7699781996</v>
      </c>
      <c r="J83" s="11">
        <f t="shared" si="4"/>
        <v>0.2825051478</v>
      </c>
      <c r="N83" s="11" t="str">
        <f t="shared" si="5"/>
        <v/>
      </c>
      <c r="O83" s="11" t="str">
        <f t="shared" si="6"/>
        <v/>
      </c>
      <c r="P83" s="11" t="str">
        <f>IF(Method!$B$55=TRUE(),"🛑 PAUSED",IF(O83="","",IF(O83&lt;Method!$B$8,"PASS","BET")))</f>
        <v/>
      </c>
    </row>
    <row r="84" ht="15.75" customHeight="1">
      <c r="A84" s="12">
        <v>81.0</v>
      </c>
      <c r="B84" s="13">
        <v>46204.0</v>
      </c>
      <c r="C84" s="14" t="s">
        <v>50</v>
      </c>
      <c r="D84" s="14" t="s">
        <v>49</v>
      </c>
      <c r="E84" s="12">
        <v>1.7819725275039673</v>
      </c>
      <c r="F84" s="12">
        <v>0.9189130961894989</v>
      </c>
      <c r="G84" s="11">
        <f t="shared" si="1"/>
        <v>0.509907836</v>
      </c>
      <c r="H84" s="11">
        <f t="shared" si="2"/>
        <v>0.5175463476</v>
      </c>
      <c r="I84" s="11">
        <f t="shared" si="3"/>
        <v>0.7708055302</v>
      </c>
      <c r="J84" s="11">
        <f t="shared" si="4"/>
        <v>0.2879754937</v>
      </c>
      <c r="N84" s="11" t="str">
        <f t="shared" si="5"/>
        <v/>
      </c>
      <c r="O84" s="11" t="str">
        <f t="shared" si="6"/>
        <v/>
      </c>
      <c r="P84" s="11" t="str">
        <f>IF(Method!$B$55=TRUE(),"🛑 PAUSED",IF(O84="","",IF(O84&lt;Method!$B$8,"PASS","BET")))</f>
        <v/>
      </c>
    </row>
    <row r="85" ht="15.75" customHeight="1">
      <c r="A85" s="12">
        <v>82.0</v>
      </c>
      <c r="B85" s="13">
        <v>46204.0</v>
      </c>
      <c r="C85" s="14" t="s">
        <v>70</v>
      </c>
      <c r="D85" s="14" t="s">
        <v>77</v>
      </c>
      <c r="E85" s="12">
        <v>1.5417588949203491</v>
      </c>
      <c r="F85" s="12">
        <v>1.0441899299621582</v>
      </c>
      <c r="G85" s="11">
        <f t="shared" si="1"/>
        <v>0.4791989831</v>
      </c>
      <c r="H85" s="11">
        <f t="shared" si="2"/>
        <v>0.526383848</v>
      </c>
      <c r="I85" s="11">
        <f t="shared" si="3"/>
        <v>0.7474663574</v>
      </c>
      <c r="J85" s="11">
        <f t="shared" si="4"/>
        <v>0.2615787047</v>
      </c>
      <c r="N85" s="11" t="str">
        <f t="shared" si="5"/>
        <v/>
      </c>
      <c r="O85" s="11" t="str">
        <f t="shared" si="6"/>
        <v/>
      </c>
      <c r="P85" s="11" t="str">
        <f>IF(Method!$B$55=TRUE(),"🛑 PAUSED",IF(O85="","",IF(O85&lt;Method!$B$8,"PASS","BET")))</f>
        <v/>
      </c>
    </row>
    <row r="86" ht="15.75" customHeight="1">
      <c r="A86" s="12">
        <v>83.0</v>
      </c>
      <c r="B86" s="13">
        <v>46205.0</v>
      </c>
      <c r="C86" s="14" t="s">
        <v>84</v>
      </c>
      <c r="D86" s="14" t="s">
        <v>87</v>
      </c>
      <c r="E86" s="12">
        <v>1.582376778125763</v>
      </c>
      <c r="F86" s="12">
        <v>1.2241368889808655</v>
      </c>
      <c r="G86" s="11">
        <f t="shared" si="1"/>
        <v>0.5326344356</v>
      </c>
      <c r="H86" s="11">
        <f t="shared" si="2"/>
        <v>0.5767125961</v>
      </c>
      <c r="I86" s="11">
        <f t="shared" si="3"/>
        <v>0.7860343182</v>
      </c>
      <c r="J86" s="11">
        <f t="shared" si="4"/>
        <v>0.3098243724</v>
      </c>
      <c r="N86" s="11" t="str">
        <f t="shared" si="5"/>
        <v/>
      </c>
      <c r="O86" s="11" t="str">
        <f t="shared" si="6"/>
        <v/>
      </c>
      <c r="P86" s="11" t="str">
        <f>IF(Method!$B$55=TRUE(),"🛑 PAUSED",IF(O86="","",IF(O86&lt;Method!$B$8,"PASS","BET")))</f>
        <v/>
      </c>
    </row>
    <row r="87" ht="15.75" customHeight="1">
      <c r="A87" s="12">
        <v>84.0</v>
      </c>
      <c r="B87" s="13">
        <v>46205.0</v>
      </c>
      <c r="C87" s="14" t="s">
        <v>68</v>
      </c>
      <c r="D87" s="14" t="s">
        <v>82</v>
      </c>
      <c r="E87" s="12">
        <v>3.001920700073242</v>
      </c>
      <c r="F87" s="12">
        <v>0.43016885221004486</v>
      </c>
      <c r="G87" s="11">
        <f t="shared" si="1"/>
        <v>0.6854569382</v>
      </c>
      <c r="H87" s="11">
        <f t="shared" si="2"/>
        <v>0.3473051542</v>
      </c>
      <c r="I87" s="11">
        <f t="shared" si="3"/>
        <v>0.8868268626</v>
      </c>
      <c r="J87" s="11">
        <f t="shared" si="4"/>
        <v>0.4614681411</v>
      </c>
      <c r="N87" s="11" t="str">
        <f t="shared" si="5"/>
        <v/>
      </c>
      <c r="O87" s="11" t="str">
        <f t="shared" si="6"/>
        <v/>
      </c>
      <c r="P87" s="11" t="str">
        <f>IF(Method!$B$55=TRUE(),"🛑 PAUSED",IF(O87="","",IF(O87&lt;Method!$B$8,"PASS","BET")))</f>
        <v/>
      </c>
    </row>
    <row r="88" ht="15.75" customHeight="1">
      <c r="A88" s="12">
        <v>85.0</v>
      </c>
      <c r="B88" s="13">
        <v>46205.0</v>
      </c>
      <c r="C88" s="14" t="s">
        <v>53</v>
      </c>
      <c r="D88" s="14" t="s">
        <v>81</v>
      </c>
      <c r="E88" s="12">
        <v>1.7125674486160278</v>
      </c>
      <c r="F88" s="12">
        <v>0.8670937716960907</v>
      </c>
      <c r="G88" s="11">
        <f t="shared" si="1"/>
        <v>0.479832459</v>
      </c>
      <c r="H88" s="11">
        <f t="shared" si="2"/>
        <v>0.4933344457</v>
      </c>
      <c r="I88" s="11">
        <f t="shared" si="3"/>
        <v>0.7485683412</v>
      </c>
      <c r="J88" s="11">
        <f t="shared" si="4"/>
        <v>0.2614216753</v>
      </c>
      <c r="N88" s="11" t="str">
        <f t="shared" si="5"/>
        <v/>
      </c>
      <c r="O88" s="11" t="str">
        <f t="shared" si="6"/>
        <v/>
      </c>
      <c r="P88" s="11" t="str">
        <f>IF(Method!$B$55=TRUE(),"🛑 PAUSED",IF(O88="","",IF(O88&lt;Method!$B$8,"PASS","BET")))</f>
        <v/>
      </c>
    </row>
    <row r="89" ht="15.75" customHeight="1">
      <c r="A89" s="12">
        <v>86.0</v>
      </c>
      <c r="B89" s="13">
        <v>46206.0</v>
      </c>
      <c r="C89" s="14" t="s">
        <v>80</v>
      </c>
      <c r="D89" s="14" t="s">
        <v>69</v>
      </c>
      <c r="E89" s="12">
        <v>2.7485992908477783</v>
      </c>
      <c r="F89" s="12">
        <v>0.38320809602737427</v>
      </c>
      <c r="G89" s="11">
        <f t="shared" si="1"/>
        <v>0.6255382666</v>
      </c>
      <c r="H89" s="11">
        <f t="shared" si="2"/>
        <v>0.3138888899</v>
      </c>
      <c r="I89" s="11">
        <f t="shared" si="3"/>
        <v>0.8527347801</v>
      </c>
      <c r="J89" s="11">
        <f t="shared" si="4"/>
        <v>0.3948020554</v>
      </c>
      <c r="N89" s="11" t="str">
        <f t="shared" si="5"/>
        <v/>
      </c>
      <c r="O89" s="11" t="str">
        <f t="shared" si="6"/>
        <v/>
      </c>
      <c r="P89" s="11" t="str">
        <f>IF(Method!$B$55=TRUE(),"🛑 PAUSED",IF(O89="","",IF(O89&lt;Method!$B$8,"PASS","BET")))</f>
        <v/>
      </c>
    </row>
    <row r="90" ht="15.75" customHeight="1">
      <c r="A90" s="12">
        <v>87.0</v>
      </c>
      <c r="B90" s="13">
        <v>46206.0</v>
      </c>
      <c r="C90" s="14" t="s">
        <v>91</v>
      </c>
      <c r="D90" s="14" t="s">
        <v>88</v>
      </c>
      <c r="E90" s="12">
        <v>2.451989531517029</v>
      </c>
      <c r="F90" s="12">
        <v>0.5630322396755219</v>
      </c>
      <c r="G90" s="11">
        <f t="shared" si="1"/>
        <v>0.5936730075</v>
      </c>
      <c r="H90" s="11">
        <f t="shared" si="2"/>
        <v>0.4116092699</v>
      </c>
      <c r="I90" s="11">
        <f t="shared" si="3"/>
        <v>0.8307866705</v>
      </c>
      <c r="J90" s="11">
        <f t="shared" si="4"/>
        <v>0.3644241984</v>
      </c>
      <c r="N90" s="11" t="str">
        <f t="shared" si="5"/>
        <v/>
      </c>
      <c r="O90" s="11" t="str">
        <f t="shared" si="6"/>
        <v/>
      </c>
      <c r="P90" s="11" t="str">
        <f>IF(Method!$B$55=TRUE(),"🛑 PAUSED",IF(O90="","",IF(O90&lt;Method!$B$8,"PASS","BET")))</f>
        <v/>
      </c>
    </row>
    <row r="91" ht="15.75" customHeight="1">
      <c r="A91" s="12">
        <v>88.0</v>
      </c>
      <c r="B91" s="13">
        <v>46206.0</v>
      </c>
      <c r="C91" s="14" t="s">
        <v>58</v>
      </c>
      <c r="D91" s="14" t="s">
        <v>71</v>
      </c>
      <c r="E91" s="12">
        <v>1.2918856143951416</v>
      </c>
      <c r="F91" s="12">
        <v>0.9533235430717468</v>
      </c>
      <c r="G91" s="11">
        <f t="shared" si="1"/>
        <v>0.3899976976</v>
      </c>
      <c r="H91" s="11">
        <f t="shared" si="2"/>
        <v>0.4633827259</v>
      </c>
      <c r="I91" s="11">
        <f t="shared" si="3"/>
        <v>0.6743351374</v>
      </c>
      <c r="J91" s="11">
        <f t="shared" si="4"/>
        <v>0.1899087391</v>
      </c>
      <c r="N91" s="11" t="str">
        <f t="shared" si="5"/>
        <v/>
      </c>
      <c r="O91" s="11" t="str">
        <f t="shared" si="6"/>
        <v/>
      </c>
      <c r="P91" s="11" t="str">
        <f>IF(Method!$B$55=TRUE(),"🛑 PAUSED",IF(O91="","",IF(O91&lt;Method!$B$8,"PASS","BET")))</f>
        <v/>
      </c>
    </row>
    <row r="92" ht="15.75" customHeight="1">
      <c r="A92" s="12">
        <v>89.0</v>
      </c>
      <c r="B92" s="13">
        <v>46207.0</v>
      </c>
      <c r="C92" s="14" t="s">
        <v>51</v>
      </c>
      <c r="D92" s="14" t="s">
        <v>76</v>
      </c>
      <c r="E92" s="12">
        <v>0.7070662379264832</v>
      </c>
      <c r="F92" s="12">
        <v>2.1048682928085327</v>
      </c>
      <c r="G92" s="11">
        <f t="shared" si="1"/>
        <v>0.5416533638</v>
      </c>
      <c r="H92" s="11">
        <f t="shared" si="2"/>
        <v>0.4638434065</v>
      </c>
      <c r="I92" s="11">
        <f t="shared" si="3"/>
        <v>0.7947009562</v>
      </c>
      <c r="J92" s="11">
        <f t="shared" si="4"/>
        <v>0.3155347787</v>
      </c>
      <c r="N92" s="11" t="str">
        <f t="shared" si="5"/>
        <v/>
      </c>
      <c r="O92" s="11" t="str">
        <f t="shared" si="6"/>
        <v/>
      </c>
      <c r="P92" s="11" t="str">
        <f>IF(Method!$B$55=TRUE(),"🛑 PAUSED",IF(O92="","",IF(O92&lt;Method!$B$8,"PASS","BET")))</f>
        <v/>
      </c>
    </row>
    <row r="93" ht="15.75" customHeight="1">
      <c r="A93" s="12">
        <v>90.0</v>
      </c>
      <c r="B93" s="13">
        <v>46207.0</v>
      </c>
      <c r="C93" s="14" t="s">
        <v>48</v>
      </c>
      <c r="D93" s="14" t="s">
        <v>55</v>
      </c>
      <c r="E93" s="12">
        <v>0.8737748265266418</v>
      </c>
      <c r="F93" s="12">
        <v>1.3297128081321716</v>
      </c>
      <c r="G93" s="11">
        <f t="shared" si="1"/>
        <v>0.3793532614</v>
      </c>
      <c r="H93" s="11">
        <f t="shared" si="2"/>
        <v>0.4465012204</v>
      </c>
      <c r="I93" s="11">
        <f t="shared" si="3"/>
        <v>0.6649411888</v>
      </c>
      <c r="J93" s="11">
        <f t="shared" si="4"/>
        <v>0.1818765279</v>
      </c>
      <c r="N93" s="11" t="str">
        <f t="shared" si="5"/>
        <v/>
      </c>
      <c r="O93" s="11" t="str">
        <f t="shared" si="6"/>
        <v/>
      </c>
      <c r="P93" s="11" t="str">
        <f>IF(Method!$B$55=TRUE(),"🛑 PAUSED",IF(O93="","",IF(O93&lt;Method!$B$8,"PASS","BET")))</f>
        <v/>
      </c>
    </row>
    <row r="94" ht="15.75" customHeight="1">
      <c r="A94" s="12">
        <v>91.0</v>
      </c>
      <c r="B94" s="13">
        <v>46208.0</v>
      </c>
      <c r="C94" s="14" t="s">
        <v>54</v>
      </c>
      <c r="D94" s="14" t="s">
        <v>79</v>
      </c>
      <c r="E94" s="12">
        <v>1.4790012836456299</v>
      </c>
      <c r="F94" s="12">
        <v>1.253850519657135</v>
      </c>
      <c r="G94" s="11">
        <f t="shared" si="1"/>
        <v>0.5146090042</v>
      </c>
      <c r="H94" s="11">
        <f t="shared" si="2"/>
        <v>0.5676861497</v>
      </c>
      <c r="I94" s="11">
        <f t="shared" si="3"/>
        <v>0.7732489108</v>
      </c>
      <c r="J94" s="11">
        <f t="shared" si="4"/>
        <v>0.2932889825</v>
      </c>
      <c r="N94" s="11" t="str">
        <f t="shared" si="5"/>
        <v/>
      </c>
      <c r="O94" s="11" t="str">
        <f t="shared" si="6"/>
        <v/>
      </c>
      <c r="P94" s="11" t="str">
        <f>IF(Method!$B$55=TRUE(),"🛑 PAUSED",IF(O94="","",IF(O94&lt;Method!$B$8,"PASS","BET")))</f>
        <v/>
      </c>
    </row>
    <row r="95" ht="15.75" customHeight="1">
      <c r="A95" s="12">
        <v>92.0</v>
      </c>
      <c r="B95" s="13">
        <v>46208.0</v>
      </c>
      <c r="C95" s="14" t="s">
        <v>44</v>
      </c>
      <c r="D95" s="14" t="s">
        <v>86</v>
      </c>
      <c r="E95" s="12">
        <v>0.9908549785614014</v>
      </c>
      <c r="F95" s="12">
        <v>1.4123790860176086</v>
      </c>
      <c r="G95" s="11">
        <f t="shared" si="1"/>
        <v>0.4320383821</v>
      </c>
      <c r="H95" s="11">
        <f t="shared" si="2"/>
        <v>0.4930837159</v>
      </c>
      <c r="I95" s="11">
        <f t="shared" si="3"/>
        <v>0.7101968592</v>
      </c>
      <c r="J95" s="11">
        <f t="shared" si="4"/>
        <v>0.2224178921</v>
      </c>
      <c r="N95" s="11" t="str">
        <f t="shared" si="5"/>
        <v/>
      </c>
      <c r="O95" s="11" t="str">
        <f t="shared" si="6"/>
        <v/>
      </c>
      <c r="P95" s="11" t="str">
        <f>IF(Method!$B$55=TRUE(),"🛑 PAUSED",IF(O95="","",IF(O95&lt;Method!$B$8,"PASS","BET")))</f>
        <v/>
      </c>
    </row>
    <row r="96" ht="15.75" customHeight="1">
      <c r="A96" s="12">
        <v>93.0</v>
      </c>
      <c r="B96" s="13">
        <v>46209.0</v>
      </c>
      <c r="C96" s="14" t="s">
        <v>84</v>
      </c>
      <c r="D96" s="14" t="s">
        <v>68</v>
      </c>
      <c r="E96" s="12">
        <v>0.8574884831905365</v>
      </c>
      <c r="F96" s="12">
        <v>1.949466586112976</v>
      </c>
      <c r="G96" s="11">
        <f t="shared" si="1"/>
        <v>0.5372316549</v>
      </c>
      <c r="H96" s="11">
        <f t="shared" si="2"/>
        <v>0.5117260006</v>
      </c>
      <c r="I96" s="11">
        <f t="shared" si="3"/>
        <v>0.7906277551</v>
      </c>
      <c r="J96" s="11">
        <f t="shared" si="4"/>
        <v>0.3125360124</v>
      </c>
      <c r="N96" s="11" t="str">
        <f t="shared" si="5"/>
        <v/>
      </c>
      <c r="O96" s="11" t="str">
        <f t="shared" si="6"/>
        <v/>
      </c>
      <c r="P96" s="11" t="str">
        <f>IF(Method!$B$55=TRUE(),"🛑 PAUSED",IF(O96="","",IF(O96&lt;Method!$B$8,"PASS","BET")))</f>
        <v/>
      </c>
    </row>
    <row r="97" ht="15.75" customHeight="1">
      <c r="A97" s="12">
        <v>94.0</v>
      </c>
      <c r="B97" s="13">
        <v>46209.0</v>
      </c>
      <c r="C97" s="14" t="s">
        <v>50</v>
      </c>
      <c r="D97" s="14" t="s">
        <v>70</v>
      </c>
      <c r="E97" s="12">
        <v>1.0050877034664154</v>
      </c>
      <c r="F97" s="12">
        <v>1.899927794933319</v>
      </c>
      <c r="G97" s="11">
        <f t="shared" si="1"/>
        <v>0.5583785707</v>
      </c>
      <c r="H97" s="11">
        <f t="shared" si="2"/>
        <v>0.5559152001</v>
      </c>
      <c r="I97" s="11">
        <f t="shared" si="3"/>
        <v>0.8043836805</v>
      </c>
      <c r="J97" s="11">
        <f t="shared" si="4"/>
        <v>0.3333984978</v>
      </c>
      <c r="N97" s="11" t="str">
        <f t="shared" si="5"/>
        <v/>
      </c>
      <c r="O97" s="11" t="str">
        <f t="shared" si="6"/>
        <v/>
      </c>
      <c r="P97" s="11" t="str">
        <f>IF(Method!$B$55=TRUE(),"🛑 PAUSED",IF(O97="","",IF(O97&lt;Method!$B$8,"PASS","BET")))</f>
        <v/>
      </c>
    </row>
    <row r="98" ht="15.75" customHeight="1">
      <c r="A98" s="12">
        <v>95.0</v>
      </c>
      <c r="B98" s="13">
        <v>46210.0</v>
      </c>
      <c r="C98" s="14" t="s">
        <v>80</v>
      </c>
      <c r="D98" s="14" t="s">
        <v>71</v>
      </c>
      <c r="E98" s="15">
        <v>2.5901039838790894</v>
      </c>
      <c r="F98" s="15">
        <v>0.4320596903562546</v>
      </c>
      <c r="G98" s="16">
        <f t="shared" si="1"/>
        <v>0.5994294157</v>
      </c>
      <c r="H98" s="16">
        <f t="shared" si="2"/>
        <v>0.3416702274</v>
      </c>
      <c r="I98" s="16">
        <f t="shared" si="3"/>
        <v>0.8358648848</v>
      </c>
      <c r="J98" s="16">
        <f t="shared" si="4"/>
        <v>0.3686005903</v>
      </c>
      <c r="N98" s="16" t="str">
        <f t="shared" si="5"/>
        <v/>
      </c>
      <c r="O98" s="16" t="str">
        <f t="shared" si="6"/>
        <v/>
      </c>
      <c r="P98" s="16" t="str">
        <f>IF(Method!$B$55=TRUE(),"🛑 PAUSED",IF(O98="","",IF(O98&lt;Method!$B$8,"PASS","BET")))</f>
        <v/>
      </c>
    </row>
    <row r="99" ht="15.75" customHeight="1">
      <c r="A99" s="12">
        <v>96.0</v>
      </c>
      <c r="B99" s="13">
        <v>46210.0</v>
      </c>
      <c r="C99" s="14" t="s">
        <v>53</v>
      </c>
      <c r="D99" s="14" t="s">
        <v>91</v>
      </c>
      <c r="E99" s="15">
        <v>1.0809309482574463</v>
      </c>
      <c r="F99" s="15">
        <v>1.51509690284729</v>
      </c>
      <c r="G99" s="16">
        <f t="shared" si="1"/>
        <v>0.481452548</v>
      </c>
      <c r="H99" s="16">
        <f t="shared" si="2"/>
        <v>0.5323515558</v>
      </c>
      <c r="I99" s="16">
        <f t="shared" si="3"/>
        <v>0.7490919453</v>
      </c>
      <c r="J99" s="16">
        <f t="shared" si="4"/>
        <v>0.2636161026</v>
      </c>
      <c r="N99" s="16" t="str">
        <f t="shared" si="5"/>
        <v/>
      </c>
      <c r="O99" s="16" t="str">
        <f t="shared" si="6"/>
        <v/>
      </c>
      <c r="P99" s="16" t="str">
        <f>IF(Method!$B$55=TRUE(),"🛑 PAUSED",IF(O99="","",IF(O99&lt;Method!$B$8,"PASS","BET")))</f>
        <v/>
      </c>
    </row>
    <row r="100" ht="15.75" customHeight="1">
      <c r="A100" s="12">
        <v>97.0</v>
      </c>
      <c r="B100" s="13">
        <v>46212.0</v>
      </c>
      <c r="C100" s="14" t="s">
        <v>76</v>
      </c>
      <c r="D100" s="14" t="s">
        <v>55</v>
      </c>
      <c r="E100" s="15">
        <v>1.6211844086647034</v>
      </c>
      <c r="F100" s="15">
        <v>1.309222936630249</v>
      </c>
      <c r="G100" s="16">
        <f t="shared" si="1"/>
        <v>0.5614179987</v>
      </c>
      <c r="H100" s="16">
        <f t="shared" si="2"/>
        <v>0.6008142814</v>
      </c>
      <c r="I100" s="16">
        <f t="shared" si="3"/>
        <v>0.8054848124</v>
      </c>
      <c r="J100" s="16">
        <f t="shared" si="4"/>
        <v>0.3374085366</v>
      </c>
      <c r="N100" s="16" t="str">
        <f t="shared" si="5"/>
        <v/>
      </c>
      <c r="O100" s="16" t="str">
        <f t="shared" si="6"/>
        <v/>
      </c>
      <c r="P100" s="16" t="str">
        <f>IF(Method!$B$55=TRUE(),"🛑 PAUSED",IF(O100="","",IF(O100&lt;Method!$B$8,"PASS","BET")))</f>
        <v/>
      </c>
    </row>
    <row r="101" ht="15.75" customHeight="1">
      <c r="A101" s="12">
        <v>98.0</v>
      </c>
      <c r="B101" s="13">
        <v>46213.0</v>
      </c>
      <c r="C101" s="14" t="s">
        <v>68</v>
      </c>
      <c r="D101" s="14" t="s">
        <v>70</v>
      </c>
      <c r="E101" s="15">
        <v>2.1433644890785217</v>
      </c>
      <c r="F101" s="15">
        <v>0.5540350079536438</v>
      </c>
      <c r="G101" s="16">
        <f t="shared" si="1"/>
        <v>0.5171814902</v>
      </c>
      <c r="H101" s="16">
        <f t="shared" si="2"/>
        <v>0.3946277885</v>
      </c>
      <c r="I101" s="16">
        <f t="shared" si="3"/>
        <v>0.7784942665</v>
      </c>
      <c r="J101" s="16">
        <f t="shared" si="4"/>
        <v>0.2917907813</v>
      </c>
      <c r="N101" s="16" t="str">
        <f t="shared" si="5"/>
        <v/>
      </c>
      <c r="O101" s="16" t="str">
        <f t="shared" si="6"/>
        <v/>
      </c>
      <c r="P101" s="16" t="str">
        <f>IF(Method!$B$55=TRUE(),"🛑 PAUSED",IF(O101="","",IF(O101&lt;Method!$B$8,"PASS","BET")))</f>
        <v/>
      </c>
    </row>
    <row r="102" ht="15.75" customHeight="1">
      <c r="A102" s="12">
        <v>99.0</v>
      </c>
      <c r="B102" s="13">
        <v>46214.0</v>
      </c>
      <c r="C102" s="14" t="s">
        <v>79</v>
      </c>
      <c r="D102" s="14" t="s">
        <v>86</v>
      </c>
      <c r="E102" s="15">
        <v>1.0545527338981628</v>
      </c>
      <c r="F102" s="15">
        <v>1.432032823562622</v>
      </c>
      <c r="G102" s="16">
        <f t="shared" si="1"/>
        <v>0.453440064</v>
      </c>
      <c r="H102" s="16">
        <f t="shared" si="2"/>
        <v>0.5131457517</v>
      </c>
      <c r="I102" s="16">
        <f t="shared" si="3"/>
        <v>0.7273921169</v>
      </c>
      <c r="J102" s="16">
        <f t="shared" si="4"/>
        <v>0.2399299874</v>
      </c>
      <c r="N102" s="16" t="str">
        <f t="shared" si="5"/>
        <v/>
      </c>
      <c r="O102" s="16" t="str">
        <f t="shared" si="6"/>
        <v/>
      </c>
      <c r="P102" s="16" t="str">
        <f>IF(Method!$B$55=TRUE(),"🛑 PAUSED",IF(O102="","",IF(O102&lt;Method!$B$8,"PASS","BET")))</f>
        <v/>
      </c>
    </row>
    <row r="103" ht="15.75" customHeight="1">
      <c r="A103" s="12">
        <v>100.0</v>
      </c>
      <c r="B103" s="13">
        <v>46214.0</v>
      </c>
      <c r="C103" s="14" t="s">
        <v>80</v>
      </c>
      <c r="D103" s="14" t="s">
        <v>53</v>
      </c>
      <c r="E103" s="15">
        <v>2.0778608918190002</v>
      </c>
      <c r="F103" s="15">
        <v>0.5343499332666397</v>
      </c>
      <c r="G103" s="16">
        <f t="shared" si="1"/>
        <v>0.4959006354</v>
      </c>
      <c r="H103" s="16">
        <f t="shared" si="2"/>
        <v>0.3813814824</v>
      </c>
      <c r="I103" s="16">
        <f t="shared" si="3"/>
        <v>0.7628911374</v>
      </c>
      <c r="J103" s="16">
        <f t="shared" si="4"/>
        <v>0.2728581173</v>
      </c>
      <c r="N103" s="16" t="str">
        <f t="shared" si="5"/>
        <v/>
      </c>
      <c r="O103" s="16" t="str">
        <f t="shared" si="6"/>
        <v/>
      </c>
      <c r="P103" s="16" t="str">
        <f>IF(Method!$B$55=TRUE(),"🛑 PAUSED",IF(O103="","",IF(O103&lt;Method!$B$8,"PASS","BET")))</f>
        <v/>
      </c>
    </row>
    <row r="104" ht="15.75" customHeight="1">
      <c r="A104" s="12">
        <v>101.0</v>
      </c>
      <c r="B104" s="13">
        <v>46217.0</v>
      </c>
      <c r="C104" s="14" t="s">
        <v>92</v>
      </c>
      <c r="D104" s="14" t="s">
        <v>93</v>
      </c>
    </row>
    <row r="105" ht="15.75" customHeight="1">
      <c r="A105" s="12">
        <v>102.0</v>
      </c>
      <c r="B105" s="13">
        <v>46218.0</v>
      </c>
      <c r="C105" s="14" t="s">
        <v>94</v>
      </c>
      <c r="D105" s="14" t="s">
        <v>95</v>
      </c>
    </row>
    <row r="106" ht="15.75" customHeight="1">
      <c r="A106" s="12">
        <v>103.0</v>
      </c>
      <c r="B106" s="13">
        <v>46221.0</v>
      </c>
      <c r="C106" s="14" t="s">
        <v>96</v>
      </c>
      <c r="D106" s="14" t="s">
        <v>97</v>
      </c>
    </row>
    <row r="107" ht="15.75" customHeight="1">
      <c r="A107" s="12">
        <v>104.0</v>
      </c>
      <c r="B107" s="13">
        <v>46222.0</v>
      </c>
      <c r="C107" s="14" t="s">
        <v>98</v>
      </c>
      <c r="D107" s="14" t="s">
        <v>99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6" width="14.43"/>
  </cols>
  <sheetData>
    <row r="1">
      <c r="A1" s="11" t="s">
        <v>100</v>
      </c>
      <c r="B1" s="11" t="s">
        <v>101</v>
      </c>
    </row>
    <row r="2">
      <c r="A2" s="11" t="s">
        <v>102</v>
      </c>
    </row>
    <row r="3">
      <c r="A3" s="11" t="s">
        <v>103</v>
      </c>
      <c r="B3" s="11" t="s">
        <v>28</v>
      </c>
      <c r="C3" s="11" t="s">
        <v>104</v>
      </c>
      <c r="D3" s="11" t="s">
        <v>105</v>
      </c>
      <c r="E3" s="11" t="s">
        <v>106</v>
      </c>
      <c r="F3" s="11" t="s">
        <v>107</v>
      </c>
      <c r="G3" s="11" t="s">
        <v>108</v>
      </c>
      <c r="H3" s="11" t="s">
        <v>109</v>
      </c>
      <c r="I3" s="11" t="s">
        <v>110</v>
      </c>
    </row>
    <row r="4">
      <c r="A4" s="12">
        <v>1.0</v>
      </c>
      <c r="B4" s="12">
        <v>2.0</v>
      </c>
      <c r="C4" s="14" t="s">
        <v>111</v>
      </c>
      <c r="D4" s="12">
        <v>3.0</v>
      </c>
      <c r="E4" s="12">
        <v>2.6</v>
      </c>
      <c r="G4" s="11" t="str">
        <f t="shared" ref="G4:G11" si="1">IF(OR(E4="",F4="",NOT(ISNUMBER(E4)),NOT(ISNUMBER(F4)),E4&lt;=0,F4&lt;=0),"",(E4-F4)/F4)</f>
        <v/>
      </c>
      <c r="H4" s="11" t="str">
        <f>IFERROR(IF(COUNT(G4)&lt;20,"n="&amp;COUNT(G4)&amp;": "&amp;AVERAGE(G4),AVERAGE(G4)),"")</f>
        <v/>
      </c>
      <c r="I4" s="11" t="str">
        <f>IFERROR(__xludf.DUMMYFUNCTION("IF(H4="""","""",IF(ISNUMBER(H4),IF(H4&gt;0,""BEATING CLOSE"",""BELOW CLOSE""),IF(IFERROR(VALUE(REGEXEXTRACT(H4,"": (.*)$"")),0)&gt;0,""BEATING CLOSE (n&lt;20)"",""BELOW CLOSE (n&lt;20)"")))"),"")</f>
        <v/>
      </c>
    </row>
    <row r="5">
      <c r="A5" s="12">
        <v>2.0</v>
      </c>
      <c r="B5" s="12">
        <v>3.0</v>
      </c>
      <c r="C5" s="14" t="s">
        <v>111</v>
      </c>
      <c r="D5" s="12">
        <v>12.0</v>
      </c>
      <c r="E5" s="12">
        <v>1.85</v>
      </c>
      <c r="G5" s="11" t="str">
        <f t="shared" si="1"/>
        <v/>
      </c>
      <c r="H5" s="11" t="str">
        <f>IFERROR(IF(COUNT(G4:G5)&lt;20,"n="&amp;COUNT(G4:G5)&amp;": "&amp;AVERAGE(G4:G5),AVERAGE(G4:G5)),"")</f>
        <v/>
      </c>
      <c r="I5" s="11" t="str">
        <f>IFERROR(__xludf.DUMMYFUNCTION("IF(H5="""","""",IF(ISNUMBER(H5),IF(H5&gt;0,""BEATING CLOSE"",""BELOW CLOSE""),IF(IFERROR(VALUE(REGEXEXTRACT(H5,"": (.*)$"")),0)&gt;0,""BEATING CLOSE (n&lt;20)"",""BELOW CLOSE (n&lt;20)"")))"),"")</f>
        <v/>
      </c>
    </row>
    <row r="6">
      <c r="A6" s="12">
        <v>3.0</v>
      </c>
      <c r="B6" s="12">
        <v>6.0</v>
      </c>
      <c r="C6" s="14" t="s">
        <v>112</v>
      </c>
      <c r="D6" s="12">
        <v>5.0</v>
      </c>
      <c r="E6" s="12">
        <v>1.68</v>
      </c>
      <c r="G6" s="11" t="str">
        <f t="shared" si="1"/>
        <v/>
      </c>
      <c r="H6" s="11" t="str">
        <f>IFERROR(IF(COUNT(G4:G6)&lt;20,"n="&amp;COUNT(G4:G6)&amp;": "&amp;AVERAGE(G4:G6),AVERAGE(G4:G6)),"")</f>
        <v/>
      </c>
      <c r="I6" s="11" t="str">
        <f>IFERROR(__xludf.DUMMYFUNCTION("IF(H6="""","""",IF(ISNUMBER(H6),IF(H6&gt;0,""BEATING CLOSE"",""BELOW CLOSE""),IF(IFERROR(VALUE(REGEXEXTRACT(H6,"": (.*)$"")),0)&gt;0,""BEATING CLOSE (n&lt;20)"",""BELOW CLOSE (n&lt;20)"")))"),"")</f>
        <v/>
      </c>
    </row>
    <row r="7">
      <c r="A7" s="12">
        <v>4.0</v>
      </c>
      <c r="B7" s="12">
        <v>8.0</v>
      </c>
      <c r="C7" s="14" t="s">
        <v>111</v>
      </c>
      <c r="D7" s="12">
        <v>0.0</v>
      </c>
      <c r="E7" s="12">
        <v>5.25</v>
      </c>
      <c r="G7" s="11" t="str">
        <f t="shared" si="1"/>
        <v/>
      </c>
      <c r="H7" s="11" t="str">
        <f>IFERROR(IF(COUNT(G4:G7)&lt;20,"n="&amp;COUNT(G4:G7)&amp;": "&amp;AVERAGE(G4:G7),AVERAGE(G4:G7)),"")</f>
        <v/>
      </c>
      <c r="I7" s="11" t="str">
        <f>IFERROR(__xludf.DUMMYFUNCTION("IF(H7="""","""",IF(ISNUMBER(H7),IF(H7&gt;0,""BEATING CLOSE"",""BELOW CLOSE""),IF(IFERROR(VALUE(REGEXEXTRACT(H7,"": (.*)$"")),0)&gt;0,""BEATING CLOSE (n&lt;20)"",""BELOW CLOSE (n&lt;20)"")))"),"")</f>
        <v/>
      </c>
    </row>
    <row r="8">
      <c r="A8" s="12">
        <v>5.0</v>
      </c>
      <c r="B8" s="12">
        <v>9.0</v>
      </c>
      <c r="C8" s="14" t="s">
        <v>113</v>
      </c>
      <c r="D8" s="12">
        <v>6.0</v>
      </c>
      <c r="E8" s="12">
        <v>19.0</v>
      </c>
      <c r="G8" s="11" t="str">
        <f t="shared" si="1"/>
        <v/>
      </c>
      <c r="H8" s="11" t="str">
        <f>IFERROR(IF(COUNT(G4:G8)&lt;20,"n="&amp;COUNT(G4:G8)&amp;": "&amp;AVERAGE(G4:G8),AVERAGE(G4:G8)),"")</f>
        <v/>
      </c>
      <c r="I8" s="11" t="str">
        <f>IFERROR(__xludf.DUMMYFUNCTION("IF(H8="""","""",IF(ISNUMBER(H8),IF(H8&gt;0,""BEATING CLOSE"",""BELOW CLOSE""),IF(IFERROR(VALUE(REGEXEXTRACT(H8,"": (.*)$"")),0)&gt;0,""BEATING CLOSE (n&lt;20)"",""BELOW CLOSE (n&lt;20)"")))"),"")</f>
        <v/>
      </c>
    </row>
    <row r="9">
      <c r="A9" s="12">
        <v>6.0</v>
      </c>
      <c r="B9" s="12">
        <v>51.0</v>
      </c>
      <c r="C9" s="14" t="s">
        <v>111</v>
      </c>
      <c r="D9" s="12">
        <v>12.0</v>
      </c>
      <c r="E9" s="12">
        <v>7.5</v>
      </c>
      <c r="G9" s="11" t="str">
        <f t="shared" si="1"/>
        <v/>
      </c>
      <c r="H9" s="11" t="str">
        <f>IFERROR(IF(COUNT(G4:G9)&lt;20,"n="&amp;COUNT(G4:G9)&amp;": "&amp;AVERAGE(G4:G9),AVERAGE(G4:G9)),"")</f>
        <v/>
      </c>
      <c r="I9" s="11" t="str">
        <f>IFERROR(__xludf.DUMMYFUNCTION("IF(H9="""","""",IF(ISNUMBER(H9),IF(H9&gt;0,""BEATING CLOSE"",""BELOW CLOSE""),IF(IFERROR(VALUE(REGEXEXTRACT(H9,"": (.*)$"")),0)&gt;0,""BEATING CLOSE (n&lt;20)"",""BELOW CLOSE (n&lt;20)"")))"),"")</f>
        <v/>
      </c>
    </row>
    <row r="10">
      <c r="A10" s="12">
        <v>7.0</v>
      </c>
      <c r="B10" s="12">
        <v>69.0</v>
      </c>
      <c r="C10" s="14" t="s">
        <v>111</v>
      </c>
      <c r="D10" s="12">
        <v>19.0</v>
      </c>
      <c r="E10" s="12">
        <v>4.2</v>
      </c>
      <c r="G10" s="11" t="str">
        <f t="shared" si="1"/>
        <v/>
      </c>
      <c r="H10" s="11" t="str">
        <f>IFERROR(IF(COUNT(G4:G10)&lt;20,"n="&amp;COUNT(G4:G10)&amp;": "&amp;AVERAGE(G4:G10),AVERAGE(G4:G10)),"")</f>
        <v/>
      </c>
      <c r="I10" s="11" t="str">
        <f>IFERROR(__xludf.DUMMYFUNCTION("IF(H10="""","""",IF(ISNUMBER(H10),IF(H10&gt;0,""BEATING CLOSE"",""BELOW CLOSE""),IF(IFERROR(VALUE(REGEXEXTRACT(H10,"": (.*)$"")),0)&gt;0,""BEATING CLOSE (n&lt;20)"",""BELOW CLOSE (n&lt;20)"")))"),"")</f>
        <v/>
      </c>
    </row>
    <row r="11">
      <c r="A11" s="12">
        <v>8.0</v>
      </c>
      <c r="B11" s="12">
        <v>70.0</v>
      </c>
      <c r="C11" s="14" t="s">
        <v>112</v>
      </c>
      <c r="D11" s="12">
        <v>16.0</v>
      </c>
      <c r="E11" s="12">
        <v>5.0</v>
      </c>
      <c r="G11" s="11" t="str">
        <f t="shared" si="1"/>
        <v/>
      </c>
      <c r="H11" s="11" t="str">
        <f>IFERROR(IF(COUNT(G4:G11)&lt;20,"n="&amp;COUNT(G4:G11)&amp;": "&amp;AVERAGE(G4:G11),AVERAGE(G4:G11)),"")</f>
        <v/>
      </c>
      <c r="I11" s="11" t="str">
        <f>IFERROR(__xludf.DUMMYFUNCTION("IF(H11="""","""",IF(ISNUMBER(H11),IF(H11&gt;0,""BEATING CLOSE"",""BELOW CLOSE""),IF(IFERROR(VALUE(REGEXEXTRACT(H11,"": (.*)$"")),0)&gt;0,""BEATING CLOSE (n&lt;20)"",""BELOW CLOSE (n&lt;20)"")))"),"")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3.0"/>
    <col customWidth="1" min="3" max="3" width="15.0"/>
    <col customWidth="1" min="4" max="4" width="26.0"/>
    <col customWidth="1" min="5" max="5" width="24.0"/>
    <col customWidth="1" min="6" max="6" width="10.0"/>
    <col customWidth="1" min="7" max="8" width="9.0"/>
    <col customWidth="1" min="9" max="9" width="11.0"/>
    <col customWidth="1" min="10" max="10" width="30.0"/>
  </cols>
  <sheetData>
    <row r="1" ht="18.0" customHeight="1">
      <c r="A1" s="17" t="s">
        <v>114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8" t="s">
        <v>115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9" t="s">
        <v>116</v>
      </c>
      <c r="B4" s="20">
        <f>Method!B10</f>
        <v>969.4</v>
      </c>
      <c r="C4" s="19" t="s">
        <v>117</v>
      </c>
      <c r="D4" s="21">
        <f>COUNTIF(Bets!B2:B105,TODAY())</f>
        <v>1</v>
      </c>
      <c r="E4" s="19" t="s">
        <v>118</v>
      </c>
      <c r="F4" s="21">
        <f>SUMPRODUCT(--(Bets!AN2:AN105="Y"),--(Bets!AZ2:AZ105="BET"))</f>
        <v>8</v>
      </c>
      <c r="G4" s="22" t="str">
        <f>IF(F5=0,"","⚠ "&amp;F5&amp;" fun bet(s) logged — excluded from engine quality. Judge the engine on Engine P&amp;L and ✓ rows only.")</f>
        <v>⚠ 4 fun bet(s) logged — excluded from engine quality. Judge the engine on Engine P&amp;L and ✓ rows only.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9" t="s">
        <v>119</v>
      </c>
      <c r="B5" s="20">
        <f>SUMIF(Bets!AN2:AN105,"Y",Bets!AP2:AP105)</f>
        <v>178.5</v>
      </c>
      <c r="C5" s="19" t="s">
        <v>120</v>
      </c>
      <c r="D5" s="23">
        <f>IFERROR(SMALL(Bets!B2:B105,COUNTIF(Bets!B2:B105,"&lt;"&amp;TODAY())+1),"finished")</f>
        <v>46212</v>
      </c>
      <c r="E5" s="19" t="s">
        <v>121</v>
      </c>
      <c r="F5" s="21">
        <f>SUMPRODUCT(--(Bets!AN2:AN105="Y"),--(Bets!AZ2:AZ105&lt;&gt;"BET"))</f>
        <v>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9" t="s">
        <v>122</v>
      </c>
      <c r="B6" s="24">
        <f>SUM(Bets!AR2:AR105)</f>
        <v>-30.6</v>
      </c>
      <c r="C6" s="19" t="s">
        <v>123</v>
      </c>
      <c r="D6" s="21">
        <f>COUNTIF(Bets!AH2:AH105,"BET")</f>
        <v>41</v>
      </c>
      <c r="E6" s="19" t="s">
        <v>124</v>
      </c>
      <c r="F6" s="25">
        <f>IFERROR(AVERAGE(Matchday!U4:U107),"–")</f>
        <v>0.8650546736</v>
      </c>
      <c r="G6" s="1"/>
      <c r="H6" s="1"/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9" t="s">
        <v>125</v>
      </c>
      <c r="B7" s="26">
        <f>IF(SUMPRODUCT(--(Bets!AN2:AN105="Y"),--(Bets!AQ2:AQ105&lt;&gt;""),Bets!AP2:AP105)=0,"–",B6/SUMPRODUCT(--(Bets!AN2:AN105="Y"),--(Bets!AQ2:AQ105&lt;&gt;""),Bets!AP2:AP105))</f>
        <v>-0.1714285714</v>
      </c>
      <c r="C7" s="19" t="s">
        <v>126</v>
      </c>
      <c r="D7" s="21">
        <f>COUNTIF(Bets!AH2:AH105,"PASS")</f>
        <v>59</v>
      </c>
      <c r="E7" s="19" t="s">
        <v>127</v>
      </c>
      <c r="F7" s="24">
        <f>SUMIF(Bets!AZ2:AZ105,"BET",Bets!AR2:AR105)</f>
        <v>-40</v>
      </c>
      <c r="G7" s="1"/>
      <c r="H7" s="1"/>
      <c r="I7" s="1"/>
      <c r="J7" s="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9" t="s">
        <v>128</v>
      </c>
      <c r="B8" s="27" t="str">
        <f>COUNTIF(Bets!AR2:AR105,"&gt;0")&amp;" – "&amp;COUNTIF(Bets!AR2:AR105,"&lt;0")</f>
        <v>4 – 7</v>
      </c>
      <c r="C8" s="19" t="s">
        <v>129</v>
      </c>
      <c r="D8" s="21">
        <f>COUNTIF(Bets!AH2:AH105,"· enter odds")</f>
        <v>4</v>
      </c>
      <c r="E8" s="19" t="s">
        <v>130</v>
      </c>
      <c r="F8" s="24">
        <f>SUMIFS(Bets!AR2:AR105,Bets!AN2:AN105,"Y",Bets!AZ2:AZ105,"&lt;&gt;BET")</f>
        <v>9.4</v>
      </c>
      <c r="G8" s="1"/>
      <c r="H8" s="1"/>
      <c r="I8" s="1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9" t="s">
        <v>131</v>
      </c>
      <c r="B9" s="21">
        <f>SUMPRODUCT(--(Bets!AN2:AN105="Y"),--(Bets!AQ2:AQ105=""))</f>
        <v>0</v>
      </c>
      <c r="C9" s="19" t="s">
        <v>132</v>
      </c>
      <c r="D9" s="20">
        <f>SUM(Bets!AJ2:AJ105)</f>
        <v>459</v>
      </c>
      <c r="E9" s="1"/>
      <c r="F9" s="1"/>
      <c r="G9" s="1"/>
      <c r="H9" s="1"/>
      <c r="I9" s="1"/>
      <c r="J9" s="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8" t="s">
        <v>133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9" t="s">
        <v>134</v>
      </c>
      <c r="B12" s="29" t="s">
        <v>29</v>
      </c>
      <c r="C12" s="29" t="s">
        <v>135</v>
      </c>
      <c r="D12" s="29" t="s">
        <v>136</v>
      </c>
      <c r="E12" s="29" t="s">
        <v>104</v>
      </c>
      <c r="F12" s="29" t="s">
        <v>137</v>
      </c>
      <c r="G12" s="29" t="s">
        <v>138</v>
      </c>
      <c r="H12" s="29" t="s">
        <v>139</v>
      </c>
      <c r="I12" s="29" t="s">
        <v>140</v>
      </c>
      <c r="J12" s="2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30">
        <f t="array" ref="A13">IFERROR(INDEX(Bets!$A$2:$A$105,MATCH(LARGE(Bets!$AM$2:$AM$105,1),Bets!$AM$2:$AM$105,0)),"")</f>
        <v>97</v>
      </c>
      <c r="B13" s="31">
        <f t="array" ref="B13">IFERROR(INDEX(Bets!$B$2:$B$105,MATCH(LARGE(Bets!$AM$2:$AM$105,1),Bets!$AM$2:$AM$105,0)),"")</f>
        <v>46212</v>
      </c>
      <c r="C13" s="32" t="str">
        <f t="array" ref="C13">IFERROR(INDEX(Bets!$C$2:$C$105,MATCH(LARGE(Bets!$AM$2:$AM$105,1),Bets!$AM$2:$AM$105,0)),"")</f>
        <v>QF</v>
      </c>
      <c r="D13" s="33" t="str">
        <f t="array" ref="D13">IFERROR(INDEX(Bets!$D$2:$D$105,MATCH(LARGE(Bets!$AM$2:$AM$105,1),Bets!$AM$2:$AM$105,0))&amp;"  v  "&amp;INDEX(Bets!$E$2:$E$105,MATCH(LARGE(Bets!$AM$2:$AM$105,1),Bets!$AM$2:$AM$105,0)),"")</f>
        <v>France  v  Morocco</v>
      </c>
      <c r="E13" s="34" t="str">
        <f t="array" ref="E13">IFERROR(INDEX(Bets!$AD$2:$AD$105,MATCH(LARGE(Bets!$AM$2:$AM$105,1),Bets!$AM$2:$AM$105,0)),"")</f>
        <v>2  Morocco</v>
      </c>
      <c r="F13" s="35">
        <f t="array" ref="F13">IFERROR(INDEX(Bets!$AE$2:$AE$105,MATCH(LARGE(Bets!$AM$2:$AM$105,1),Bets!$AM$2:$AM$105,0)),"")</f>
        <v>6.5</v>
      </c>
      <c r="G13" s="36">
        <f t="array" ref="G13">IFERROR(INDEX(Bets!$AF$2:$AF$105,MATCH(LARGE(Bets!$AM$2:$AM$105,1),Bets!$AM$2:$AM$105,0)),"")</f>
        <v>0.2974660432</v>
      </c>
      <c r="H13" s="36">
        <f t="array" ref="H13">IFERROR(INDEX(Bets!$AG$2:$AG$105,MATCH(LARGE(Bets!$AM$2:$AM$105,1),Bets!$AM$2:$AM$105,0)),"")</f>
        <v>0.05917495194</v>
      </c>
      <c r="I13" s="37">
        <f t="array" ref="I13">IFERROR(INDEX(Bets!$AJ$2:$AJ$105,MATCH(LARGE(Bets!$AM$2:$AM$105,1),Bets!$AM$2:$AM$105,0)),"")</f>
        <v>14</v>
      </c>
      <c r="J13" s="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30">
        <f t="array" ref="A14">IFERROR(INDEX(Bets!$A$2:$A$105,MATCH(LARGE(Bets!$AM$2:$AM$105,2),Bets!$AM$2:$AM$105,0)),"")</f>
        <v>56</v>
      </c>
      <c r="B14" s="31">
        <f t="array" ref="B14">IFERROR(INDEX(Bets!$B$2:$B$105,MATCH(LARGE(Bets!$AM$2:$AM$105,2),Bets!$AM$2:$AM$105,0)),"")</f>
        <v>46198</v>
      </c>
      <c r="C14" s="32" t="str">
        <f t="array" ref="C14">IFERROR(INDEX(Bets!$C$2:$C$105,MATCH(LARGE(Bets!$AM$2:$AM$105,2),Bets!$AM$2:$AM$105,0)),"")</f>
        <v>E</v>
      </c>
      <c r="D14" s="33" t="str">
        <f t="array" ref="D14">IFERROR(INDEX(Bets!$D$2:$D$105,MATCH(LARGE(Bets!$AM$2:$AM$105,2),Bets!$AM$2:$AM$105,0))&amp;"  v  "&amp;INDEX(Bets!$E$2:$E$105,MATCH(LARGE(Bets!$AM$2:$AM$105,2),Bets!$AM$2:$AM$105,0)),"")</f>
        <v>Curacao  v  Ivory Coast</v>
      </c>
      <c r="E14" s="34" t="str">
        <f t="array" ref="E14">IFERROR(INDEX(Bets!$AD$2:$AD$105,MATCH(LARGE(Bets!$AM$2:$AM$105,2),Bets!$AM$2:$AM$105,0)),"")</f>
        <v>X  Draw</v>
      </c>
      <c r="F14" s="35">
        <f t="array" ref="F14">IFERROR(INDEX(Bets!$AE$2:$AE$105,MATCH(LARGE(Bets!$AM$2:$AM$105,2),Bets!$AM$2:$AM$105,0)),"")</f>
        <v>7.5</v>
      </c>
      <c r="G14" s="36">
        <f t="array" ref="G14">IFERROR(INDEX(Bets!$AF$2:$AF$105,MATCH(LARGE(Bets!$AM$2:$AM$105,2),Bets!$AM$2:$AM$105,0)),"")</f>
        <v>0.2723088621</v>
      </c>
      <c r="H14" s="36">
        <f t="array" ref="H14">IFERROR(INDEX(Bets!$AG$2:$AG$105,MATCH(LARGE(Bets!$AM$2:$AM$105,2),Bets!$AM$2:$AM$105,0)),"")</f>
        <v>0.05277139436</v>
      </c>
      <c r="I14" s="37">
        <f t="array" ref="I14">IFERROR(INDEX(Bets!$AJ$2:$AJ$105,MATCH(LARGE(Bets!$AM$2:$AM$105,2),Bets!$AM$2:$AM$105,0)),"")</f>
        <v>10</v>
      </c>
      <c r="J14" s="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30">
        <f t="array" ref="A15">IFERROR(INDEX(Bets!$A$2:$A$105,MATCH(LARGE(Bets!$AM$2:$AM$105,3),Bets!$AM$2:$AM$105,0)),"")</f>
        <v>8</v>
      </c>
      <c r="B15" s="31">
        <f t="array" ref="B15">IFERROR(INDEX(Bets!$B$2:$B$105,MATCH(LARGE(Bets!$AM$2:$AM$105,3),Bets!$AM$2:$AM$105,0)),"")</f>
        <v>46186</v>
      </c>
      <c r="C15" s="32" t="str">
        <f t="array" ref="C15">IFERROR(INDEX(Bets!$C$2:$C$105,MATCH(LARGE(Bets!$AM$2:$AM$105,3),Bets!$AM$2:$AM$105,0)),"")</f>
        <v>D</v>
      </c>
      <c r="D15" s="33" t="str">
        <f t="array" ref="D15">IFERROR(INDEX(Bets!$D$2:$D$105,MATCH(LARGE(Bets!$AM$2:$AM$105,3),Bets!$AM$2:$AM$105,0))&amp;"  v  "&amp;INDEX(Bets!$E$2:$E$105,MATCH(LARGE(Bets!$AM$2:$AM$105,3),Bets!$AM$2:$AM$105,0)),"")</f>
        <v>Australia  v  Turkey</v>
      </c>
      <c r="E15" s="34" t="str">
        <f t="array" ref="E15">IFERROR(INDEX(Bets!$AD$2:$AD$105,MATCH(LARGE(Bets!$AM$2:$AM$105,3),Bets!$AM$2:$AM$105,0)),"")</f>
        <v>1  Australia</v>
      </c>
      <c r="F15" s="35">
        <f t="array" ref="F15">IFERROR(INDEX(Bets!$AE$2:$AE$105,MATCH(LARGE(Bets!$AM$2:$AM$105,3),Bets!$AM$2:$AM$105,0)),"")</f>
        <v>5.25</v>
      </c>
      <c r="G15" s="36">
        <f t="array" ref="G15">IFERROR(INDEX(Bets!$AF$2:$AF$105,MATCH(LARGE(Bets!$AM$2:$AM$105,3),Bets!$AM$2:$AM$105,0)),"")</f>
        <v>0.2694385917</v>
      </c>
      <c r="H15" s="36">
        <f t="array" ref="H15">IFERROR(INDEX(Bets!$AG$2:$AG$105,MATCH(LARGE(Bets!$AM$2:$AM$105,3),Bets!$AM$2:$AM$105,0)),"")</f>
        <v>0.06774785323</v>
      </c>
      <c r="I15" s="37">
        <f t="array" ref="I15">IFERROR(INDEX(Bets!$AJ$2:$AJ$105,MATCH(LARGE(Bets!$AM$2:$AM$105,3),Bets!$AM$2:$AM$105,0)),"")</f>
        <v>16</v>
      </c>
      <c r="J15" s="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30">
        <f t="array" ref="A16">IFERROR(INDEX(Bets!$A$2:$A$105,MATCH(LARGE(Bets!$AM$2:$AM$105,4),Bets!$AM$2:$AM$105,0)),"")</f>
        <v>44</v>
      </c>
      <c r="B16" s="31">
        <f t="array" ref="B16">IFERROR(INDEX(Bets!$B$2:$B$105,MATCH(LARGE(Bets!$AM$2:$AM$105,4),Bets!$AM$2:$AM$105,0)),"")</f>
        <v>46195</v>
      </c>
      <c r="C16" s="32" t="str">
        <f t="array" ref="C16">IFERROR(INDEX(Bets!$C$2:$C$105,MATCH(LARGE(Bets!$AM$2:$AM$105,4),Bets!$AM$2:$AM$105,0)),"")</f>
        <v>J</v>
      </c>
      <c r="D16" s="33" t="str">
        <f t="array" ref="D16">IFERROR(INDEX(Bets!$D$2:$D$105,MATCH(LARGE(Bets!$AM$2:$AM$105,4),Bets!$AM$2:$AM$105,0))&amp;"  v  "&amp;INDEX(Bets!$E$2:$E$105,MATCH(LARGE(Bets!$AM$2:$AM$105,4),Bets!$AM$2:$AM$105,0)),"")</f>
        <v>Jordan  v  Algeria</v>
      </c>
      <c r="E16" s="34" t="str">
        <f t="array" ref="E16">IFERROR(INDEX(Bets!$AD$2:$AD$105,MATCH(LARGE(Bets!$AM$2:$AM$105,4),Bets!$AM$2:$AM$105,0)),"")</f>
        <v>1  Jordan</v>
      </c>
      <c r="F16" s="35">
        <f t="array" ref="F16">IFERROR(INDEX(Bets!$AE$2:$AE$105,MATCH(LARGE(Bets!$AM$2:$AM$105,4),Bets!$AM$2:$AM$105,0)),"")</f>
        <v>7.5</v>
      </c>
      <c r="G16" s="36">
        <f t="array" ref="G16">IFERROR(INDEX(Bets!$AF$2:$AF$105,MATCH(LARGE(Bets!$AM$2:$AM$105,4),Bets!$AM$2:$AM$105,0)),"")</f>
        <v>0.2602203505</v>
      </c>
      <c r="H16" s="36">
        <f t="array" ref="H16">IFERROR(INDEX(Bets!$AG$2:$AG$105,MATCH(LARGE(Bets!$AM$2:$AM$105,4),Bets!$AM$2:$AM$105,0)),"")</f>
        <v>0.05469480213</v>
      </c>
      <c r="I16" s="37">
        <f t="array" ref="I16">IFERROR(INDEX(Bets!$AJ$2:$AJ$105,MATCH(LARGE(Bets!$AM$2:$AM$105,4),Bets!$AM$2:$AM$105,0)),"")</f>
        <v>10</v>
      </c>
      <c r="J16" s="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30">
        <f t="array" ref="A17">IFERROR(INDEX(Bets!$A$2:$A$105,MATCH(LARGE(Bets!$AM$2:$AM$105,5),Bets!$AM$2:$AM$105,0)),"")</f>
        <v>55</v>
      </c>
      <c r="B17" s="31">
        <f t="array" ref="B17">IFERROR(INDEX(Bets!$B$2:$B$105,MATCH(LARGE(Bets!$AM$2:$AM$105,5),Bets!$AM$2:$AM$105,0)),"")</f>
        <v>46198</v>
      </c>
      <c r="C17" s="32" t="str">
        <f t="array" ref="C17">IFERROR(INDEX(Bets!$C$2:$C$105,MATCH(LARGE(Bets!$AM$2:$AM$105,5),Bets!$AM$2:$AM$105,0)),"")</f>
        <v>E</v>
      </c>
      <c r="D17" s="33" t="str">
        <f t="array" ref="D17">IFERROR(INDEX(Bets!$D$2:$D$105,MATCH(LARGE(Bets!$AM$2:$AM$105,5),Bets!$AM$2:$AM$105,0))&amp;"  v  "&amp;INDEX(Bets!$E$2:$E$105,MATCH(LARGE(Bets!$AM$2:$AM$105,5),Bets!$AM$2:$AM$105,0)),"")</f>
        <v>Ecuador  v  Germany</v>
      </c>
      <c r="E17" s="34" t="str">
        <f t="array" ref="E17">IFERROR(INDEX(Bets!$AD$2:$AD$105,MATCH(LARGE(Bets!$AM$2:$AM$105,5),Bets!$AM$2:$AM$105,0)),"")</f>
        <v>1  Ecuador</v>
      </c>
      <c r="F17" s="35">
        <f t="array" ref="F17">IFERROR(INDEX(Bets!$AE$2:$AE$105,MATCH(LARGE(Bets!$AM$2:$AM$105,5),Bets!$AM$2:$AM$105,0)),"")</f>
        <v>5.25</v>
      </c>
      <c r="G17" s="36">
        <f t="array" ref="G17">IFERROR(INDEX(Bets!$AF$2:$AF$105,MATCH(LARGE(Bets!$AM$2:$AM$105,5),Bets!$AM$2:$AM$105,0)),"")</f>
        <v>0.2473300441</v>
      </c>
      <c r="H17" s="36">
        <f t="array" ref="H17">IFERROR(INDEX(Bets!$AG$2:$AG$105,MATCH(LARGE(Bets!$AM$2:$AM$105,5),Bets!$AM$2:$AM$105,0)),"")</f>
        <v>0.05830315927</v>
      </c>
      <c r="I17" s="37">
        <f t="array" ref="I17">IFERROR(INDEX(Bets!$AJ$2:$AJ$105,MATCH(LARGE(Bets!$AM$2:$AM$105,5),Bets!$AM$2:$AM$105,0)),"")</f>
        <v>15</v>
      </c>
      <c r="J17" s="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30">
        <f t="array" ref="A18">IFERROR(INDEX(Bets!$A$2:$A$105,MATCH(LARGE(Bets!$AM$2:$AM$105,6),Bets!$AM$2:$AM$105,0)),"")</f>
        <v>46</v>
      </c>
      <c r="B18" s="31">
        <f t="array" ref="B18">IFERROR(INDEX(Bets!$B$2:$B$105,MATCH(LARGE(Bets!$AM$2:$AM$105,6),Bets!$AM$2:$AM$105,0)),"")</f>
        <v>46196</v>
      </c>
      <c r="C18" s="32" t="str">
        <f t="array" ref="C18">IFERROR(INDEX(Bets!$C$2:$C$105,MATCH(LARGE(Bets!$AM$2:$AM$105,6),Bets!$AM$2:$AM$105,0)),"")</f>
        <v>L</v>
      </c>
      <c r="D18" s="33" t="str">
        <f t="array" ref="D18">IFERROR(INDEX(Bets!$D$2:$D$105,MATCH(LARGE(Bets!$AM$2:$AM$105,6),Bets!$AM$2:$AM$105,0))&amp;"  v  "&amp;INDEX(Bets!$E$2:$E$105,MATCH(LARGE(Bets!$AM$2:$AM$105,6),Bets!$AM$2:$AM$105,0)),"")</f>
        <v>England  v  Ghana</v>
      </c>
      <c r="E18" s="34" t="str">
        <f t="array" ref="E18">IFERROR(INDEX(Bets!$AD$2:$AD$105,MATCH(LARGE(Bets!$AM$2:$AM$105,6),Bets!$AM$2:$AM$105,0)),"")</f>
        <v>X  Draw</v>
      </c>
      <c r="F18" s="35">
        <f t="array" ref="F18">IFERROR(INDEX(Bets!$AE$2:$AE$105,MATCH(LARGE(Bets!$AM$2:$AM$105,6),Bets!$AM$2:$AM$105,0)),"")</f>
        <v>8</v>
      </c>
      <c r="G18" s="36">
        <f t="array" ref="G18">IFERROR(INDEX(Bets!$AF$2:$AF$105,MATCH(LARGE(Bets!$AM$2:$AM$105,6),Bets!$AM$2:$AM$105,0)),"")</f>
        <v>0.2384811978</v>
      </c>
      <c r="H18" s="36">
        <f t="array" ref="H18">IFERROR(INDEX(Bets!$AG$2:$AG$105,MATCH(LARGE(Bets!$AM$2:$AM$105,6),Bets!$AM$2:$AM$105,0)),"")</f>
        <v>0.0329062249</v>
      </c>
      <c r="I18" s="37">
        <f t="array" ref="I18">IFERROR(INDEX(Bets!$AJ$2:$AJ$105,MATCH(LARGE(Bets!$AM$2:$AM$105,6),Bets!$AM$2:$AM$105,0)),"")</f>
        <v>9</v>
      </c>
      <c r="J18" s="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30">
        <f t="array" ref="A19">IFERROR(INDEX(Bets!$A$2:$A$105,MATCH(LARGE(Bets!$AM$2:$AM$105,7),Bets!$AM$2:$AM$105,0)),"")</f>
        <v>29</v>
      </c>
      <c r="B19" s="31">
        <f t="array" ref="B19">IFERROR(INDEX(Bets!$B$2:$B$105,MATCH(LARGE(Bets!$AM$2:$AM$105,7),Bets!$AM$2:$AM$105,0)),"")</f>
        <v>46192</v>
      </c>
      <c r="C19" s="32" t="str">
        <f t="array" ref="C19">IFERROR(INDEX(Bets!$C$2:$C$105,MATCH(LARGE(Bets!$AM$2:$AM$105,7),Bets!$AM$2:$AM$105,0)),"")</f>
        <v>D</v>
      </c>
      <c r="D19" s="33" t="str">
        <f t="array" ref="D19">IFERROR(INDEX(Bets!$D$2:$D$105,MATCH(LARGE(Bets!$AM$2:$AM$105,7),Bets!$AM$2:$AM$105,0))&amp;"  v  "&amp;INDEX(Bets!$E$2:$E$105,MATCH(LARGE(Bets!$AM$2:$AM$105,7),Bets!$AM$2:$AM$105,0)),"")</f>
        <v>United States  v  Australia</v>
      </c>
      <c r="E19" s="34" t="str">
        <f t="array" ref="E19">IFERROR(INDEX(Bets!$AD$2:$AD$105,MATCH(LARGE(Bets!$AM$2:$AM$105,7),Bets!$AM$2:$AM$105,0)),"")</f>
        <v>2  Australia</v>
      </c>
      <c r="F19" s="35">
        <f t="array" ref="F19">IFERROR(INDEX(Bets!$AE$2:$AE$105,MATCH(LARGE(Bets!$AM$2:$AM$105,7),Bets!$AM$2:$AM$105,0)),"")</f>
        <v>6.5</v>
      </c>
      <c r="G19" s="36">
        <f t="array" ref="G19">IFERROR(INDEX(Bets!$AF$2:$AF$105,MATCH(LARGE(Bets!$AM$2:$AM$105,7),Bets!$AM$2:$AM$105,0)),"")</f>
        <v>0.2248211305</v>
      </c>
      <c r="H19" s="36">
        <f t="array" ref="H19">IFERROR(INDEX(Bets!$AG$2:$AG$105,MATCH(LARGE(Bets!$AM$2:$AM$105,7),Bets!$AM$2:$AM$105,0)),"")</f>
        <v>0.03523270083</v>
      </c>
      <c r="I19" s="37">
        <f t="array" ref="I19">IFERROR(INDEX(Bets!$AJ$2:$AJ$105,MATCH(LARGE(Bets!$AM$2:$AM$105,7),Bets!$AM$2:$AM$105,0)),"")</f>
        <v>10</v>
      </c>
      <c r="J19" s="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30">
        <f t="array" ref="A20">IFERROR(INDEX(Bets!$A$2:$A$105,MATCH(LARGE(Bets!$AM$2:$AM$105,8),Bets!$AM$2:$AM$105,0)),"")</f>
        <v>59</v>
      </c>
      <c r="B20" s="31">
        <f t="array" ref="B20">IFERROR(INDEX(Bets!$B$2:$B$105,MATCH(LARGE(Bets!$AM$2:$AM$105,8),Bets!$AM$2:$AM$105,0)),"")</f>
        <v>46198</v>
      </c>
      <c r="C20" s="32" t="str">
        <f t="array" ref="C20">IFERROR(INDEX(Bets!$C$2:$C$105,MATCH(LARGE(Bets!$AM$2:$AM$105,8),Bets!$AM$2:$AM$105,0)),"")</f>
        <v>D</v>
      </c>
      <c r="D20" s="33" t="str">
        <f t="array" ref="D20">IFERROR(INDEX(Bets!$D$2:$D$105,MATCH(LARGE(Bets!$AM$2:$AM$105,8),Bets!$AM$2:$AM$105,0))&amp;"  v  "&amp;INDEX(Bets!$E$2:$E$105,MATCH(LARGE(Bets!$AM$2:$AM$105,8),Bets!$AM$2:$AM$105,0)),"")</f>
        <v>Turkey  v  United States</v>
      </c>
      <c r="E20" s="34" t="str">
        <f t="array" ref="E20">IFERROR(INDEX(Bets!$AD$2:$AD$105,MATCH(LARGE(Bets!$AM$2:$AM$105,8),Bets!$AM$2:$AM$105,0)),"")</f>
        <v>1  Turkey</v>
      </c>
      <c r="F20" s="35">
        <f t="array" ref="F20">IFERROR(INDEX(Bets!$AE$2:$AE$105,MATCH(LARGE(Bets!$AM$2:$AM$105,8),Bets!$AM$2:$AM$105,0)),"")</f>
        <v>3.7</v>
      </c>
      <c r="G20" s="36">
        <f t="array" ref="G20">IFERROR(INDEX(Bets!$AF$2:$AF$105,MATCH(LARGE(Bets!$AM$2:$AM$105,8),Bets!$AM$2:$AM$105,0)),"")</f>
        <v>0.2118303007</v>
      </c>
      <c r="H20" s="36">
        <f t="array" ref="H20">IFERROR(INDEX(Bets!$AG$2:$AG$105,MATCH(LARGE(Bets!$AM$2:$AM$105,8),Bets!$AM$2:$AM$105,0)),"")</f>
        <v>0.07450891992</v>
      </c>
      <c r="I20" s="37">
        <f t="array" ref="I20">IFERROR(INDEX(Bets!$AJ$2:$AJ$105,MATCH(LARGE(Bets!$AM$2:$AM$105,8),Bets!$AM$2:$AM$105,0)),"")</f>
        <v>19</v>
      </c>
      <c r="J20" s="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28" t="s">
        <v>141</v>
      </c>
      <c r="F22" s="1"/>
      <c r="G22" s="28" t="s">
        <v>142</v>
      </c>
      <c r="H22" s="1"/>
      <c r="I22" s="1"/>
      <c r="J22" s="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29" t="s">
        <v>29</v>
      </c>
      <c r="B23" s="29" t="s">
        <v>143</v>
      </c>
      <c r="C23" s="29" t="s">
        <v>144</v>
      </c>
      <c r="D23" s="29" t="s">
        <v>145</v>
      </c>
      <c r="E23" s="29"/>
      <c r="F23" s="1"/>
      <c r="G23" s="38" t="s">
        <v>146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39">
        <v>46184.0</v>
      </c>
      <c r="B24" s="32">
        <f>COUNTIF(Bets!$B$2:$B$105,$A24)</f>
        <v>2</v>
      </c>
      <c r="C24" s="40">
        <f>SUMIFS(Bets!$AP$2:$AP$105,Bets!$B$2:$B$105,$A24,Bets!$AN$2:$AN$105,"Y")</f>
        <v>30</v>
      </c>
      <c r="D24" s="40">
        <f>SUMIFS(Bets!$AR$2:$AR$105,Bets!$B$2:$B$105,$A24)</f>
        <v>24.4</v>
      </c>
      <c r="E24" s="33" t="str">
        <f t="shared" ref="E24:E40" si="1">IF(D24&gt;0,REPT("█",MIN(25,ROUND(D24/4,0))),REPT("░",MIN(25,ROUND(-D24/4,0))))</f>
        <v>██████</v>
      </c>
      <c r="F24" s="1"/>
      <c r="G24" s="38" t="s">
        <v>147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39">
        <v>46185.0</v>
      </c>
      <c r="B25" s="32">
        <f>COUNTIF(Bets!$B$2:$B$105,$A25)</f>
        <v>2</v>
      </c>
      <c r="C25" s="40">
        <f>SUMIFS(Bets!$AP$2:$AP$105,Bets!$B$2:$B$105,$A25,Bets!$AN$2:$AN$105,"Y")</f>
        <v>44</v>
      </c>
      <c r="D25" s="40">
        <f>SUMIFS(Bets!$AR$2:$AR$105,Bets!$B$2:$B$105,$A25)</f>
        <v>-3</v>
      </c>
      <c r="E25" s="33" t="str">
        <f t="shared" si="1"/>
        <v>░</v>
      </c>
      <c r="F25" s="1"/>
      <c r="G25" s="38" t="s">
        <v>148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39">
        <v>46186.0</v>
      </c>
      <c r="B26" s="32">
        <f>COUNTIF(Bets!$B$2:$B$105,$A26)</f>
        <v>4</v>
      </c>
      <c r="C26" s="40">
        <f>SUMIFS(Bets!$AP$2:$AP$105,Bets!$B$2:$B$105,$A26,Bets!$AN$2:$AN$105,"Y")</f>
        <v>60</v>
      </c>
      <c r="D26" s="40">
        <f>SUMIFS(Bets!$AR$2:$AR$105,Bets!$B$2:$B$105,$A26)</f>
        <v>-7.5</v>
      </c>
      <c r="E26" s="33" t="str">
        <f t="shared" si="1"/>
        <v>░░</v>
      </c>
      <c r="F26" s="1"/>
      <c r="G26" s="38" t="s">
        <v>149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39">
        <v>46187.0</v>
      </c>
      <c r="B27" s="32">
        <f>COUNTIF(Bets!$B$2:$B$105,$A27)</f>
        <v>4</v>
      </c>
      <c r="C27" s="40">
        <f>SUMIFS(Bets!$AP$2:$AP$105,Bets!$B$2:$B$105,$A27,Bets!$AN$2:$AN$105,"Y")</f>
        <v>6</v>
      </c>
      <c r="D27" s="40">
        <f>SUMIFS(Bets!$AR$2:$AR$105,Bets!$B$2:$B$105,$A27)</f>
        <v>-6</v>
      </c>
      <c r="E27" s="33" t="str">
        <f t="shared" si="1"/>
        <v>░░</v>
      </c>
      <c r="F27" s="1"/>
      <c r="G27" s="38" t="s">
        <v>150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39">
        <v>46188.0</v>
      </c>
      <c r="B28" s="32">
        <f>COUNTIF(Bets!$B$2:$B$105,$A28)</f>
        <v>4</v>
      </c>
      <c r="C28" s="40">
        <f>SUMIFS(Bets!$AP$2:$AP$105,Bets!$B$2:$B$105,$A28,Bets!$AN$2:$AN$105,"Y")</f>
        <v>0</v>
      </c>
      <c r="D28" s="40">
        <f>SUMIFS(Bets!$AR$2:$AR$105,Bets!$B$2:$B$105,$A28)</f>
        <v>0</v>
      </c>
      <c r="E28" s="33" t="str">
        <f t="shared" si="1"/>
        <v/>
      </c>
      <c r="F28" s="1"/>
      <c r="G28" s="38" t="s">
        <v>151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39">
        <v>46189.0</v>
      </c>
      <c r="B29" s="32">
        <f>COUNTIF(Bets!$B$2:$B$105,$A29)</f>
        <v>4</v>
      </c>
      <c r="C29" s="40">
        <f>SUMIFS(Bets!$AP$2:$AP$105,Bets!$B$2:$B$105,$A29,Bets!$AN$2:$AN$105,"Y")</f>
        <v>0</v>
      </c>
      <c r="D29" s="40">
        <f>SUMIFS(Bets!$AR$2:$AR$105,Bets!$B$2:$B$105,$A29)</f>
        <v>0</v>
      </c>
      <c r="E29" s="33" t="str">
        <f t="shared" si="1"/>
        <v/>
      </c>
      <c r="F29" s="1"/>
      <c r="G29" s="1"/>
      <c r="H29" s="1"/>
      <c r="I29" s="1"/>
      <c r="J29" s="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39">
        <v>46190.0</v>
      </c>
      <c r="B30" s="32">
        <f>COUNTIF(Bets!$B$2:$B$105,$A30)</f>
        <v>4</v>
      </c>
      <c r="C30" s="40">
        <f>SUMIFS(Bets!$AP$2:$AP$105,Bets!$B$2:$B$105,$A30,Bets!$AN$2:$AN$105,"Y")</f>
        <v>0</v>
      </c>
      <c r="D30" s="40">
        <f>SUMIFS(Bets!$AR$2:$AR$105,Bets!$B$2:$B$105,$A30)</f>
        <v>0</v>
      </c>
      <c r="E30" s="33" t="str">
        <f t="shared" si="1"/>
        <v/>
      </c>
      <c r="F30" s="1"/>
      <c r="G30" s="1"/>
      <c r="H30" s="1"/>
      <c r="I30" s="1"/>
      <c r="J30" s="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39">
        <v>46191.0</v>
      </c>
      <c r="B31" s="32">
        <f>COUNTIF(Bets!$B$2:$B$105,$A31)</f>
        <v>4</v>
      </c>
      <c r="C31" s="40">
        <f>SUMIFS(Bets!$AP$2:$AP$105,Bets!$B$2:$B$105,$A31,Bets!$AN$2:$AN$105,"Y")</f>
        <v>0</v>
      </c>
      <c r="D31" s="40">
        <f>SUMIFS(Bets!$AR$2:$AR$105,Bets!$B$2:$B$105,$A31)</f>
        <v>0</v>
      </c>
      <c r="E31" s="33" t="str">
        <f t="shared" si="1"/>
        <v/>
      </c>
      <c r="F31" s="1"/>
      <c r="G31" s="1"/>
      <c r="H31" s="1"/>
      <c r="I31" s="1"/>
      <c r="J31" s="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39">
        <v>46192.0</v>
      </c>
      <c r="B32" s="32">
        <f>COUNTIF(Bets!$B$2:$B$105,$A32)</f>
        <v>4</v>
      </c>
      <c r="C32" s="40">
        <f>SUMIFS(Bets!$AP$2:$AP$105,Bets!$B$2:$B$105,$A32,Bets!$AN$2:$AN$105,"Y")</f>
        <v>0</v>
      </c>
      <c r="D32" s="40">
        <f>SUMIFS(Bets!$AR$2:$AR$105,Bets!$B$2:$B$105,$A32)</f>
        <v>0</v>
      </c>
      <c r="E32" s="33" t="str">
        <f t="shared" si="1"/>
        <v/>
      </c>
      <c r="F32" s="1"/>
      <c r="G32" s="1"/>
      <c r="H32" s="1"/>
      <c r="I32" s="1"/>
      <c r="J32" s="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39">
        <v>46193.0</v>
      </c>
      <c r="B33" s="32">
        <f>COUNTIF(Bets!$B$2:$B$105,$A33)</f>
        <v>4</v>
      </c>
      <c r="C33" s="40">
        <f>SUMIFS(Bets!$AP$2:$AP$105,Bets!$B$2:$B$105,$A33,Bets!$AN$2:$AN$105,"Y")</f>
        <v>0</v>
      </c>
      <c r="D33" s="40">
        <f>SUMIFS(Bets!$AR$2:$AR$105,Bets!$B$2:$B$105,$A33)</f>
        <v>0</v>
      </c>
      <c r="E33" s="33" t="str">
        <f t="shared" si="1"/>
        <v/>
      </c>
      <c r="F33" s="1"/>
      <c r="G33" s="1"/>
      <c r="H33" s="1"/>
      <c r="I33" s="1"/>
      <c r="J33" s="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39">
        <v>46194.0</v>
      </c>
      <c r="B34" s="32">
        <f>COUNTIF(Bets!$B$2:$B$105,$A34)</f>
        <v>4</v>
      </c>
      <c r="C34" s="40">
        <f>SUMIFS(Bets!$AP$2:$AP$105,Bets!$B$2:$B$105,$A34,Bets!$AN$2:$AN$105,"Y")</f>
        <v>0</v>
      </c>
      <c r="D34" s="40">
        <f>SUMIFS(Bets!$AR$2:$AR$105,Bets!$B$2:$B$105,$A34)</f>
        <v>0</v>
      </c>
      <c r="E34" s="33" t="str">
        <f t="shared" si="1"/>
        <v/>
      </c>
      <c r="F34" s="1"/>
      <c r="G34" s="1"/>
      <c r="H34" s="1"/>
      <c r="I34" s="1"/>
      <c r="J34" s="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39">
        <v>46195.0</v>
      </c>
      <c r="B35" s="32">
        <f>COUNTIF(Bets!$B$2:$B$105,$A35)</f>
        <v>4</v>
      </c>
      <c r="C35" s="40">
        <f>SUMIFS(Bets!$AP$2:$AP$105,Bets!$B$2:$B$105,$A35,Bets!$AN$2:$AN$105,"Y")</f>
        <v>0</v>
      </c>
      <c r="D35" s="40">
        <f>SUMIFS(Bets!$AR$2:$AR$105,Bets!$B$2:$B$105,$A35)</f>
        <v>0</v>
      </c>
      <c r="E35" s="33" t="str">
        <f t="shared" si="1"/>
        <v/>
      </c>
      <c r="F35" s="1"/>
      <c r="G35" s="1"/>
      <c r="H35" s="1"/>
      <c r="I35" s="1"/>
      <c r="J35" s="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39">
        <v>46196.0</v>
      </c>
      <c r="B36" s="32">
        <f>COUNTIF(Bets!$B$2:$B$105,$A36)</f>
        <v>4</v>
      </c>
      <c r="C36" s="40">
        <f>SUMIFS(Bets!$AP$2:$AP$105,Bets!$B$2:$B$105,$A36,Bets!$AN$2:$AN$105,"Y")</f>
        <v>0</v>
      </c>
      <c r="D36" s="40">
        <f>SUMIFS(Bets!$AR$2:$AR$105,Bets!$B$2:$B$105,$A36)</f>
        <v>0</v>
      </c>
      <c r="E36" s="33" t="str">
        <f t="shared" si="1"/>
        <v/>
      </c>
      <c r="F36" s="1"/>
      <c r="G36" s="1"/>
      <c r="H36" s="1"/>
      <c r="I36" s="1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39">
        <v>46197.0</v>
      </c>
      <c r="B37" s="32">
        <f>COUNTIF(Bets!$B$2:$B$105,$A37)</f>
        <v>6</v>
      </c>
      <c r="C37" s="40">
        <f>SUMIFS(Bets!$AP$2:$AP$105,Bets!$B$2:$B$105,$A37,Bets!$AN$2:$AN$105,"Y")</f>
        <v>7.5</v>
      </c>
      <c r="D37" s="40">
        <f>SUMIFS(Bets!$AR$2:$AR$105,Bets!$B$2:$B$105,$A37)</f>
        <v>-7.5</v>
      </c>
      <c r="E37" s="33" t="str">
        <f t="shared" si="1"/>
        <v>░░</v>
      </c>
      <c r="F37" s="1"/>
      <c r="G37" s="1"/>
      <c r="H37" s="1"/>
      <c r="I37" s="1"/>
      <c r="J37" s="1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39">
        <v>46198.0</v>
      </c>
      <c r="B38" s="32">
        <f>COUNTIF(Bets!$B$2:$B$105,$A38)</f>
        <v>6</v>
      </c>
      <c r="C38" s="40">
        <f>SUMIFS(Bets!$AP$2:$AP$105,Bets!$B$2:$B$105,$A38,Bets!$AN$2:$AN$105,"Y")</f>
        <v>0</v>
      </c>
      <c r="D38" s="40">
        <f>SUMIFS(Bets!$AR$2:$AR$105,Bets!$B$2:$B$105,$A38)</f>
        <v>0</v>
      </c>
      <c r="E38" s="33" t="str">
        <f t="shared" si="1"/>
        <v/>
      </c>
      <c r="F38" s="1"/>
      <c r="G38" s="1"/>
      <c r="H38" s="1"/>
      <c r="I38" s="1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39">
        <v>46199.0</v>
      </c>
      <c r="B39" s="32">
        <f>COUNTIF(Bets!$B$2:$B$105,$A39)</f>
        <v>6</v>
      </c>
      <c r="C39" s="40">
        <f>SUMIFS(Bets!$AP$2:$AP$105,Bets!$B$2:$B$105,$A39,Bets!$AN$2:$AN$105,"Y")</f>
        <v>0</v>
      </c>
      <c r="D39" s="40">
        <f>SUMIFS(Bets!$AR$2:$AR$105,Bets!$B$2:$B$105,$A39)</f>
        <v>0</v>
      </c>
      <c r="E39" s="33" t="str">
        <f t="shared" si="1"/>
        <v/>
      </c>
      <c r="F39" s="1"/>
      <c r="G39" s="1"/>
      <c r="H39" s="1"/>
      <c r="I39" s="1"/>
      <c r="J39" s="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39">
        <v>46200.0</v>
      </c>
      <c r="B40" s="32">
        <f>COUNTIF(Bets!$B$2:$B$105,$A40)</f>
        <v>6</v>
      </c>
      <c r="C40" s="40">
        <f>SUMIFS(Bets!$AP$2:$AP$105,Bets!$B$2:$B$105,$A40,Bets!$AN$2:$AN$105,"Y")</f>
        <v>31</v>
      </c>
      <c r="D40" s="40">
        <f>SUMIFS(Bets!$AR$2:$AR$105,Bets!$B$2:$B$105,$A40)</f>
        <v>-31</v>
      </c>
      <c r="E40" s="33" t="str">
        <f t="shared" si="1"/>
        <v>░░░░░░░░</v>
      </c>
      <c r="F40" s="1"/>
      <c r="G40" s="1"/>
      <c r="H40" s="1"/>
      <c r="I40" s="1"/>
      <c r="J40" s="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mergeCells count="11">
    <mergeCell ref="G25:J25"/>
    <mergeCell ref="G26:J26"/>
    <mergeCell ref="G27:J27"/>
    <mergeCell ref="G28:J28"/>
    <mergeCell ref="A1:J1"/>
    <mergeCell ref="A2:J2"/>
    <mergeCell ref="G4:J5"/>
    <mergeCell ref="A11:J11"/>
    <mergeCell ref="A22:E22"/>
    <mergeCell ref="G23:J23"/>
    <mergeCell ref="G24:J24"/>
  </mergeCells>
  <conditionalFormatting sqref="D24:D40">
    <cfRule type="cellIs" dxfId="0" priority="1" operator="lessThan">
      <formula>0</formula>
    </cfRule>
  </conditionalFormatting>
  <conditionalFormatting sqref="D24:D40">
    <cfRule type="cellIs" dxfId="1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58.0"/>
    <col customWidth="1" min="3" max="3" width="22.0"/>
    <col customWidth="1" min="4" max="4" width="12.0"/>
    <col customWidth="1" min="5" max="6" width="8.71"/>
  </cols>
  <sheetData>
    <row r="1" ht="15.0" customHeight="1">
      <c r="A1" s="41" t="s">
        <v>152</v>
      </c>
      <c r="B1" s="42"/>
      <c r="C1" s="42"/>
      <c r="D1" s="4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" t="s">
        <v>153</v>
      </c>
      <c r="B3" s="43" t="s">
        <v>154</v>
      </c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" t="s">
        <v>155</v>
      </c>
      <c r="B4" s="43" t="s">
        <v>156</v>
      </c>
      <c r="C4" s="1"/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157</v>
      </c>
      <c r="B5" s="1" t="s">
        <v>158</v>
      </c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8" t="s">
        <v>159</v>
      </c>
      <c r="B6" s="8" t="s">
        <v>160</v>
      </c>
      <c r="C6" s="8" t="s">
        <v>161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44" t="s">
        <v>162</v>
      </c>
      <c r="B7" s="45">
        <v>46212.36513528935</v>
      </c>
      <c r="C7" s="46" t="s">
        <v>163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44" t="s">
        <v>164</v>
      </c>
      <c r="B8" s="47" t="s">
        <v>165</v>
      </c>
      <c r="C8" s="46" t="s">
        <v>166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44" t="s">
        <v>167</v>
      </c>
      <c r="B9" s="48">
        <v>96.0</v>
      </c>
      <c r="C9" s="46" t="s">
        <v>168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44" t="s">
        <v>169</v>
      </c>
      <c r="B10" s="47" t="s">
        <v>170</v>
      </c>
      <c r="C10" s="46" t="s">
        <v>171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44" t="s">
        <v>172</v>
      </c>
      <c r="B11" s="47"/>
      <c r="C11" s="46" t="s">
        <v>173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44" t="s">
        <v>174</v>
      </c>
      <c r="B12" s="47" t="s">
        <v>175</v>
      </c>
      <c r="C12" s="46"/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44" t="s">
        <v>176</v>
      </c>
      <c r="B13" s="49"/>
      <c r="C13" s="46" t="s">
        <v>177</v>
      </c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44" t="s">
        <v>178</v>
      </c>
      <c r="B14" s="47" t="b">
        <v>0</v>
      </c>
      <c r="C14" s="46"/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44" t="s">
        <v>179</v>
      </c>
      <c r="B15" s="47" t="s">
        <v>180</v>
      </c>
      <c r="C15" s="46"/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/>
      <c r="B16" s="1"/>
      <c r="C16" s="1"/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75" customHeight="1">
      <c r="A17" s="8" t="s">
        <v>181</v>
      </c>
      <c r="B17" s="50" t="str">
        <f>IF(B7="","⚠ Apps Script not run yet — open Extensions ▸ Apps Script ▸ run installEngine()","✓ live polling active · last poll "&amp;TEXT(B7,"yyyy-mm-dd hh:mm"))</f>
        <v>✓ live polling active · last poll 2026-07-09 08:45</v>
      </c>
      <c r="C17" s="1"/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 t="s">
        <v>182</v>
      </c>
      <c r="B18" s="1"/>
      <c r="C18" s="1"/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51" t="s">
        <v>183</v>
      </c>
      <c r="B19" s="52" t="s">
        <v>184</v>
      </c>
      <c r="C19" s="11" t="s">
        <v>185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1" t="s">
        <v>186</v>
      </c>
      <c r="B20" s="53">
        <v>236.0</v>
      </c>
      <c r="C20" s="11" t="s">
        <v>187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11" t="s">
        <v>188</v>
      </c>
      <c r="B21" s="53">
        <v>48.0</v>
      </c>
      <c r="C21" s="11" t="s">
        <v>189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11" t="s">
        <v>190</v>
      </c>
      <c r="B22" s="53">
        <v>23.0</v>
      </c>
      <c r="C22" s="11" t="s">
        <v>191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 t="s">
        <v>192</v>
      </c>
      <c r="B23" s="54">
        <v>2.0</v>
      </c>
      <c r="C23" s="1" t="s">
        <v>193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194</v>
      </c>
      <c r="B24" s="55"/>
      <c r="C24" s="1"/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195</v>
      </c>
      <c r="B25" s="54">
        <v>0.0</v>
      </c>
      <c r="C25" s="1" t="s">
        <v>196</v>
      </c>
      <c r="D25" s="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197</v>
      </c>
      <c r="B26" s="55"/>
      <c r="C26" s="1" t="s">
        <v>198</v>
      </c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/>
      <c r="B27" s="55" t="s">
        <v>199</v>
      </c>
      <c r="C27" s="1"/>
      <c r="D27" s="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6" t="s">
        <v>200</v>
      </c>
      <c r="B28" s="55"/>
      <c r="C28" s="1"/>
      <c r="D28" s="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/>
      <c r="B29" s="1"/>
      <c r="C29" s="1"/>
      <c r="D29" s="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 t="s">
        <v>201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1"/>
      <c r="C33" s="1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1"/>
      <c r="C34" s="1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1"/>
      <c r="C36" s="1"/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1"/>
      <c r="C37" s="1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1"/>
      <c r="C38" s="1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1"/>
      <c r="C39" s="1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1"/>
      <c r="C40" s="1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1"/>
      <c r="C41" s="1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1"/>
      <c r="C42" s="1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1"/>
      <c r="C43" s="1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1"/>
      <c r="C44" s="1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1"/>
      <c r="C45" s="1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1"/>
      <c r="C46" s="1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1"/>
      <c r="C47" s="1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1"/>
      <c r="C48" s="1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1"/>
      <c r="C49" s="1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1"/>
      <c r="C50" s="1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1"/>
      <c r="C51" s="1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1"/>
      <c r="C52" s="1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1"/>
      <c r="C53" s="1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1"/>
      <c r="C54" s="1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1"/>
      <c r="C55" s="1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1"/>
      <c r="C56" s="1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1"/>
      <c r="C57" s="1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1"/>
      <c r="C58" s="1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1"/>
      <c r="C59" s="1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1"/>
      <c r="C60" s="1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1"/>
      <c r="C61" s="1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1"/>
      <c r="C62" s="1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1"/>
      <c r="C63" s="1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1"/>
      <c r="C64" s="1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1"/>
      <c r="C65" s="1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1"/>
      <c r="C66" s="1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1"/>
      <c r="C67" s="1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1"/>
      <c r="C68" s="1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1"/>
      <c r="C69" s="1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1"/>
      <c r="C70" s="1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1"/>
      <c r="C71" s="1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1"/>
      <c r="C73" s="1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1"/>
      <c r="C74" s="1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1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1"/>
      <c r="C81" s="1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1"/>
      <c r="C83" s="1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1"/>
      <c r="C84" s="1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1"/>
      <c r="C85" s="1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1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1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1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1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1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1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1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1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1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1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1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1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1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1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1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1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1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1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1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1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1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1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1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1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1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1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1"/>
      <c r="C121" s="1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1"/>
      <c r="C122" s="1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1"/>
      <c r="C123" s="1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"/>
      <c r="C124" s="1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1"/>
      <c r="C125" s="1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"/>
      <c r="C126" s="1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"/>
      <c r="C127" s="1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"/>
      <c r="C128" s="1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"/>
      <c r="C129" s="1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"/>
      <c r="C130" s="1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"/>
      <c r="C131" s="1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1"/>
      <c r="C132" s="1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1"/>
      <c r="C133" s="1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"/>
      <c r="C134" s="1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"/>
      <c r="C135" s="1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"/>
      <c r="C136" s="1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"/>
      <c r="C137" s="1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1"/>
      <c r="C138" s="1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"/>
      <c r="C139" s="1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"/>
      <c r="C140" s="1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"/>
      <c r="C141" s="1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1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"/>
      <c r="C143" s="1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1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1"/>
      <c r="C145" s="1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1"/>
      <c r="C146" s="1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1"/>
      <c r="C147" s="1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1"/>
      <c r="C148" s="1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1"/>
      <c r="C149" s="1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1"/>
      <c r="C150" s="1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1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1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1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1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1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1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1"/>
      <c r="C186" s="1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1"/>
      <c r="C187" s="1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1"/>
      <c r="C188" s="1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1"/>
      <c r="C189" s="1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1"/>
      <c r="C190" s="1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1"/>
      <c r="C191" s="1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1"/>
      <c r="C192" s="1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1"/>
      <c r="C193" s="1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1"/>
      <c r="C194" s="1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1"/>
      <c r="C195" s="1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1"/>
      <c r="C196" s="1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1"/>
      <c r="C197" s="1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1"/>
      <c r="C198" s="1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1"/>
      <c r="C199" s="1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1"/>
      <c r="C200" s="1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1"/>
      <c r="C201" s="1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1"/>
      <c r="C202" s="1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1"/>
      <c r="C203" s="1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1"/>
      <c r="C204" s="1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1"/>
      <c r="C205" s="1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1"/>
      <c r="C206" s="1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1"/>
      <c r="C207" s="1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1"/>
      <c r="C208" s="1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"/>
      <c r="C209" s="1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1"/>
      <c r="C210" s="1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1"/>
      <c r="C211" s="1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1"/>
      <c r="C212" s="1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1"/>
      <c r="C213" s="1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1"/>
      <c r="C214" s="1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1"/>
      <c r="C215" s="1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1"/>
      <c r="C216" s="1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1"/>
      <c r="C217" s="1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1"/>
      <c r="C218" s="1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1"/>
      <c r="C219" s="1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1"/>
      <c r="C220" s="1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1"/>
      <c r="C221" s="1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1"/>
      <c r="C222" s="1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1"/>
      <c r="C223" s="1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1"/>
      <c r="C224" s="1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1"/>
      <c r="C225" s="1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1"/>
      <c r="C226" s="1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1"/>
      <c r="C227" s="1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1"/>
      <c r="C228" s="1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1"/>
      <c r="C229" s="1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1"/>
      <c r="C230" s="1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2">
    <mergeCell ref="A1:D1"/>
    <mergeCell ref="A30:D31"/>
  </mergeCells>
  <hyperlinks>
    <hyperlink r:id="rId1" ref="B3"/>
    <hyperlink r:id="rId2" ref="B4"/>
  </hyperlinks>
  <printOptions/>
  <pageMargins bottom="1.0" footer="0.0" header="0.0" left="0.75" right="0.75" top="1.0"/>
  <pageSetup paperSize="9" orientation="portrait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 outlineLevelCol="1"/>
  <cols>
    <col customWidth="1" min="1" max="1" width="5.0"/>
    <col customWidth="1" min="2" max="2" width="9.0"/>
    <col customWidth="1" min="3" max="3" width="5.0"/>
    <col customWidth="1" min="4" max="5" width="22.0"/>
    <col customWidth="1" min="6" max="6" width="15.0"/>
    <col customWidth="1" min="7" max="11" width="9.0"/>
    <col customWidth="1" min="12" max="14" width="8.0"/>
    <col customWidth="1" hidden="1" min="15" max="29" width="8.0" outlineLevel="1"/>
    <col customWidth="1" min="30" max="30" width="24.0"/>
    <col customWidth="1" min="31" max="31" width="7.0"/>
    <col customWidth="1" min="32" max="33" width="8.0"/>
    <col customWidth="1" min="34" max="34" width="13.0"/>
    <col customWidth="1" min="35" max="36" width="12.0"/>
    <col customWidth="1" hidden="1" min="37" max="39" width="8.0" outlineLevel="1"/>
    <col customWidth="1" min="40" max="40" width="8.0"/>
    <col customWidth="1" min="41" max="41" width="10.0"/>
    <col customWidth="1" min="42" max="43" width="8.0"/>
    <col customWidth="1" min="44" max="45" width="9.0"/>
    <col customWidth="1" min="46" max="46" width="36.0"/>
    <col customWidth="1" min="47" max="47" width="30.0"/>
    <col customWidth="1" min="48" max="48" width="8.0"/>
    <col customWidth="1" min="49" max="53" width="9.0"/>
  </cols>
  <sheetData>
    <row r="1" ht="15.0" customHeight="1">
      <c r="A1" s="29" t="s">
        <v>134</v>
      </c>
      <c r="B1" s="29" t="s">
        <v>29</v>
      </c>
      <c r="C1" s="29" t="s">
        <v>202</v>
      </c>
      <c r="D1" s="29" t="s">
        <v>30</v>
      </c>
      <c r="E1" s="29" t="s">
        <v>31</v>
      </c>
      <c r="F1" s="29" t="s">
        <v>203</v>
      </c>
      <c r="G1" s="29" t="s">
        <v>204</v>
      </c>
      <c r="H1" s="29" t="s">
        <v>205</v>
      </c>
      <c r="I1" s="29" t="s">
        <v>206</v>
      </c>
      <c r="J1" s="29" t="s">
        <v>207</v>
      </c>
      <c r="K1" s="29" t="s">
        <v>208</v>
      </c>
      <c r="L1" s="29" t="s">
        <v>209</v>
      </c>
      <c r="M1" s="29" t="s">
        <v>210</v>
      </c>
      <c r="N1" s="29" t="s">
        <v>211</v>
      </c>
      <c r="O1" s="29" t="s">
        <v>212</v>
      </c>
      <c r="P1" s="29" t="s">
        <v>213</v>
      </c>
      <c r="Q1" s="29" t="s">
        <v>214</v>
      </c>
      <c r="R1" s="29" t="s">
        <v>215</v>
      </c>
      <c r="S1" s="29" t="s">
        <v>216</v>
      </c>
      <c r="T1" s="29" t="s">
        <v>217</v>
      </c>
      <c r="U1" s="29" t="s">
        <v>218</v>
      </c>
      <c r="V1" s="29" t="s">
        <v>219</v>
      </c>
      <c r="W1" s="29" t="s">
        <v>220</v>
      </c>
      <c r="X1" s="29" t="s">
        <v>221</v>
      </c>
      <c r="Y1" s="29" t="s">
        <v>222</v>
      </c>
      <c r="Z1" s="29" t="s">
        <v>223</v>
      </c>
      <c r="AA1" s="29" t="s">
        <v>224</v>
      </c>
      <c r="AB1" s="29" t="s">
        <v>225</v>
      </c>
      <c r="AC1" s="29" t="s">
        <v>226</v>
      </c>
      <c r="AD1" s="29" t="s">
        <v>227</v>
      </c>
      <c r="AE1" s="29" t="s">
        <v>137</v>
      </c>
      <c r="AF1" s="29" t="s">
        <v>228</v>
      </c>
      <c r="AG1" s="29" t="s">
        <v>229</v>
      </c>
      <c r="AH1" s="29" t="s">
        <v>230</v>
      </c>
      <c r="AI1" s="29" t="s">
        <v>231</v>
      </c>
      <c r="AJ1" s="29" t="s">
        <v>232</v>
      </c>
      <c r="AK1" s="29" t="s">
        <v>233</v>
      </c>
      <c r="AL1" s="29" t="s">
        <v>234</v>
      </c>
      <c r="AM1" s="29" t="s">
        <v>235</v>
      </c>
      <c r="AN1" s="29" t="s">
        <v>236</v>
      </c>
      <c r="AO1" s="29" t="s">
        <v>237</v>
      </c>
      <c r="AP1" s="29" t="s">
        <v>140</v>
      </c>
      <c r="AQ1" s="29" t="s">
        <v>238</v>
      </c>
      <c r="AR1" s="29" t="s">
        <v>145</v>
      </c>
      <c r="AS1" s="29" t="s">
        <v>239</v>
      </c>
      <c r="AT1" s="29" t="s">
        <v>240</v>
      </c>
      <c r="AU1" s="29" t="s">
        <v>181</v>
      </c>
      <c r="AV1" s="29" t="s">
        <v>241</v>
      </c>
      <c r="AW1" s="57" t="s">
        <v>242</v>
      </c>
      <c r="AX1" s="57" t="s">
        <v>243</v>
      </c>
      <c r="AY1" s="57" t="s">
        <v>244</v>
      </c>
      <c r="AZ1" s="57" t="s">
        <v>245</v>
      </c>
      <c r="BA1" s="57" t="s">
        <v>246</v>
      </c>
      <c r="BB1" s="58" t="s">
        <v>247</v>
      </c>
      <c r="BC1" s="58" t="s">
        <v>248</v>
      </c>
      <c r="BD1" s="58" t="s">
        <v>249</v>
      </c>
      <c r="BE1" s="58" t="s">
        <v>250</v>
      </c>
      <c r="BF1" s="58" t="s">
        <v>251</v>
      </c>
      <c r="BG1" s="58" t="s">
        <v>252</v>
      </c>
      <c r="BH1" s="58" t="s">
        <v>253</v>
      </c>
      <c r="BI1" s="58" t="s">
        <v>254</v>
      </c>
    </row>
    <row r="2" ht="15.0" customHeight="1">
      <c r="A2" s="32">
        <v>1.0</v>
      </c>
      <c r="B2" s="59">
        <v>46184.0</v>
      </c>
      <c r="C2" s="60" t="s">
        <v>112</v>
      </c>
      <c r="D2" s="61" t="s">
        <v>44</v>
      </c>
      <c r="E2" s="61" t="s">
        <v>45</v>
      </c>
      <c r="F2" s="61" t="s">
        <v>255</v>
      </c>
      <c r="G2" s="62">
        <v>0.5416666666678793</v>
      </c>
      <c r="H2" s="62">
        <v>0.8333333333321207</v>
      </c>
      <c r="I2" s="63">
        <v>0.7008</v>
      </c>
      <c r="J2" s="63">
        <v>0.2117</v>
      </c>
      <c r="K2" s="63">
        <v>0.0876</v>
      </c>
      <c r="L2" s="64">
        <f>IF(Matchday!E4="","",Matchday!E4)</f>
        <v>1.42</v>
      </c>
      <c r="M2" s="64">
        <f>IF(Matchday!F4="","",Matchday!F4)</f>
        <v>4.5</v>
      </c>
      <c r="N2" s="64">
        <f>IF(Matchday!G4="","",Matchday!G4)</f>
        <v>8.5</v>
      </c>
      <c r="O2" s="65">
        <f t="shared" ref="O2:Q2" si="1">IF(L2="","",1/L2)</f>
        <v>0.7042253521</v>
      </c>
      <c r="P2" s="65">
        <f t="shared" si="1"/>
        <v>0.2222222222</v>
      </c>
      <c r="Q2" s="65">
        <f t="shared" si="1"/>
        <v>0.1176470588</v>
      </c>
      <c r="R2" s="65">
        <f t="shared" ref="R2:R105" si="4">IF(COUNT(L2:N2)&lt;3,"",O2+P2+Q2)</f>
        <v>1.044094633</v>
      </c>
      <c r="S2" s="65">
        <f t="array" ref="S2">IF($R2="","",IF(Method!$B$56="proportional",O2/$R2,IF(Method!$B$56="power",IFERROR(INDEX(power_devig($L2,$M2,$N2),1,1),O2/$R2),IFERROR(INDEX(shin($L2,$M2,$N2),1,1),O2/$R2))))</f>
        <v>0.6856773289</v>
      </c>
      <c r="T2" s="65">
        <f t="array" ref="T2">IF($R2="","",IF(Method!$B$56="proportional",P2/$R2,IF(Method!$B$56="power",IFERROR(INDEX(power_devig($L2,$M2,$N2),2,1),P2/$R2),IFERROR(INDEX(shin($L2,$M2,$N2),2,1),P2/$R2))))</f>
        <v>0.2087843184</v>
      </c>
      <c r="U2" s="65">
        <f t="array" ref="U2">IF($R2="","",IF(Method!$B$56="proportional",Q2/$R2,IF(Method!$B$56="power",IFERROR(INDEX(power_devig($L2,$M2,$N2),3,1),Q2/$R2),IFERROR(INDEX(shin($L2,$M2,$N2),3,1),Q2/$R2))))</f>
        <v>0.1055383527</v>
      </c>
      <c r="V2" s="65">
        <f>IF(S2="","",Method!$B$4*IF(BC2="",I2,BC2)+(1-Method!$B$4)*S2/($S2+$T2+$U2))</f>
        <v>0.6804433264</v>
      </c>
      <c r="W2" s="65">
        <f>IF(T2="","",Method!$B$4*IF(BD2="",J2,BD2)+(1-Method!$B$4)*T2/($S2+$T2+$U2))</f>
        <v>0.2195823202</v>
      </c>
      <c r="X2" s="65">
        <f>IF(U2="","",Method!$B$4*IF(BE2="",K2,BE2)+(1-Method!$B$4)*U2/($S2+$T2+$U2))</f>
        <v>0.09997435342</v>
      </c>
      <c r="Y2" s="66">
        <f t="shared" ref="Y2:AA2" si="2">IF(V2="","",V2*L2-1)</f>
        <v>-0.03377047655</v>
      </c>
      <c r="Z2" s="66">
        <f t="shared" si="2"/>
        <v>-0.01187955907</v>
      </c>
      <c r="AA2" s="66">
        <f t="shared" si="2"/>
        <v>-0.1502179959</v>
      </c>
      <c r="AB2" s="67">
        <f t="shared" ref="AB2:AB105" si="6">IF(Y2="","",MATCH(MAX(Y2:AA2),Y2:AA2,0))</f>
        <v>2</v>
      </c>
      <c r="AC2" s="67" t="str">
        <f t="shared" ref="AC2:AC105" si="7">IF(AB2="","",CHOOSE(AB2,"H","D","A"))</f>
        <v>D</v>
      </c>
      <c r="AD2" s="68" t="str">
        <f t="shared" ref="AD2:AD105" si="8">IF(AB2="","",CHOOSE(AB2,"1  "&amp;D2,"X  Draw","2  "&amp;E2))</f>
        <v>X  Draw</v>
      </c>
      <c r="AE2" s="35">
        <f t="shared" ref="AE2:AE105" si="9">IF(AB2="","",INDEX(L2:N2,1,AB2))</f>
        <v>4.5</v>
      </c>
      <c r="AF2" s="66">
        <f t="shared" ref="AF2:AF105" si="10">IF(AB2="","",INDEX(Y2:AA2,1,AB2))</f>
        <v>-0.01187955907</v>
      </c>
      <c r="AG2" s="66">
        <f t="shared" ref="AG2:AG105" si="11">IF(AB2="","",INDEX(V2:X2,1,AB2)-INDEX(S2:U2,1,AB2))</f>
        <v>0.0107980018</v>
      </c>
      <c r="AH2" s="69" t="str">
        <f t="array" ref="AH2">IF(AB2="","· enter odds",IF(OR(AF2&gt;Method!$B$87,IFERROR(INDEX(BC2:BE2,1,AB2)/INDEX(S2:U2,1,AB2),0)&gt;Method!$B$88),"PASS",IF(AND(AF2&gt;=Method!$B$7,AG2&gt;=Method!$B$8),"BET","PASS")))</f>
        <v>PASS</v>
      </c>
      <c r="AI2" s="70">
        <f>IF(AH2&lt;&gt;"BET",0,ROUND(MIN(Method!$B$6,Method!$B$5*AL2)*100,1))</f>
        <v>0</v>
      </c>
      <c r="AJ2" s="71">
        <f>IF(OR(AH2&lt;&gt;"BET",Method!$B$55=TRUE()),0,IF(AI2*Method!$B$10/100&lt;Method!$B$9,0,ROUND(AI2*Method!$B$10/100,0)))</f>
        <v>0</v>
      </c>
      <c r="AK2" s="65">
        <f t="shared" ref="AK2:AK105" si="12">IF(AB2="","",INDEX(V2:X2,1,AB2))</f>
        <v>0.2195823202</v>
      </c>
      <c r="AL2" s="65" t="str">
        <f t="shared" ref="AL2:AL105" si="13">IF(AH2&lt;&gt;"BET","",MAX(0,(AK2*AE2-1)/(AE2-1)))</f>
        <v/>
      </c>
      <c r="AM2" s="67" t="str">
        <f t="shared" ref="AM2:AM105" si="14">IF(AH2="BET",AF2+A2/1000000,"")</f>
        <v/>
      </c>
      <c r="AN2" s="72" t="str">
        <f>IF(Matchday!N4="","",Matchday!N4)</f>
        <v>Y</v>
      </c>
      <c r="AO2" s="64">
        <f>IF(Matchday!P4="","",Matchday!P4)</f>
        <v>1.42</v>
      </c>
      <c r="AP2" s="73">
        <f>IF(Matchday!Q4="","",Matchday!Q4)</f>
        <v>20</v>
      </c>
      <c r="AQ2" s="72" t="str">
        <f>IF(Matchday!R4="","",Matchday!R4)</f>
        <v>H</v>
      </c>
      <c r="AR2" s="74">
        <f t="shared" ref="AR2:AR105" si="15">IF(OR(AN2&lt;&gt;"Y",AQ2="",AV2=""),"",IF(AQ2="Void",0,IF(AQ2=AV2,ROUND(AP2*(AO2-1),2),-AP2)))</f>
        <v>8.4</v>
      </c>
      <c r="AS2" s="74">
        <f t="shared" ref="AS2:AS105" si="16">IF(AR2="","",SUM($AR$2:AR2))</f>
        <v>8.4</v>
      </c>
      <c r="AT2" s="33" t="str">
        <f>IFERROR(__xludf.DUMMYFUNCTION("IF(AB2="""",""Type the 3 odds on the Matchday tab"",IF(Method!$B$55=TRUE(),IF(Method!$B$81=TRUE(),IF(REGEXMATCH(LOWER(Method!$B$63),""circuit""),""🛑 PAUSED — circuit breaker upstream; wait for a clean live refresh."",IF(REGEXMATCH(LOWER(Method!$B$63),""p"&amp;"ipeline""),""🛑 PAUSED — live pipeline warning; check Live!B11/Method!B62 before betting."",IF(REGEXMATCH(LOWER(Method!$B$63),""missing""),""🛑 PAUSED — feed timestamp missing; refresh feed before betting."",""🛑 PAUSED — feed stale &gt; 25 min — check Live "&amp;"tab;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overr"&amp;"ide stale/circuit-breaker/pipeline pauses."")),IF(AH2=""BET"",IF(AJ2=0,""Edge found but stake rounds under £""&amp;Method!$B$9&amp;"" — skip"",IF(AND(AE2&gt;=6,AG2&gt;=0.15),""🟡 WAIT — long-shot review: odds ""&amp;TEXT(AE2,""0.00"")&amp;"" + edge ""&amp;TEXT(AG2,""0.0%"")&amp;"" — v"&amp;"erify sharp-book + team news + stake comfort before Placed=Y"",""Value found: EV ""&amp;TEXT(AF2,""0.0%"")&amp;"", edge ""&amp;TEXT(AG2,""0.0%""))),IF(OR(AF2&gt;Method!$B$87,IFERROR(INDEX(BC2:BE2,1,AB2)/INDEX(S2:U2,1,AB2),0)&gt;Method!$B$88),""🛑 Tail trap — auto-PASS · EV"&amp;" ""&amp;TEXT(AF2,""0.0%"")&amp;"" (cap ""&amp;TEXT(Method!$B$87,""0%"")&amp;"") · model/market ""&amp;TEXT(IFERROR(INDEX(BC2:BE2,1,AB2)/INDEX(S2:U2,1,AB2),0),""0.0"")&amp;""× (cap ""&amp;TEXT(Method!$B$88,""0.0"")&amp;""×)"",IF(AF2&lt;Method!$B$7,""Price too short — EV ""&amp;TEXT(AF2,""0.0%"""&amp;")&amp;"" (need ""&amp;TEXT(Method!$B$7,""0.0%"")&amp;""+)"",""Model ≈ market — edge ""&amp;TEXT(AG2,""0.0%"")&amp;"" (need ""&amp;TEXT(Method!$B$8,""0.0%"")&amp;""+)"")))))"),"Price too short — EV -1.2% (need 2.5%+)")</f>
        <v>Price too short — EV -1.2% (need 2.5%+)</v>
      </c>
      <c r="AU2" s="33" t="str">
        <f t="shared" ref="AU2:AU105" si="17">IF(AN2&lt;&gt;"Y","",IF(AH2="· enter odds","⚠ type the 3 odds (1/X/2) to grade this bet",IF(OR(AV2="",AO2="",AP2=""),"⚠ log backed pick, odds &amp; stake",IF(AZ2&lt;&gt;"BET","⚠ FUN BET — engine said pass · staked £"&amp;AP2&amp;" vs engine £"&amp;BA2,IF(AV2&lt;&gt;IF(AY2="",AC2,AY2),"⚠ backed "&amp;AV2&amp;" but engine pick was "&amp;IF(AY2="",AC2,AY2),IF(AP2&gt;BA2,"⚠ stake over engine £"&amp;BA2,IF(ABS(AO2-IFERROR(INDEX(L2:N2,1,MATCH(AV2,{"H","D","A"},0)),AE2))&gt;0.02,"⚠ odds moved — re-check value","✓ engine bet")))))))</f>
        <v>⚠ FUN BET — engine said pass · staked £20 vs engine £0</v>
      </c>
      <c r="AV2" s="32" t="str">
        <f>IF(Matchday!O4="","",Matchday!O4)</f>
        <v>H</v>
      </c>
      <c r="AW2" s="75" t="s">
        <v>126</v>
      </c>
      <c r="AX2" s="75">
        <v>0.0</v>
      </c>
      <c r="AY2" s="75" t="s">
        <v>111</v>
      </c>
      <c r="AZ2" s="75" t="str">
        <f t="shared" ref="AZ2:AZ105" si="18">IF(AW2="",AH2,AW2)</f>
        <v>PASS</v>
      </c>
      <c r="BA2" s="76">
        <f>IF(AX2&lt;&gt;"",AX2,IF(AH2&lt;&gt;"BET",0,IF(AI2*Method!$B$10/100&lt;Method!$B$9,0,ROUND(AI2*Method!$B$10/100,0))))</f>
        <v>0</v>
      </c>
      <c r="BB2" s="12">
        <v>-22.380000000000003</v>
      </c>
      <c r="BC2" s="12">
        <v>0.6707230359618921</v>
      </c>
      <c r="BD2" s="12">
        <v>0.23963575212496502</v>
      </c>
      <c r="BE2" s="12">
        <v>0.08964121191314289</v>
      </c>
      <c r="BF2" s="14" t="s">
        <v>256</v>
      </c>
      <c r="BG2" s="12">
        <v>2240.0</v>
      </c>
      <c r="BH2" s="14" t="s">
        <v>257</v>
      </c>
      <c r="BI2" s="12">
        <v>0.0</v>
      </c>
    </row>
    <row r="3" ht="15.0" customHeight="1">
      <c r="A3" s="32">
        <v>2.0</v>
      </c>
      <c r="B3" s="59">
        <v>46184.0</v>
      </c>
      <c r="C3" s="60" t="s">
        <v>112</v>
      </c>
      <c r="D3" s="61" t="s">
        <v>46</v>
      </c>
      <c r="E3" s="61" t="s">
        <v>47</v>
      </c>
      <c r="F3" s="61" t="s">
        <v>258</v>
      </c>
      <c r="G3" s="62">
        <v>0.8333333333321207</v>
      </c>
      <c r="H3" s="60" t="s">
        <v>259</v>
      </c>
      <c r="I3" s="63">
        <v>0.4437091841588641</v>
      </c>
      <c r="J3" s="63">
        <v>0.2906709315654992</v>
      </c>
      <c r="K3" s="63">
        <v>0.2656198842756369</v>
      </c>
      <c r="L3" s="64">
        <f>IF(Matchday!E5="","",Matchday!E5)</f>
        <v>2.7</v>
      </c>
      <c r="M3" s="64">
        <f>IF(Matchday!F5="","",Matchday!F5)</f>
        <v>3.1</v>
      </c>
      <c r="N3" s="64">
        <f>IF(Matchday!G5="","",Matchday!G5)</f>
        <v>2.8</v>
      </c>
      <c r="O3" s="65">
        <f t="shared" ref="O3:Q3" si="3">IF(L3="","",1/L3)</f>
        <v>0.3703703704</v>
      </c>
      <c r="P3" s="65">
        <f t="shared" si="3"/>
        <v>0.3225806452</v>
      </c>
      <c r="Q3" s="65">
        <f t="shared" si="3"/>
        <v>0.3571428571</v>
      </c>
      <c r="R3" s="65">
        <f t="shared" si="4"/>
        <v>1.050093873</v>
      </c>
      <c r="S3" s="65">
        <f t="array" ref="S3">IF($R3="","",IF(Method!$B$56="proportional",O3/$R3,IF(Method!$B$56="power",IFERROR(INDEX(power_devig($L3,$M3,$N3),1,1),O3/$R3),IFERROR(INDEX(shin($L3,$M3,$N3),1,1),O3/$R3))))</f>
        <v>0.3534208151</v>
      </c>
      <c r="T3" s="65">
        <f t="array" ref="T3">IF($R3="","",IF(Method!$B$56="proportional",P3/$R3,IF(Method!$B$56="power",IFERROR(INDEX(power_devig($L3,$M3,$N3),2,1),P3/$R3),IFERROR(INDEX(shin($L3,$M3,$N3),2,1),P3/$R3))))</f>
        <v>0.3062229558</v>
      </c>
      <c r="U3" s="65">
        <f t="array" ref="U3">IF($R3="","",IF(Method!$B$56="proportional",Q3/$R3,IF(Method!$B$56="power",IFERROR(INDEX(power_devig($L3,$M3,$N3),3,1),Q3/$R3),IFERROR(INDEX(shin($L3,$M3,$N3),3,1),Q3/$R3))))</f>
        <v>0.3403562292</v>
      </c>
      <c r="V3" s="65">
        <f>IF(S3="","",Method!$B$4*IF(BC3="",I3,BC3)+(1-Method!$B$4)*S3/($S3+$T3+$U3))</f>
        <v>0.3865021918</v>
      </c>
      <c r="W3" s="65">
        <f>IF(T3="","",Method!$B$4*IF(BD3="",J3,BD3)+(1-Method!$B$4)*T3/($S3+$T3+$U3))</f>
        <v>0.2923407452</v>
      </c>
      <c r="X3" s="65">
        <f>IF(U3="","",Method!$B$4*IF(BE3="",K3,BE3)+(1-Method!$B$4)*U3/($S3+$T3+$U3))</f>
        <v>0.3211570629</v>
      </c>
      <c r="Y3" s="66">
        <f t="shared" ref="Y3:AA3" si="5">IF(V3="","",V3*L3-1)</f>
        <v>0.04355591794</v>
      </c>
      <c r="Z3" s="66">
        <f t="shared" si="5"/>
        <v>-0.09374368973</v>
      </c>
      <c r="AA3" s="66">
        <f t="shared" si="5"/>
        <v>-0.1007602238</v>
      </c>
      <c r="AB3" s="67">
        <f t="shared" si="6"/>
        <v>1</v>
      </c>
      <c r="AC3" s="67" t="str">
        <f t="shared" si="7"/>
        <v>H</v>
      </c>
      <c r="AD3" s="68" t="str">
        <f t="shared" si="8"/>
        <v>1  South Korea</v>
      </c>
      <c r="AE3" s="35">
        <f t="shared" si="9"/>
        <v>2.7</v>
      </c>
      <c r="AF3" s="66">
        <f t="shared" si="10"/>
        <v>0.04355591794</v>
      </c>
      <c r="AG3" s="66">
        <f t="shared" si="11"/>
        <v>0.03308137678</v>
      </c>
      <c r="AH3" s="69" t="str">
        <f t="array" ref="AH3">IF(AB3="","· enter odds",IF(OR(AF3&gt;Method!$B$87,IFERROR(INDEX(BC3:BE3,1,AB3)/INDEX(S3:U3,1,AB3),0)&gt;Method!$B$88),"PASS",IF(AND(AF3&gt;=Method!$B$7,AG3&gt;=Method!$B$8),"BET","PASS")))</f>
        <v>BET</v>
      </c>
      <c r="AI3" s="70">
        <f>IF(AH3&lt;&gt;"BET",0,ROUND(MIN(Method!$B$6,Method!$B$5*AL3)*100,1))</f>
        <v>0.6</v>
      </c>
      <c r="AJ3" s="71">
        <f>IF(OR(AH3&lt;&gt;"BET",Method!$B$55=TRUE()),0,IF(AI3*Method!$B$10/100&lt;Method!$B$9,0,ROUND(AI3*Method!$B$10/100,0)))</f>
        <v>6</v>
      </c>
      <c r="AK3" s="65">
        <f t="shared" si="12"/>
        <v>0.3865021918</v>
      </c>
      <c r="AL3" s="65">
        <f t="shared" si="13"/>
        <v>0.0256211282</v>
      </c>
      <c r="AM3" s="66">
        <f t="shared" si="14"/>
        <v>0.04355791794</v>
      </c>
      <c r="AN3" s="72" t="str">
        <f>IF(Matchday!N5="","",Matchday!N5)</f>
        <v>Y</v>
      </c>
      <c r="AO3" s="64">
        <f>IF(Matchday!P5="","",Matchday!P5)</f>
        <v>2.6</v>
      </c>
      <c r="AP3" s="73">
        <f>IF(Matchday!Q5="","",Matchday!Q5)</f>
        <v>10</v>
      </c>
      <c r="AQ3" s="72" t="str">
        <f>IF(Matchday!R5="","",Matchday!R5)</f>
        <v>H</v>
      </c>
      <c r="AR3" s="74">
        <f t="shared" si="15"/>
        <v>16</v>
      </c>
      <c r="AS3" s="74">
        <f t="shared" si="16"/>
        <v>24.4</v>
      </c>
      <c r="AT3" s="33" t="str">
        <f>IFERROR(__xludf.DUMMYFUNCTION("IF(AB3="""",""Type the 3 odds on the Matchday tab"",IF(Method!$B$55=TRUE(),IF(Method!$B$81=TRUE(),IF(REGEXMATCH(LOWER(Method!$B$63),""circuit""),""🛑 PAUSED — circuit breaker upstream; wait for a clean live refresh."",IF(REGEXMATCH(LOWER(Method!$B$63),""p"&amp;"ipeline""),""🛑 PAUSED — live pipeline warning; check Live!B11/Method!B62 before betting."",IF(REGEXMATCH(LOWER(Method!$B$63),""missing""),""🛑 PAUSED — feed timestamp missing; refresh feed before betting."",""🛑 PAUSED — feed stale &gt; 25 min — check Live "&amp;"tab;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overr"&amp;"ide stale/circuit-breaker/pipeline pauses."")),IF(AH3=""BET"",IF(AJ3=0,""Edge found but stake rounds under £""&amp;Method!$B$9&amp;"" — skip"",IF(AND(AE3&gt;=6,AG3&gt;=0.15),""🟡 WAIT — long-shot review: odds ""&amp;TEXT(AE3,""0.00"")&amp;"" + edge ""&amp;TEXT(AG3,""0.0%"")&amp;"" — v"&amp;"erify sharp-book + team news + stake comfort before Placed=Y"",""Value found: EV ""&amp;TEXT(AF3,""0.0%"")&amp;"", edge ""&amp;TEXT(AG3,""0.0%""))),IF(OR(AF3&gt;Method!$B$87,IFERROR(INDEX(BC3:BE3,1,AB3)/INDEX(S3:U3,1,AB3),0)&gt;Method!$B$88),""🛑 Tail trap — auto-PASS · EV"&amp;" ""&amp;TEXT(AF3,""0.0%"")&amp;"" (cap ""&amp;TEXT(Method!$B$87,""0%"")&amp;"") · model/market ""&amp;TEXT(IFERROR(INDEX(BC3:BE3,1,AB3)/INDEX(S3:U3,1,AB3),0),""0.0"")&amp;""× (cap ""&amp;TEXT(Method!$B$88,""0.0"")&amp;""×)"",IF(AF3&lt;Method!$B$7,""Price too short — EV ""&amp;TEXT(AF3,""0.0%"""&amp;")&amp;"" (need ""&amp;TEXT(Method!$B$7,""0.0%"")&amp;""+)"",""Model ≈ market — edge ""&amp;TEXT(AG3,""0.0%"")&amp;"" (need ""&amp;TEXT(Method!$B$8,""0.0%"")&amp;""+)"")))))"),"Value found: EV 4.4%, edge 3.3%")</f>
        <v>Value found: EV 4.4%, edge 3.3%</v>
      </c>
      <c r="AU3" s="33" t="str">
        <f t="shared" si="17"/>
        <v>⚠ stake over engine £3</v>
      </c>
      <c r="AV3" s="32" t="str">
        <f>IF(Matchday!O5="","",Matchday!O5)</f>
        <v>H</v>
      </c>
      <c r="AW3" s="75" t="s">
        <v>260</v>
      </c>
      <c r="AX3" s="75">
        <v>3.0</v>
      </c>
      <c r="AY3" s="75" t="s">
        <v>111</v>
      </c>
      <c r="AZ3" s="75" t="str">
        <f t="shared" si="18"/>
        <v>BET</v>
      </c>
      <c r="BA3" s="76">
        <f>IF(AX3&lt;&gt;"",AX3,IF(AH3&lt;&gt;"BET",0,IF(AI3*Method!$B$10/100&lt;Method!$B$9,0,ROUND(AI3*Method!$B$10/100,0))))</f>
        <v>3</v>
      </c>
      <c r="BB3" s="12">
        <v>-20.33</v>
      </c>
      <c r="BC3" s="12">
        <v>0.44793903441569066</v>
      </c>
      <c r="BD3" s="12">
        <v>0.26655949710990384</v>
      </c>
      <c r="BE3" s="12">
        <v>0.2855014684744055</v>
      </c>
      <c r="BF3" s="14" t="s">
        <v>261</v>
      </c>
      <c r="BG3" s="12">
        <v>1560.0</v>
      </c>
      <c r="BH3" s="14" t="s">
        <v>262</v>
      </c>
      <c r="BI3" s="12">
        <v>0.0</v>
      </c>
    </row>
    <row r="4" ht="15.0" customHeight="1">
      <c r="A4" s="32">
        <v>3.0</v>
      </c>
      <c r="B4" s="59">
        <v>46185.0</v>
      </c>
      <c r="C4" s="60" t="s">
        <v>263</v>
      </c>
      <c r="D4" s="61" t="s">
        <v>48</v>
      </c>
      <c r="E4" s="61" t="s">
        <v>49</v>
      </c>
      <c r="F4" s="61" t="s">
        <v>264</v>
      </c>
      <c r="G4" s="62">
        <v>0.625</v>
      </c>
      <c r="H4" s="62">
        <v>0.8333333333321207</v>
      </c>
      <c r="I4" s="63">
        <v>0.6975066163160056</v>
      </c>
      <c r="J4" s="63">
        <v>0.2132834046552971</v>
      </c>
      <c r="K4" s="63">
        <v>0.08920997902869723</v>
      </c>
      <c r="L4" s="64">
        <f>IF(Matchday!E6="","",Matchday!E6)</f>
        <v>1.85</v>
      </c>
      <c r="M4" s="64">
        <f>IF(Matchday!F6="","",Matchday!F6)</f>
        <v>3.5</v>
      </c>
      <c r="N4" s="64">
        <f>IF(Matchday!G6="","",Matchday!G6)</f>
        <v>4.5</v>
      </c>
      <c r="O4" s="65">
        <f t="shared" ref="O4:Q4" si="19">IF(L4="","",1/L4)</f>
        <v>0.5405405405</v>
      </c>
      <c r="P4" s="65">
        <f t="shared" si="19"/>
        <v>0.2857142857</v>
      </c>
      <c r="Q4" s="65">
        <f t="shared" si="19"/>
        <v>0.2222222222</v>
      </c>
      <c r="R4" s="65">
        <f t="shared" si="4"/>
        <v>1.048477048</v>
      </c>
      <c r="S4" s="65">
        <f t="array" ref="S4">IF($R4="","",IF(Method!$B$56="proportional",O4/$R4,IF(Method!$B$56="power",IFERROR(INDEX(power_devig($L4,$M4,$N4),1,1),O4/$R4),IFERROR(INDEX(shin($L4,$M4,$N4),1,1),O4/$R4))))</f>
        <v>0.5221128869</v>
      </c>
      <c r="T4" s="65">
        <f t="array" ref="T4">IF($R4="","",IF(Method!$B$56="proportional",P4/$R4,IF(Method!$B$56="power",IFERROR(INDEX(power_devig($L4,$M4,$N4),2,1),P4/$R4),IFERROR(INDEX(shin($L4,$M4,$N4),2,1),P4/$R4))))</f>
        <v>0.2702920686</v>
      </c>
      <c r="U4" s="65">
        <f t="array" ref="U4">IF($R4="","",IF(Method!$B$56="proportional",Q4/$R4,IF(Method!$B$56="power",IFERROR(INDEX(power_devig($L4,$M4,$N4),3,1),Q4/$R4),IFERROR(INDEX(shin($L4,$M4,$N4),3,1),Q4/$R4))))</f>
        <v>0.2075950445</v>
      </c>
      <c r="V4" s="65">
        <f>IF(S4="","",Method!$B$4*IF(BC4="",I4,BC4)+(1-Method!$B$4)*S4/($S4+$T4+$U4))</f>
        <v>0.5729423104</v>
      </c>
      <c r="W4" s="65">
        <f>IF(T4="","",Method!$B$4*IF(BD4="",J4,BD4)+(1-Method!$B$4)*T4/($S4+$T4+$U4))</f>
        <v>0.2601593234</v>
      </c>
      <c r="X4" s="65">
        <f>IF(U4="","",Method!$B$4*IF(BE4="",K4,BE4)+(1-Method!$B$4)*U4/($S4+$T4+$U4))</f>
        <v>0.1668983662</v>
      </c>
      <c r="Y4" s="66">
        <f t="shared" ref="Y4:AA4" si="20">IF(V4="","",V4*L4-1)</f>
        <v>0.05994327432</v>
      </c>
      <c r="Z4" s="66">
        <f t="shared" si="20"/>
        <v>-0.08944236818</v>
      </c>
      <c r="AA4" s="66">
        <f t="shared" si="20"/>
        <v>-0.2489573522</v>
      </c>
      <c r="AB4" s="67">
        <f t="shared" si="6"/>
        <v>1</v>
      </c>
      <c r="AC4" s="67" t="str">
        <f t="shared" si="7"/>
        <v>H</v>
      </c>
      <c r="AD4" s="68" t="str">
        <f t="shared" si="8"/>
        <v>1  Canada</v>
      </c>
      <c r="AE4" s="35">
        <f t="shared" si="9"/>
        <v>1.85</v>
      </c>
      <c r="AF4" s="66">
        <f t="shared" si="10"/>
        <v>0.05994327432</v>
      </c>
      <c r="AG4" s="66">
        <f t="shared" si="11"/>
        <v>0.0508294235</v>
      </c>
      <c r="AH4" s="69" t="str">
        <f t="array" ref="AH4">IF(AB4="","· enter odds",IF(OR(AF4&gt;Method!$B$87,IFERROR(INDEX(BC4:BE4,1,AB4)/INDEX(S4:U4,1,AB4),0)&gt;Method!$B$88),"PASS",IF(AND(AF4&gt;=Method!$B$7,AG4&gt;=Method!$B$8),"BET","PASS")))</f>
        <v>BET</v>
      </c>
      <c r="AI4" s="70">
        <f>IF(AH4&lt;&gt;"BET",0,ROUND(MIN(Method!$B$6,Method!$B$5*AL4)*100,1))</f>
        <v>1.8</v>
      </c>
      <c r="AJ4" s="71">
        <f>IF(OR(AH4&lt;&gt;"BET",Method!$B$55=TRUE()),0,IF(AI4*Method!$B$10/100&lt;Method!$B$9,0,ROUND(AI4*Method!$B$10/100,0)))</f>
        <v>17</v>
      </c>
      <c r="AK4" s="65">
        <f t="shared" si="12"/>
        <v>0.5729423104</v>
      </c>
      <c r="AL4" s="65">
        <f t="shared" si="13"/>
        <v>0.0705214992</v>
      </c>
      <c r="AM4" s="66">
        <f t="shared" si="14"/>
        <v>0.05994627432</v>
      </c>
      <c r="AN4" s="72" t="str">
        <f>IF(Matchday!N6="","",Matchday!N6)</f>
        <v>Y</v>
      </c>
      <c r="AO4" s="64">
        <f>IF(Matchday!P6="","",Matchday!P6)</f>
        <v>1.85</v>
      </c>
      <c r="AP4" s="73">
        <f>IF(Matchday!Q6="","",Matchday!Q6)</f>
        <v>24</v>
      </c>
      <c r="AQ4" s="72" t="str">
        <f>IF(Matchday!R6="","",Matchday!R6)</f>
        <v>D</v>
      </c>
      <c r="AR4" s="74">
        <f t="shared" si="15"/>
        <v>-24</v>
      </c>
      <c r="AS4" s="74">
        <f t="shared" si="16"/>
        <v>0.4</v>
      </c>
      <c r="AT4" s="33" t="str">
        <f>IFERROR(__xludf.DUMMYFUNCTION("IF(AB4="""",""Type the 3 odds on the Matchday tab"",IF(Method!$B$55=TRUE(),IF(Method!$B$81=TRUE(),IF(REGEXMATCH(LOWER(Method!$B$63),""circuit""),""🛑 PAUSED — circuit breaker upstream; wait for a clean live refresh."",IF(REGEXMATCH(LOWER(Method!$B$63),""p"&amp;"ipeline""),""🛑 PAUSED — live pipeline warning; check Live!B11/Method!B62 before betting."",IF(REGEXMATCH(LOWER(Method!$B$63),""missing""),""🛑 PAUSED — feed timestamp missing; refresh feed before betting."",""🛑 PAUSED — feed stale &gt; 25 min — check Live "&amp;"tab;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overr"&amp;"ide stale/circuit-breaker/pipeline pauses."")),IF(AH4=""BET"",IF(AJ4=0,""Edge found but stake rounds under £""&amp;Method!$B$9&amp;"" — skip"",IF(AND(AE4&gt;=6,AG4&gt;=0.15),""🟡 WAIT — long-shot review: odds ""&amp;TEXT(AE4,""0.00"")&amp;"" + edge ""&amp;TEXT(AG4,""0.0%"")&amp;"" — v"&amp;"erify sharp-book + team news + stake comfort before Placed=Y"",""Value found: EV ""&amp;TEXT(AF4,""0.0%"")&amp;"", edge ""&amp;TEXT(AG4,""0.0%""))),IF(OR(AF4&gt;Method!$B$87,IFERROR(INDEX(BC4:BE4,1,AB4)/INDEX(S4:U4,1,AB4),0)&gt;Method!$B$88),""🛑 Tail trap — auto-PASS · EV"&amp;" ""&amp;TEXT(AF4,""0.0%"")&amp;"" (cap ""&amp;TEXT(Method!$B$87,""0%"")&amp;"") · model/market ""&amp;TEXT(IFERROR(INDEX(BC4:BE4,1,AB4)/INDEX(S4:U4,1,AB4),0),""0.0"")&amp;""× (cap ""&amp;TEXT(Method!$B$88,""0.0"")&amp;""×)"",IF(AF4&lt;Method!$B$7,""Price too short — EV ""&amp;TEXT(AF4,""0.0%"""&amp;")&amp;"" (need ""&amp;TEXT(Method!$B$7,""0.0%"")&amp;""+)"",""Model ≈ market — edge ""&amp;TEXT(AG4,""0.0%"")&amp;"" (need ""&amp;TEXT(Method!$B$8,""0.0%"")&amp;""+)"")))))"),"Value found: EV 6.0%, edge 5.1%")</f>
        <v>Value found: EV 6.0%, edge 5.1%</v>
      </c>
      <c r="AU4" s="33" t="str">
        <f t="shared" si="17"/>
        <v>⚠ stake over engine £12</v>
      </c>
      <c r="AV4" s="32" t="str">
        <f>IF(Matchday!O6="","",Matchday!O6)</f>
        <v>H</v>
      </c>
      <c r="AW4" s="75" t="s">
        <v>260</v>
      </c>
      <c r="AX4" s="75">
        <v>12.0</v>
      </c>
      <c r="AY4" s="75" t="s">
        <v>111</v>
      </c>
      <c r="AZ4" s="75" t="str">
        <f t="shared" si="18"/>
        <v>BET</v>
      </c>
      <c r="BA4" s="76">
        <f>IF(AX4&lt;&gt;"",AX4,IF(AH4&lt;&gt;"BET",0,IF(AI4*Method!$B$10/100&lt;Method!$B$9,0,ROUND(AI4*Method!$B$10/100,0))))</f>
        <v>12</v>
      </c>
      <c r="BB4" s="12">
        <v>-27.240000000000002</v>
      </c>
      <c r="BC4" s="12">
        <v>0.6673398112302111</v>
      </c>
      <c r="BD4" s="12">
        <v>0.24134136801347694</v>
      </c>
      <c r="BE4" s="12">
        <v>0.09131882075631186</v>
      </c>
      <c r="BF4" s="14" t="s">
        <v>265</v>
      </c>
      <c r="BG4" s="12">
        <v>76.0</v>
      </c>
      <c r="BH4" s="14" t="s">
        <v>266</v>
      </c>
      <c r="BI4" s="12">
        <v>0.0</v>
      </c>
    </row>
    <row r="5" ht="15.0" customHeight="1">
      <c r="A5" s="32">
        <v>4.0</v>
      </c>
      <c r="B5" s="59">
        <v>46185.0</v>
      </c>
      <c r="C5" s="60" t="s">
        <v>113</v>
      </c>
      <c r="D5" s="61" t="s">
        <v>50</v>
      </c>
      <c r="E5" s="61" t="s">
        <v>51</v>
      </c>
      <c r="F5" s="61" t="s">
        <v>267</v>
      </c>
      <c r="G5" s="62">
        <v>0.75</v>
      </c>
      <c r="H5" s="60" t="s">
        <v>268</v>
      </c>
      <c r="I5" s="63">
        <v>0.4854873211413243</v>
      </c>
      <c r="J5" s="63">
        <v>0.2800986984185976</v>
      </c>
      <c r="K5" s="63">
        <v>0.2344139804400782</v>
      </c>
      <c r="L5" s="64">
        <f>IF(Matchday!E7="","",Matchday!E7)</f>
        <v>2.18</v>
      </c>
      <c r="M5" s="64">
        <f>IF(Matchday!F7="","",Matchday!F7)</f>
        <v>3.3</v>
      </c>
      <c r="N5" s="64">
        <f>IF(Matchday!G7="","",Matchday!G7)</f>
        <v>4.1</v>
      </c>
      <c r="O5" s="65">
        <f t="shared" ref="O5:Q5" si="21">IF(L5="","",1/L5)</f>
        <v>0.4587155963</v>
      </c>
      <c r="P5" s="65">
        <f t="shared" si="21"/>
        <v>0.303030303</v>
      </c>
      <c r="Q5" s="65">
        <f t="shared" si="21"/>
        <v>0.243902439</v>
      </c>
      <c r="R5" s="65">
        <f t="shared" si="4"/>
        <v>1.005648338</v>
      </c>
      <c r="S5" s="65">
        <f t="array" ref="S5">IF($R5="","",IF(Method!$B$56="proportional",O5/$R5,IF(Method!$B$56="power",IFERROR(INDEX(power_devig($L5,$M5,$N5),1,1),O5/$R5),IFERROR(INDEX(shin($L5,$M5,$N5),1,1),O5/$R5))))</f>
        <v>0.4566587959</v>
      </c>
      <c r="T5" s="65">
        <f t="array" ref="T5">IF($R5="","",IF(Method!$B$56="proportional",P5/$R5,IF(Method!$B$56="power",IFERROR(INDEX(power_devig($L5,$M5,$N5),2,1),P5/$R5),IFERROR(INDEX(shin($L5,$M5,$N5),2,1),P5/$R5))))</f>
        <v>0.3011927179</v>
      </c>
      <c r="U5" s="65">
        <f t="array" ref="U5">IF($R5="","",IF(Method!$B$56="proportional",Q5/$R5,IF(Method!$B$56="power",IFERROR(INDEX(power_devig($L5,$M5,$N5),3,1),Q5/$R5),IFERROR(INDEX(shin($L5,$M5,$N5),3,1),Q5/$R5))))</f>
        <v>0.2421484862</v>
      </c>
      <c r="V5" s="65">
        <f>IF(S5="","",Method!$B$4*IF(BC5="",I5,BC5)+(1-Method!$B$4)*S5/($S5+$T5+$U5))</f>
        <v>0.4658509136</v>
      </c>
      <c r="W5" s="65">
        <f>IF(T5="","",Method!$B$4*IF(BD5="",J5,BD5)+(1-Method!$B$4)*T5/($S5+$T5+$U5))</f>
        <v>0.290556992</v>
      </c>
      <c r="X5" s="65">
        <f>IF(U5="","",Method!$B$4*IF(BE5="",K5,BE5)+(1-Method!$B$4)*U5/($S5+$T5+$U5))</f>
        <v>0.2435920944</v>
      </c>
      <c r="Y5" s="66">
        <f t="shared" ref="Y5:AA5" si="22">IF(V5="","",V5*L5-1)</f>
        <v>0.01555499168</v>
      </c>
      <c r="Z5" s="66">
        <f t="shared" si="22"/>
        <v>-0.04116192656</v>
      </c>
      <c r="AA5" s="66">
        <f t="shared" si="22"/>
        <v>-0.001272412821</v>
      </c>
      <c r="AB5" s="67">
        <f t="shared" si="6"/>
        <v>1</v>
      </c>
      <c r="AC5" s="67" t="str">
        <f t="shared" si="7"/>
        <v>H</v>
      </c>
      <c r="AD5" s="68" t="str">
        <f t="shared" si="8"/>
        <v>1  United States</v>
      </c>
      <c r="AE5" s="35">
        <f t="shared" si="9"/>
        <v>2.18</v>
      </c>
      <c r="AF5" s="66">
        <f t="shared" si="10"/>
        <v>0.01555499168</v>
      </c>
      <c r="AG5" s="66">
        <f t="shared" si="11"/>
        <v>0.009192117735</v>
      </c>
      <c r="AH5" s="69" t="str">
        <f t="array" ref="AH5">IF(AB5="","· enter odds",IF(OR(AF5&gt;Method!$B$87,IFERROR(INDEX(BC5:BE5,1,AB5)/INDEX(S5:U5,1,AB5),0)&gt;Method!$B$88),"PASS",IF(AND(AF5&gt;=Method!$B$7,AG5&gt;=Method!$B$8),"BET","PASS")))</f>
        <v>PASS</v>
      </c>
      <c r="AI5" s="70">
        <f>IF(AH5&lt;&gt;"BET",0,ROUND(MIN(Method!$B$6,Method!$B$5*AL5)*100,1))</f>
        <v>0</v>
      </c>
      <c r="AJ5" s="71">
        <f>IF(OR(AH5&lt;&gt;"BET",Method!$B$55=TRUE()),0,IF(AI5*Method!$B$10/100&lt;Method!$B$9,0,ROUND(AI5*Method!$B$10/100,0)))</f>
        <v>0</v>
      </c>
      <c r="AK5" s="65">
        <f t="shared" si="12"/>
        <v>0.4658509136</v>
      </c>
      <c r="AL5" s="65" t="str">
        <f t="shared" si="13"/>
        <v/>
      </c>
      <c r="AM5" s="67" t="str">
        <f t="shared" si="14"/>
        <v/>
      </c>
      <c r="AN5" s="72" t="str">
        <f>IF(Matchday!N7="","",Matchday!N7)</f>
        <v>Y</v>
      </c>
      <c r="AO5" s="64">
        <f>IF(Matchday!P7="","",Matchday!P7)</f>
        <v>2.05</v>
      </c>
      <c r="AP5" s="73">
        <f>IF(Matchday!Q7="","",Matchday!Q7)</f>
        <v>20</v>
      </c>
      <c r="AQ5" s="72" t="str">
        <f>IF(Matchday!R7="","",Matchday!R7)</f>
        <v>H</v>
      </c>
      <c r="AR5" s="74">
        <f t="shared" si="15"/>
        <v>21</v>
      </c>
      <c r="AS5" s="74">
        <f t="shared" si="16"/>
        <v>21.4</v>
      </c>
      <c r="AT5" s="33" t="str">
        <f>IFERROR(__xludf.DUMMYFUNCTION("IF(AB5="""",""Type the 3 odds on the Matchday tab"",IF(Method!$B$55=TRUE(),IF(Method!$B$81=TRUE(),IF(REGEXMATCH(LOWER(Method!$B$63),""circuit""),""🛑 PAUSED — circuit breaker upstream; wait for a clean live refresh."",IF(REGEXMATCH(LOWER(Method!$B$63),""p"&amp;"ipeline""),""🛑 PAUSED — live pipeline warning; check Live!B11/Method!B62 before betting."",IF(REGEXMATCH(LOWER(Method!$B$63),""missing""),""🛑 PAUSED — feed timestamp missing; refresh feed before betting."",""🛑 PAUSED — feed stale &gt; 25 min — check Live "&amp;"tab;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overr"&amp;"ide stale/circuit-breaker/pipeline pauses."")),IF(AH5=""BET"",IF(AJ5=0,""Edge found but stake rounds under £""&amp;Method!$B$9&amp;"" — skip"",IF(AND(AE5&gt;=6,AG5&gt;=0.15),""🟡 WAIT — long-shot review: odds ""&amp;TEXT(AE5,""0.00"")&amp;"" + edge ""&amp;TEXT(AG5,""0.0%"")&amp;"" — v"&amp;"erify sharp-book + team news + stake comfort before Placed=Y"",""Value found: EV ""&amp;TEXT(AF5,""0.0%"")&amp;"", edge ""&amp;TEXT(AG5,""0.0%""))),IF(OR(AF5&gt;Method!$B$87,IFERROR(INDEX(BC5:BE5,1,AB5)/INDEX(S5:U5,1,AB5),0)&gt;Method!$B$88),""🛑 Tail trap — auto-PASS · EV"&amp;" ""&amp;TEXT(AF5,""0.0%"")&amp;"" (cap ""&amp;TEXT(Method!$B$87,""0%"")&amp;"") · model/market ""&amp;TEXT(IFERROR(INDEX(BC5:BE5,1,AB5)/INDEX(S5:U5,1,AB5),0),""0.0"")&amp;""× (cap ""&amp;TEXT(Method!$B$88,""0.0"")&amp;""×)"",IF(AF5&lt;Method!$B$7,""Price too short — EV ""&amp;TEXT(AF5,""0.0%"""&amp;")&amp;"" (need ""&amp;TEXT(Method!$B$7,""0.0%"")&amp;""+)"",""Model ≈ market — edge ""&amp;TEXT(AG5,""0.0%"")&amp;"" (need ""&amp;TEXT(Method!$B$8,""0.0%"")&amp;""+)"")))))"),"Price too short — EV 1.6% (need 2.5%+)")</f>
        <v>Price too short — EV 1.6% (need 2.5%+)</v>
      </c>
      <c r="AU5" s="33" t="str">
        <f t="shared" si="17"/>
        <v>⚠ FUN BET — engine said pass · staked £20 vs engine £0</v>
      </c>
      <c r="AV5" s="32" t="str">
        <f>IF(Matchday!O7="","",Matchday!O7)</f>
        <v>H</v>
      </c>
      <c r="AW5" s="75" t="s">
        <v>126</v>
      </c>
      <c r="AX5" s="75">
        <v>0.0</v>
      </c>
      <c r="AY5" s="75" t="s">
        <v>111</v>
      </c>
      <c r="AZ5" s="75" t="str">
        <f t="shared" si="18"/>
        <v>PASS</v>
      </c>
      <c r="BA5" s="76">
        <f>IF(AX5&lt;&gt;"",AX5,IF(AH5&lt;&gt;"BET",0,IF(AI5*Method!$B$10/100&lt;Method!$B$9,0,ROUND(AI5*Method!$B$10/100,0))))</f>
        <v>0</v>
      </c>
      <c r="BB5" s="12">
        <v>-56.010000000000005</v>
      </c>
      <c r="BC5" s="12">
        <v>0.4829219894090166</v>
      </c>
      <c r="BD5" s="12">
        <v>0.27080492945510515</v>
      </c>
      <c r="BE5" s="12">
        <v>0.24627308113587817</v>
      </c>
      <c r="BF5" s="14" t="s">
        <v>269</v>
      </c>
      <c r="BG5" s="12">
        <v>30.0</v>
      </c>
      <c r="BH5" s="14" t="s">
        <v>270</v>
      </c>
      <c r="BI5" s="12">
        <v>0.0</v>
      </c>
    </row>
    <row r="6" ht="15.0" customHeight="1">
      <c r="A6" s="32">
        <v>5.0</v>
      </c>
      <c r="B6" s="59">
        <v>46186.0</v>
      </c>
      <c r="C6" s="60" t="s">
        <v>263</v>
      </c>
      <c r="D6" s="61" t="s">
        <v>52</v>
      </c>
      <c r="E6" s="61" t="s">
        <v>53</v>
      </c>
      <c r="F6" s="61" t="s">
        <v>271</v>
      </c>
      <c r="G6" s="62">
        <v>0.5</v>
      </c>
      <c r="H6" s="62">
        <v>0.8333333333321207</v>
      </c>
      <c r="I6" s="63">
        <v>0.07585286982916385</v>
      </c>
      <c r="J6" s="63">
        <v>0.197894430187124</v>
      </c>
      <c r="K6" s="63">
        <v>0.7262526999837122</v>
      </c>
      <c r="L6" s="64">
        <f>IF(Matchday!E8="","",Matchday!E8)</f>
        <v>14</v>
      </c>
      <c r="M6" s="64">
        <f>IF(Matchday!F8="","",Matchday!F8)</f>
        <v>7.5</v>
      </c>
      <c r="N6" s="64">
        <f>IF(Matchday!G8="","",Matchday!G8)</f>
        <v>1.2</v>
      </c>
      <c r="O6" s="65">
        <f t="shared" ref="O6:Q6" si="23">IF(L6="","",1/L6)</f>
        <v>0.07142857143</v>
      </c>
      <c r="P6" s="65">
        <f t="shared" si="23"/>
        <v>0.1333333333</v>
      </c>
      <c r="Q6" s="65">
        <f t="shared" si="23"/>
        <v>0.8333333333</v>
      </c>
      <c r="R6" s="65">
        <f t="shared" si="4"/>
        <v>1.038095238</v>
      </c>
      <c r="S6" s="65">
        <f t="array" ref="S6">IF($R6="","",IF(Method!$B$56="proportional",O6/$R6,IF(Method!$B$56="power",IFERROR(INDEX(power_devig($L6,$M6,$N6),1,1),O6/$R6),IFERROR(INDEX(shin($L6,$M6,$N6),1,1),O6/$R6))))</f>
        <v>0.06143925795</v>
      </c>
      <c r="T6" s="65">
        <f t="array" ref="T6">IF($R6="","",IF(Method!$B$56="proportional",P6/$R6,IF(Method!$B$56="power",IFERROR(INDEX(power_devig($L6,$M6,$N6),2,1),P6/$R6),IFERROR(INDEX(shin($L6,$M6,$N6),2,1),P6/$R6))))</f>
        <v>0.1224768346</v>
      </c>
      <c r="U6" s="65">
        <f t="array" ref="U6">IF($R6="","",IF(Method!$B$56="proportional",Q6/$R6,IF(Method!$B$56="power",IFERROR(INDEX(power_devig($L6,$M6,$N6),3,1),Q6/$R6),IFERROR(INDEX(shin($L6,$M6,$N6),3,1),Q6/$R6))))</f>
        <v>0.8160839075</v>
      </c>
      <c r="V6" s="65">
        <f>IF(S6="","",Method!$B$4*IF(BC6="",I6,BC6)+(1-Method!$B$4)*S6/($S6+$T6+$U6))</f>
        <v>0.06642999103</v>
      </c>
      <c r="W6" s="65">
        <f>IF(T6="","",Method!$B$4*IF(BD6="",J6,BD6)+(1-Method!$B$4)*T6/($S6+$T6+$U6))</f>
        <v>0.1561512153</v>
      </c>
      <c r="X6" s="65">
        <f>IF(U6="","",Method!$B$4*IF(BE6="",K6,BE6)+(1-Method!$B$4)*U6/($S6+$T6+$U6))</f>
        <v>0.7774187936</v>
      </c>
      <c r="Y6" s="66">
        <f t="shared" ref="Y6:AA6" si="24">IF(V6="","",V6*L6-1)</f>
        <v>-0.06998012554</v>
      </c>
      <c r="Z6" s="66">
        <f t="shared" si="24"/>
        <v>0.171134115</v>
      </c>
      <c r="AA6" s="66">
        <f t="shared" si="24"/>
        <v>-0.06709744763</v>
      </c>
      <c r="AB6" s="67">
        <f t="shared" si="6"/>
        <v>2</v>
      </c>
      <c r="AC6" s="67" t="str">
        <f t="shared" si="7"/>
        <v>D</v>
      </c>
      <c r="AD6" s="68" t="str">
        <f t="shared" si="8"/>
        <v>X  Draw</v>
      </c>
      <c r="AE6" s="35">
        <f t="shared" si="9"/>
        <v>7.5</v>
      </c>
      <c r="AF6" s="66">
        <f t="shared" si="10"/>
        <v>0.171134115</v>
      </c>
      <c r="AG6" s="66">
        <f t="shared" si="11"/>
        <v>0.03367438076</v>
      </c>
      <c r="AH6" s="69" t="str">
        <f t="array" ref="AH6">IF(AB6="","· enter odds",IF(OR(AF6&gt;Method!$B$87,IFERROR(INDEX(BC6:BE6,1,AB6)/INDEX(S6:U6,1,AB6),0)&gt;Method!$B$88),"PASS",IF(AND(AF6&gt;=Method!$B$7,AG6&gt;=Method!$B$8),"BET","PASS")))</f>
        <v>BET</v>
      </c>
      <c r="AI6" s="70">
        <f>IF(AH6&lt;&gt;"BET",0,ROUND(MIN(Method!$B$6,Method!$B$5*AL6)*100,1))</f>
        <v>0.7</v>
      </c>
      <c r="AJ6" s="71">
        <f>IF(OR(AH6&lt;&gt;"BET",Method!$B$55=TRUE()),0,IF(AI6*Method!$B$10/100&lt;Method!$B$9,0,ROUND(AI6*Method!$B$10/100,0)))</f>
        <v>7</v>
      </c>
      <c r="AK6" s="65">
        <f t="shared" si="12"/>
        <v>0.1561512153</v>
      </c>
      <c r="AL6" s="65">
        <f t="shared" si="13"/>
        <v>0.02632832538</v>
      </c>
      <c r="AM6" s="66">
        <f t="shared" si="14"/>
        <v>0.171139115</v>
      </c>
      <c r="AN6" s="72" t="str">
        <f>IF(Matchday!N8="","",Matchday!N8)</f>
        <v>Y</v>
      </c>
      <c r="AO6" s="64">
        <f>IF(Matchday!P8="","",Matchday!P8)</f>
        <v>7.5</v>
      </c>
      <c r="AP6" s="73">
        <f>IF(Matchday!Q8="","",Matchday!Q8)</f>
        <v>20</v>
      </c>
      <c r="AQ6" s="72" t="str">
        <f>IF(Matchday!R8="","",Matchday!R8)</f>
        <v>D</v>
      </c>
      <c r="AR6" s="74">
        <f t="shared" si="15"/>
        <v>-20</v>
      </c>
      <c r="AS6" s="74">
        <f t="shared" si="16"/>
        <v>1.4</v>
      </c>
      <c r="AT6" s="33" t="str">
        <f>IFERROR(__xludf.DUMMYFUNCTION("IF(AB6="""",""Type the 3 odds on the Matchday tab"",IF(Method!$B$55=TRUE(),IF(Method!$B$81=TRUE(),IF(REGEXMATCH(LOWER(Method!$B$63),""circuit""),""🛑 PAUSED — circuit breaker upstream; wait for a clean live refresh."",IF(REGEXMATCH(LOWER(Method!$B$63),""p"&amp;"ipeline""),""🛑 PAUSED — live pipeline warning; check Live!B11/Method!B62 before betting."",IF(REGEXMATCH(LOWER(Method!$B$63),""missing""),""🛑 PAUSED — feed timestamp missing; refresh feed before betting."",""🛑 PAUSED — feed stale &gt; 25 min — check Live "&amp;"tab;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overr"&amp;"ide stale/circuit-breaker/pipeline pauses."")),IF(AH6=""BET"",IF(AJ6=0,""Edge found but stake rounds under £""&amp;Method!$B$9&amp;"" — skip"",IF(AND(AE6&gt;=6,AG6&gt;=0.15),""🟡 WAIT — long-shot review: odds ""&amp;TEXT(AE6,""0.00"")&amp;"" + edge ""&amp;TEXT(AG6,""0.0%"")&amp;"" — v"&amp;"erify sharp-book + team news + stake comfort before Placed=Y"",""Value found: EV ""&amp;TEXT(AF6,""0.0%"")&amp;"", edge ""&amp;TEXT(AG6,""0.0%""))),IF(OR(AF6&gt;Method!$B$87,IFERROR(INDEX(BC6:BE6,1,AB6)/INDEX(S6:U6,1,AB6),0)&gt;Method!$B$88),""🛑 Tail trap — auto-PASS · EV"&amp;" ""&amp;TEXT(AF6,""0.0%"")&amp;"" (cap ""&amp;TEXT(Method!$B$87,""0%"")&amp;"") · model/market ""&amp;TEXT(IFERROR(INDEX(BC6:BE6,1,AB6)/INDEX(S6:U6,1,AB6),0),""0.0"")&amp;""× (cap ""&amp;TEXT(Method!$B$88,""0.0"")&amp;""×)"",IF(AF6&lt;Method!$B$7,""Price too short — EV ""&amp;TEXT(AF6,""0.0%"""&amp;")&amp;"" (need ""&amp;TEXT(Method!$B$7,""0.0%"")&amp;""+)"",""Model ≈ market — edge ""&amp;TEXT(AG6,""0.0%"")&amp;"" (need ""&amp;TEXT(Method!$B$8,""0.0%"")&amp;""+)"")))))"),"Value found: EV 17.1%, edge 3.4%")</f>
        <v>Value found: EV 17.1%, edge 3.4%</v>
      </c>
      <c r="AU6" s="33" t="str">
        <f t="shared" si="17"/>
        <v>⚠ FUN BET — engine said pass · staked £20 vs engine £0</v>
      </c>
      <c r="AV6" s="32" t="str">
        <f>IF(Matchday!O8="","",Matchday!O8)</f>
        <v>A</v>
      </c>
      <c r="AW6" s="75" t="s">
        <v>126</v>
      </c>
      <c r="AX6" s="75">
        <v>0.0</v>
      </c>
      <c r="AY6" s="75" t="s">
        <v>113</v>
      </c>
      <c r="AZ6" s="75" t="str">
        <f t="shared" si="18"/>
        <v>PASS</v>
      </c>
      <c r="BA6" s="76">
        <f>IF(AX6&lt;&gt;"",AX6,IF(AH6&lt;&gt;"BET",0,IF(AI6*Method!$B$10/100&lt;Method!$B$9,0,ROUND(AI6*Method!$B$10/100,0))))</f>
        <v>0</v>
      </c>
      <c r="BB6" s="12">
        <v>-53.4</v>
      </c>
      <c r="BC6" s="12">
        <v>0.07569849533048185</v>
      </c>
      <c r="BD6" s="12">
        <v>0.21868935103306186</v>
      </c>
      <c r="BE6" s="12">
        <v>0.7056121536364564</v>
      </c>
      <c r="BF6" s="14" t="s">
        <v>272</v>
      </c>
      <c r="BG6" s="12">
        <v>8.0</v>
      </c>
      <c r="BH6" s="14" t="s">
        <v>273</v>
      </c>
      <c r="BI6" s="12">
        <v>0.0</v>
      </c>
    </row>
    <row r="7" ht="15.0" customHeight="1">
      <c r="A7" s="32">
        <v>6.0</v>
      </c>
      <c r="B7" s="59">
        <v>46186.0</v>
      </c>
      <c r="C7" s="60" t="s">
        <v>274</v>
      </c>
      <c r="D7" s="61" t="s">
        <v>54</v>
      </c>
      <c r="E7" s="61" t="s">
        <v>55</v>
      </c>
      <c r="F7" s="61" t="s">
        <v>275</v>
      </c>
      <c r="G7" s="62">
        <v>0.75</v>
      </c>
      <c r="H7" s="62">
        <v>0.9583333333321207</v>
      </c>
      <c r="I7" s="63">
        <v>0.45124667574075</v>
      </c>
      <c r="J7" s="63">
        <v>0.291363592878976</v>
      </c>
      <c r="K7" s="63">
        <v>0.2573897313802741</v>
      </c>
      <c r="L7" s="64">
        <f>IF(Matchday!E9="","",Matchday!E9)</f>
        <v>1.7</v>
      </c>
      <c r="M7" s="64">
        <f>IF(Matchday!F9="","",Matchday!F9)</f>
        <v>3.75</v>
      </c>
      <c r="N7" s="64">
        <f>IF(Matchday!G9="","",Matchday!G9)</f>
        <v>5.5</v>
      </c>
      <c r="O7" s="65">
        <f t="shared" ref="O7:Q7" si="25">IF(L7="","",1/L7)</f>
        <v>0.5882352941</v>
      </c>
      <c r="P7" s="65">
        <f t="shared" si="25"/>
        <v>0.2666666667</v>
      </c>
      <c r="Q7" s="65">
        <f t="shared" si="25"/>
        <v>0.1818181818</v>
      </c>
      <c r="R7" s="65">
        <f t="shared" si="4"/>
        <v>1.036720143</v>
      </c>
      <c r="S7" s="65">
        <f t="array" ref="S7">IF($R7="","",IF(Method!$B$56="proportional",O7/$R7,IF(Method!$B$56="power",IFERROR(INDEX(power_devig($L7,$M7,$N7),1,1),O7/$R7),IFERROR(INDEX(shin($L7,$M7,$N7),1,1),O7/$R7))))</f>
        <v>0.5738030268</v>
      </c>
      <c r="T7" s="65">
        <f t="array" ref="T7">IF($R7="","",IF(Method!$B$56="proportional",P7/$R7,IF(Method!$B$56="power",IFERROR(INDEX(power_devig($L7,$M7,$N7),2,1),P7/$R7),IFERROR(INDEX(shin($L7,$M7,$N7),2,1),P7/$R7))))</f>
        <v>0.2551156851</v>
      </c>
      <c r="U7" s="65">
        <f t="array" ref="U7">IF($R7="","",IF(Method!$B$56="proportional",Q7/$R7,IF(Method!$B$56="power",IFERROR(INDEX(power_devig($L7,$M7,$N7),3,1),Q7/$R7),IFERROR(INDEX(shin($L7,$M7,$N7),3,1),Q7/$R7))))</f>
        <v>0.1710812881</v>
      </c>
      <c r="V7" s="65">
        <f>IF(S7="","",Method!$B$4*IF(BC7="",I7,BC7)+(1-Method!$B$4)*S7/($S7+$T7+$U7))</f>
        <v>0.5329364276</v>
      </c>
      <c r="W7" s="65">
        <f>IF(T7="","",Method!$B$4*IF(BD7="",J7,BD7)+(1-Method!$B$4)*T7/($S7+$T7+$U7))</f>
        <v>0.2592491835</v>
      </c>
      <c r="X7" s="65">
        <f>IF(U7="","",Method!$B$4*IF(BE7="",K7,BE7)+(1-Method!$B$4)*U7/($S7+$T7+$U7))</f>
        <v>0.2078143889</v>
      </c>
      <c r="Y7" s="66">
        <f t="shared" ref="Y7:AA7" si="26">IF(V7="","",V7*L7-1)</f>
        <v>-0.09400807311</v>
      </c>
      <c r="Z7" s="66">
        <f t="shared" si="26"/>
        <v>-0.02781556174</v>
      </c>
      <c r="AA7" s="66">
        <f t="shared" si="26"/>
        <v>0.1429791389</v>
      </c>
      <c r="AB7" s="67">
        <f t="shared" si="6"/>
        <v>3</v>
      </c>
      <c r="AC7" s="67" t="str">
        <f t="shared" si="7"/>
        <v>A</v>
      </c>
      <c r="AD7" s="68" t="str">
        <f t="shared" si="8"/>
        <v>2  Morocco</v>
      </c>
      <c r="AE7" s="35">
        <f t="shared" si="9"/>
        <v>5.5</v>
      </c>
      <c r="AF7" s="66">
        <f t="shared" si="10"/>
        <v>0.1429791389</v>
      </c>
      <c r="AG7" s="66">
        <f t="shared" si="11"/>
        <v>0.03673310076</v>
      </c>
      <c r="AH7" s="69" t="str">
        <f t="array" ref="AH7">IF(AB7="","· enter odds",IF(OR(AF7&gt;Method!$B$87,IFERROR(INDEX(BC7:BE7,1,AB7)/INDEX(S7:U7,1,AB7),0)&gt;Method!$B$88),"PASS",IF(AND(AF7&gt;=Method!$B$7,AG7&gt;=Method!$B$8),"BET","PASS")))</f>
        <v>BET</v>
      </c>
      <c r="AI7" s="70">
        <f>IF(AH7&lt;&gt;"BET",0,ROUND(MIN(Method!$B$6,Method!$B$5*AL7)*100,1))</f>
        <v>0.8</v>
      </c>
      <c r="AJ7" s="71">
        <f>IF(OR(AH7&lt;&gt;"BET",Method!$B$55=TRUE()),0,IF(AI7*Method!$B$10/100&lt;Method!$B$9,0,ROUND(AI7*Method!$B$10/100,0)))</f>
        <v>8</v>
      </c>
      <c r="AK7" s="65">
        <f t="shared" si="12"/>
        <v>0.2078143889</v>
      </c>
      <c r="AL7" s="65">
        <f t="shared" si="13"/>
        <v>0.03177314197</v>
      </c>
      <c r="AM7" s="66">
        <f t="shared" si="14"/>
        <v>0.1429851389</v>
      </c>
      <c r="AN7" s="72" t="str">
        <f>IF(Matchday!N9="","",Matchday!N9)</f>
        <v>Y</v>
      </c>
      <c r="AO7" s="64">
        <f>IF(Matchday!P9="","",Matchday!P9)</f>
        <v>1.68</v>
      </c>
      <c r="AP7" s="73">
        <f>IF(Matchday!Q9="","",Matchday!Q9)</f>
        <v>30</v>
      </c>
      <c r="AQ7" s="72" t="str">
        <f>IF(Matchday!R9="","",Matchday!R9)</f>
        <v>D</v>
      </c>
      <c r="AR7" s="74">
        <f t="shared" si="15"/>
        <v>-30</v>
      </c>
      <c r="AS7" s="74">
        <f t="shared" si="16"/>
        <v>-28.6</v>
      </c>
      <c r="AT7" s="33" t="str">
        <f>IFERROR(__xludf.DUMMYFUNCTION("IF(AB7="""",""Type the 3 odds on the Matchday tab"",IF(Method!$B$55=TRUE(),IF(Method!$B$81=TRUE(),IF(REGEXMATCH(LOWER(Method!$B$63),""circuit""),""🛑 PAUSED — circuit breaker upstream; wait for a clean live refresh."",IF(REGEXMATCH(LOWER(Method!$B$63),""p"&amp;"ipeline""),""🛑 PAUSED — live pipeline warning; check Live!B11/Method!B62 before betting."",IF(REGEXMATCH(LOWER(Method!$B$63),""missing""),""🛑 PAUSED — feed timestamp missing; refresh feed before betting."",""🛑 PAUSED — feed stale &gt; 25 min — check Live "&amp;"tab;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overr"&amp;"ide stale/circuit-breaker/pipeline pauses."")),IF(AH7=""BET"",IF(AJ7=0,""Edge found but stake rounds under £""&amp;Method!$B$9&amp;"" — skip"",IF(AND(AE7&gt;=6,AG7&gt;=0.15),""🟡 WAIT — long-shot review: odds ""&amp;TEXT(AE7,""0.00"")&amp;"" + edge ""&amp;TEXT(AG7,""0.0%"")&amp;"" — v"&amp;"erify sharp-book + team news + stake comfort before Placed=Y"",""Value found: EV ""&amp;TEXT(AF7,""0.0%"")&amp;"", edge ""&amp;TEXT(AG7,""0.0%""))),IF(OR(AF7&gt;Method!$B$87,IFERROR(INDEX(BC7:BE7,1,AB7)/INDEX(S7:U7,1,AB7),0)&gt;Method!$B$88),""🛑 Tail trap — auto-PASS · EV"&amp;" ""&amp;TEXT(AF7,""0.0%"")&amp;"" (cap ""&amp;TEXT(Method!$B$87,""0%"")&amp;"") · model/market ""&amp;TEXT(IFERROR(INDEX(BC7:BE7,1,AB7)/INDEX(S7:U7,1,AB7),0),""0.0"")&amp;""× (cap ""&amp;TEXT(Method!$B$88,""0.0"")&amp;""×)"",IF(AF7&lt;Method!$B$7,""Price too short — EV ""&amp;TEXT(AF7,""0.0%"""&amp;")&amp;"" (need ""&amp;TEXT(Method!$B$7,""0.0%"")&amp;""+)"",""Model ≈ market — edge ""&amp;TEXT(AG7,""0.0%"")&amp;"" (need ""&amp;TEXT(Method!$B$8,""0.0%"")&amp;""+)"")))))"),"Value found: EV 14.3%, edge 3.7%")</f>
        <v>Value found: EV 14.3%, edge 3.7%</v>
      </c>
      <c r="AU7" s="33" t="str">
        <f t="shared" si="17"/>
        <v>⚠ backed H but engine pick was A</v>
      </c>
      <c r="AV7" s="32" t="str">
        <f>IF(Matchday!O9="","",Matchday!O9)</f>
        <v>H</v>
      </c>
      <c r="AW7" s="75" t="s">
        <v>260</v>
      </c>
      <c r="AX7" s="75">
        <v>5.0</v>
      </c>
      <c r="AY7" s="75" t="s">
        <v>112</v>
      </c>
      <c r="AZ7" s="75" t="str">
        <f t="shared" si="18"/>
        <v>BET</v>
      </c>
      <c r="BA7" s="76">
        <f>IF(AX7&lt;&gt;"",AX7,IF(AH7&lt;&gt;"BET",0,IF(AI7*Method!$B$10/100&lt;Method!$B$9,0,ROUND(AI7*Method!$B$10/100,0))))</f>
        <v>5</v>
      </c>
      <c r="BB7" s="12">
        <v>-23.53</v>
      </c>
      <c r="BC7" s="12">
        <v>0.4570413147270225</v>
      </c>
      <c r="BD7" s="12">
        <v>0.2669256806877941</v>
      </c>
      <c r="BE7" s="12">
        <v>0.27603300458518343</v>
      </c>
      <c r="BF7" s="14" t="s">
        <v>276</v>
      </c>
      <c r="BG7" s="12">
        <v>7.0</v>
      </c>
      <c r="BH7" s="14" t="s">
        <v>262</v>
      </c>
      <c r="BI7" s="12">
        <v>0.0</v>
      </c>
    </row>
    <row r="8" ht="15.0" customHeight="1">
      <c r="A8" s="32">
        <v>7.0</v>
      </c>
      <c r="B8" s="59">
        <v>46186.0</v>
      </c>
      <c r="C8" s="60" t="s">
        <v>274</v>
      </c>
      <c r="D8" s="61" t="s">
        <v>56</v>
      </c>
      <c r="E8" s="61" t="s">
        <v>57</v>
      </c>
      <c r="F8" s="61" t="s">
        <v>277</v>
      </c>
      <c r="G8" s="62">
        <v>0.875</v>
      </c>
      <c r="H8" s="60" t="s">
        <v>268</v>
      </c>
      <c r="I8" s="63">
        <v>0.2111215650266093</v>
      </c>
      <c r="J8" s="63">
        <v>0.2688989237842374</v>
      </c>
      <c r="K8" s="63">
        <v>0.5199795111891531</v>
      </c>
      <c r="L8" s="64">
        <f>IF(Matchday!E10="","",Matchday!E10)</f>
        <v>6</v>
      </c>
      <c r="M8" s="64">
        <f>IF(Matchday!F10="","",Matchday!F10)</f>
        <v>4.5</v>
      </c>
      <c r="N8" s="64">
        <f>IF(Matchday!G10="","",Matchday!G10)</f>
        <v>0.53</v>
      </c>
      <c r="O8" s="65">
        <f t="shared" ref="O8:Q8" si="27">IF(L8="","",1/L8)</f>
        <v>0.1666666667</v>
      </c>
      <c r="P8" s="65">
        <f t="shared" si="27"/>
        <v>0.2222222222</v>
      </c>
      <c r="Q8" s="65">
        <f t="shared" si="27"/>
        <v>1.886792453</v>
      </c>
      <c r="R8" s="65">
        <f t="shared" si="4"/>
        <v>2.275681342</v>
      </c>
      <c r="S8" s="65">
        <f t="array" ref="S8">IF($R8="","",IF(Method!$B$56="proportional",O8/$R8,IF(Method!$B$56="power",IFERROR(INDEX(power_devig($L8,$M8,$N8),1,1),O8/$R8),IFERROR(INDEX(shin($L8,$M8,$N8),1,1),O8/$R8))))</f>
        <v>0.07323813911</v>
      </c>
      <c r="T8" s="65">
        <f t="array" ref="T8">IF($R8="","",IF(Method!$B$56="proportional",P8/$R8,IF(Method!$B$56="power",IFERROR(INDEX(power_devig($L8,$M8,$N8),2,1),P8/$R8),IFERROR(INDEX(shin($L8,$M8,$N8),2,1),P8/$R8))))</f>
        <v>0.09765085214</v>
      </c>
      <c r="U8" s="65">
        <f t="array" ref="U8">IF($R8="","",IF(Method!$B$56="proportional",Q8/$R8,IF(Method!$B$56="power",IFERROR(INDEX(power_devig($L8,$M8,$N8),3,1),Q8/$R8),IFERROR(INDEX(shin($L8,$M8,$N8),3,1),Q8/$R8))))</f>
        <v>0.8291110088</v>
      </c>
      <c r="V8" s="65">
        <f>IF(S8="","",Method!$B$4*IF(BC8="",I8,BC8)+(1-Method!$B$4)*S8/($S8+$T8+$U8))</f>
        <v>0.11617321</v>
      </c>
      <c r="W8" s="65">
        <f>IF(T8="","",Method!$B$4*IF(BD8="",J8,BD8)+(1-Method!$B$4)*T8/($S8+$T8+$U8))</f>
        <v>0.1612819249</v>
      </c>
      <c r="X8" s="65">
        <f>IF(U8="","",Method!$B$4*IF(BE8="",K8,BE8)+(1-Method!$B$4)*U8/($S8+$T8+$U8))</f>
        <v>0.7225448651</v>
      </c>
      <c r="Y8" s="66">
        <f t="shared" ref="Y8:AA8" si="28">IF(V8="","",V8*L8-1)</f>
        <v>-0.30296074</v>
      </c>
      <c r="Z8" s="66">
        <f t="shared" si="28"/>
        <v>-0.274231338</v>
      </c>
      <c r="AA8" s="66">
        <f t="shared" si="28"/>
        <v>-0.6170512215</v>
      </c>
      <c r="AB8" s="67">
        <f t="shared" si="6"/>
        <v>2</v>
      </c>
      <c r="AC8" s="67" t="str">
        <f t="shared" si="7"/>
        <v>D</v>
      </c>
      <c r="AD8" s="68" t="str">
        <f t="shared" si="8"/>
        <v>X  Draw</v>
      </c>
      <c r="AE8" s="35">
        <f t="shared" si="9"/>
        <v>4.5</v>
      </c>
      <c r="AF8" s="66">
        <f t="shared" si="10"/>
        <v>-0.274231338</v>
      </c>
      <c r="AG8" s="66">
        <f t="shared" si="11"/>
        <v>0.06363107274</v>
      </c>
      <c r="AH8" s="69" t="str">
        <f t="array" ref="AH8">IF(AB8="","· enter odds",IF(OR(AF8&gt;Method!$B$87,IFERROR(INDEX(BC8:BE8,1,AB8)/INDEX(S8:U8,1,AB8),0)&gt;Method!$B$88),"PASS",IF(AND(AF8&gt;=Method!$B$7,AG8&gt;=Method!$B$8),"BET","PASS")))</f>
        <v>PASS</v>
      </c>
      <c r="AI8" s="70">
        <f>IF(AH8&lt;&gt;"BET",0,ROUND(MIN(Method!$B$6,Method!$B$5*AL8)*100,1))</f>
        <v>0</v>
      </c>
      <c r="AJ8" s="71">
        <f>IF(OR(AH8&lt;&gt;"BET",Method!$B$55=TRUE()),0,IF(AI8*Method!$B$10/100&lt;Method!$B$9,0,ROUND(AI8*Method!$B$10/100,0)))</f>
        <v>0</v>
      </c>
      <c r="AK8" s="65">
        <f t="shared" si="12"/>
        <v>0.1612819249</v>
      </c>
      <c r="AL8" s="65" t="str">
        <f t="shared" si="13"/>
        <v/>
      </c>
      <c r="AM8" s="67" t="str">
        <f t="shared" si="14"/>
        <v/>
      </c>
      <c r="AN8" s="72" t="str">
        <f>IF(Matchday!N10="","",Matchday!N10)</f>
        <v>N</v>
      </c>
      <c r="AO8" s="64" t="str">
        <f>IF(Matchday!P10="","",Matchday!P10)</f>
        <v/>
      </c>
      <c r="AP8" s="73" t="str">
        <f>IF(Matchday!Q10="","",Matchday!Q10)</f>
        <v/>
      </c>
      <c r="AQ8" s="72" t="str">
        <f>IF(Matchday!R10="","",Matchday!R10)</f>
        <v>A</v>
      </c>
      <c r="AR8" s="74" t="str">
        <f t="shared" si="15"/>
        <v/>
      </c>
      <c r="AS8" s="74" t="str">
        <f t="shared" si="16"/>
        <v/>
      </c>
      <c r="AT8" s="33" t="str">
        <f>IFERROR(__xludf.DUMMYFUNCTION("IF(AB8="""",""Type the 3 odds on the Matchday tab"",IF(Method!$B$55=TRUE(),IF(Method!$B$81=TRUE(),IF(REGEXMATCH(LOWER(Method!$B$63),""circuit""),""🛑 PAUSED — circuit breaker upstream; wait for a clean live refresh."",IF(REGEXMATCH(LOWER(Method!$B$63),""p"&amp;"ipeline""),""🛑 PAUSED — live pipeline warning; check Live!B11/Method!B62 before betting."",IF(REGEXMATCH(LOWER(Method!$B$63),""missing""),""🛑 PAUSED — feed timestamp missing; refresh feed before betting."",""🛑 PAUSED — feed stale &gt; 25 min — check Live "&amp;"tab;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overr"&amp;"ide stale/circuit-breaker/pipeline pauses."")),IF(AH8=""BET"",IF(AJ8=0,""Edge found but stake rounds under £""&amp;Method!$B$9&amp;"" — skip"",IF(AND(AE8&gt;=6,AG8&gt;=0.15),""🟡 WAIT — long-shot review: odds ""&amp;TEXT(AE8,""0.00"")&amp;"" + edge ""&amp;TEXT(AG8,""0.0%"")&amp;"" — v"&amp;"erify sharp-book + team news + stake comfort before Placed=Y"",""Value found: EV ""&amp;TEXT(AF8,""0.0%"")&amp;"", edge ""&amp;TEXT(AG8,""0.0%""))),IF(OR(AF8&gt;Method!$B$87,IFERROR(INDEX(BC8:BE8,1,AB8)/INDEX(S8:U8,1,AB8),0)&gt;Method!$B$88),""🛑 Tail trap — auto-PASS · EV"&amp;" ""&amp;TEXT(AF8,""0.0%"")&amp;"" (cap ""&amp;TEXT(Method!$B$87,""0%"")&amp;"") · model/market ""&amp;TEXT(IFERROR(INDEX(BC8:BE8,1,AB8)/INDEX(S8:U8,1,AB8),0),""0.0"")&amp;""× (cap ""&amp;TEXT(Method!$B$88,""0.0"")&amp;""×)"",IF(AF8&lt;Method!$B$7,""Price too short — EV ""&amp;TEXT(AF8,""0.0%"""&amp;")&amp;"" (need ""&amp;TEXT(Method!$B$7,""0.0%"")&amp;""+)"",""Model ≈ market — edge ""&amp;TEXT(AG8,""0.0%"")&amp;"" (need ""&amp;TEXT(Method!$B$8,""0.0%"")&amp;""+)"")))))"),"🛑 Tail trap — auto-PASS · EV -27.4% (cap 30%) · model/market 2.9× (cap 2.5×)")</f>
        <v>🛑 Tail trap — auto-PASS · EV -27.4% (cap 30%) · model/market 2.9× (cap 2.5×)</v>
      </c>
      <c r="AU8" s="33" t="str">
        <f t="shared" si="17"/>
        <v/>
      </c>
      <c r="AV8" s="32" t="str">
        <f>IF(Matchday!O10="","",Matchday!O10)</f>
        <v/>
      </c>
      <c r="AW8" s="75"/>
      <c r="AX8" s="75"/>
      <c r="AY8" s="75"/>
      <c r="AZ8" s="75" t="str">
        <f t="shared" si="18"/>
        <v>PASS</v>
      </c>
      <c r="BA8" s="76">
        <f>IF(AX8&lt;&gt;"",AX8,IF(AH8&lt;&gt;"BET",0,IF(AI8*Method!$B$10/100&lt;Method!$B$9,0,ROUND(AI8*Method!$B$10/100,0))))</f>
        <v>0</v>
      </c>
      <c r="BB8" s="12">
        <v>-11.280000000000001</v>
      </c>
      <c r="BC8" s="12">
        <v>0.19590977023207762</v>
      </c>
      <c r="BD8" s="12">
        <v>0.2794539171032581</v>
      </c>
      <c r="BE8" s="12">
        <v>0.5246363126646642</v>
      </c>
      <c r="BF8" s="14" t="s">
        <v>278</v>
      </c>
      <c r="BG8" s="12">
        <v>40.0</v>
      </c>
      <c r="BH8" s="14" t="s">
        <v>279</v>
      </c>
      <c r="BI8" s="12">
        <v>0.0</v>
      </c>
    </row>
    <row r="9" ht="15.0" customHeight="1">
      <c r="A9" s="32">
        <v>8.0</v>
      </c>
      <c r="B9" s="59">
        <v>46186.0</v>
      </c>
      <c r="C9" s="60" t="s">
        <v>113</v>
      </c>
      <c r="D9" s="61" t="s">
        <v>58</v>
      </c>
      <c r="E9" s="61" t="s">
        <v>59</v>
      </c>
      <c r="F9" s="61" t="s">
        <v>280</v>
      </c>
      <c r="G9" s="62">
        <v>0.875</v>
      </c>
      <c r="H9" s="60" t="s">
        <v>281</v>
      </c>
      <c r="I9" s="63">
        <v>0.3613932988086465</v>
      </c>
      <c r="J9" s="63">
        <v>0.3063987188186807</v>
      </c>
      <c r="K9" s="63">
        <v>0.3322079823726728</v>
      </c>
      <c r="L9" s="64">
        <f>IF(Matchday!E11="","",Matchday!E11)</f>
        <v>5.25</v>
      </c>
      <c r="M9" s="64">
        <f>IF(Matchday!F11="","",Matchday!F11)</f>
        <v>3.8</v>
      </c>
      <c r="N9" s="64">
        <f>IF(Matchday!G11="","",Matchday!G11)</f>
        <v>1.66</v>
      </c>
      <c r="O9" s="65">
        <f t="shared" ref="O9:Q9" si="29">IF(L9="","",1/L9)</f>
        <v>0.1904761905</v>
      </c>
      <c r="P9" s="65">
        <f t="shared" si="29"/>
        <v>0.2631578947</v>
      </c>
      <c r="Q9" s="65">
        <f t="shared" si="29"/>
        <v>0.6024096386</v>
      </c>
      <c r="R9" s="65">
        <f t="shared" si="4"/>
        <v>1.056043724</v>
      </c>
      <c r="S9" s="65">
        <f t="array" ref="S9">IF($R9="","",IF(Method!$B$56="proportional",O9/$R9,IF(Method!$B$56="power",IFERROR(INDEX(power_devig($L9,$M9,$N9),1,1),O9/$R9),IFERROR(INDEX(shin($L9,$M9,$N9),1,1),O9/$R9))))</f>
        <v>0.1740499738</v>
      </c>
      <c r="T9" s="65">
        <f t="array" ref="T9">IF($R9="","",IF(Method!$B$56="proportional",P9/$R9,IF(Method!$B$56="power",IFERROR(INDEX(power_devig($L9,$M9,$N9),2,1),P9/$R9),IFERROR(INDEX(shin($L9,$M9,$N9),2,1),P9/$R9))))</f>
        <v>0.2456430562</v>
      </c>
      <c r="U9" s="65">
        <f t="array" ref="U9">IF($R9="","",IF(Method!$B$56="proportional",Q9/$R9,IF(Method!$B$56="power",IFERROR(INDEX(power_devig($L9,$M9,$N9),3,1),Q9/$R9),IFERROR(INDEX(shin($L9,$M9,$N9),3,1),Q9/$R9))))</f>
        <v>0.58030697</v>
      </c>
      <c r="V9" s="65">
        <f>IF(S9="","",Method!$B$4*IF(BC9="",I9,BC9)+(1-Method!$B$4)*S9/($S9+$T9+$U9))</f>
        <v>0.241797827</v>
      </c>
      <c r="W9" s="65">
        <f>IF(T9="","",Method!$B$4*IF(BD9="",J9,BD9)+(1-Method!$B$4)*T9/($S9+$T9+$U9))</f>
        <v>0.2501799332</v>
      </c>
      <c r="X9" s="65">
        <f>IF(U9="","",Method!$B$4*IF(BE9="",K9,BE9)+(1-Method!$B$4)*U9/($S9+$T9+$U9))</f>
        <v>0.5080222398</v>
      </c>
      <c r="Y9" s="66">
        <f t="shared" ref="Y9:AA9" si="30">IF(V9="","",V9*L9-1)</f>
        <v>0.2694385917</v>
      </c>
      <c r="Z9" s="66">
        <f t="shared" si="30"/>
        <v>-0.04931625396</v>
      </c>
      <c r="AA9" s="66">
        <f t="shared" si="30"/>
        <v>-0.1566830819</v>
      </c>
      <c r="AB9" s="67">
        <f t="shared" si="6"/>
        <v>1</v>
      </c>
      <c r="AC9" s="67" t="str">
        <f t="shared" si="7"/>
        <v>H</v>
      </c>
      <c r="AD9" s="68" t="str">
        <f t="shared" si="8"/>
        <v>1  Australia</v>
      </c>
      <c r="AE9" s="35">
        <f t="shared" si="9"/>
        <v>5.25</v>
      </c>
      <c r="AF9" s="66">
        <f t="shared" si="10"/>
        <v>0.2694385917</v>
      </c>
      <c r="AG9" s="66">
        <f t="shared" si="11"/>
        <v>0.06774785323</v>
      </c>
      <c r="AH9" s="69" t="str">
        <f t="array" ref="AH9">IF(AB9="","· enter odds",IF(OR(AF9&gt;Method!$B$87,IFERROR(INDEX(BC9:BE9,1,AB9)/INDEX(S9:U9,1,AB9),0)&gt;Method!$B$88),"PASS",IF(AND(AF9&gt;=Method!$B$7,AG9&gt;=Method!$B$8),"BET","PASS")))</f>
        <v>BET</v>
      </c>
      <c r="AI9" s="70">
        <f>IF(AH9&lt;&gt;"BET",0,ROUND(MIN(Method!$B$6,Method!$B$5*AL9)*100,1))</f>
        <v>1.6</v>
      </c>
      <c r="AJ9" s="71">
        <f>IF(OR(AH9&lt;&gt;"BET",Method!$B$55=TRUE()),0,IF(AI9*Method!$B$10/100&lt;Method!$B$9,0,ROUND(AI9*Method!$B$10/100,0)))</f>
        <v>16</v>
      </c>
      <c r="AK9" s="65">
        <f t="shared" si="12"/>
        <v>0.241797827</v>
      </c>
      <c r="AL9" s="65">
        <f t="shared" si="13"/>
        <v>0.0633973157</v>
      </c>
      <c r="AM9" s="66">
        <f t="shared" si="14"/>
        <v>0.2694465917</v>
      </c>
      <c r="AN9" s="72" t="str">
        <f>IF(Matchday!N11="","",Matchday!N11)</f>
        <v>Y</v>
      </c>
      <c r="AO9" s="64">
        <f>IF(Matchday!P11="","",Matchday!P11)</f>
        <v>5.25</v>
      </c>
      <c r="AP9" s="73">
        <f>IF(Matchday!Q11="","",Matchday!Q11)</f>
        <v>10</v>
      </c>
      <c r="AQ9" s="72" t="str">
        <f>IF(Matchday!R11="","",Matchday!R11)</f>
        <v>H</v>
      </c>
      <c r="AR9" s="74">
        <f t="shared" si="15"/>
        <v>42.5</v>
      </c>
      <c r="AS9" s="74">
        <f t="shared" si="16"/>
        <v>13.9</v>
      </c>
      <c r="AT9" s="33" t="str">
        <f>IFERROR(__xludf.DUMMYFUNCTION("IF(AB9="""",""Type the 3 odds on the Matchday tab"",IF(Method!$B$55=TRUE(),IF(Method!$B$81=TRUE(),IF(REGEXMATCH(LOWER(Method!$B$63),""circuit""),""🛑 PAUSED — circuit breaker upstream; wait for a clean live refresh."",IF(REGEXMATCH(LOWER(Method!$B$63),""p"&amp;"ipeline""),""🛑 PAUSED — live pipeline warning; check Live!B11/Method!B62 before betting."",IF(REGEXMATCH(LOWER(Method!$B$63),""missing""),""🛑 PAUSED — feed timestamp missing; refresh feed before betting."",""🛑 PAUSED — feed stale &gt; 25 min — check Live "&amp;"tab;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overr"&amp;"ide stale/circuit-breaker/pipeline pauses."")),IF(AH9=""BET"",IF(AJ9=0,""Edge found but stake rounds under £""&amp;Method!$B$9&amp;"" — skip"",IF(AND(AE9&gt;=6,AG9&gt;=0.15),""🟡 WAIT — long-shot review: odds ""&amp;TEXT(AE9,""0.00"")&amp;"" + edge ""&amp;TEXT(AG9,""0.0%"")&amp;"" — v"&amp;"erify sharp-book + team news + stake comfort before Placed=Y"",""Value found: EV ""&amp;TEXT(AF9,""0.0%"")&amp;"", edge ""&amp;TEXT(AG9,""0.0%""))),IF(OR(AF9&gt;Method!$B$87,IFERROR(INDEX(BC9:BE9,1,AB9)/INDEX(S9:U9,1,AB9),0)&gt;Method!$B$88),""🛑 Tail trap — auto-PASS · EV"&amp;" ""&amp;TEXT(AF9,""0.0%"")&amp;"" (cap ""&amp;TEXT(Method!$B$87,""0%"")&amp;"") · model/market ""&amp;TEXT(IFERROR(INDEX(BC9:BE9,1,AB9)/INDEX(S9:U9,1,AB9),0),""0.0"")&amp;""× (cap ""&amp;TEXT(Method!$B$88,""0.0"")&amp;""×)"",IF(AF9&lt;Method!$B$7,""Price too short — EV ""&amp;TEXT(AF9,""0.0%"""&amp;")&amp;"" (need ""&amp;TEXT(Method!$B$7,""0.0%"")&amp;""+)"",""Model ≈ market — edge ""&amp;TEXT(AG9,""0.0%"")&amp;"" (need ""&amp;TEXT(Method!$B$8,""0.0%"")&amp;""+)"")))))"),"Value found: EV 26.9%, edge 6.8%")</f>
        <v>Value found: EV 26.9%, edge 6.8%</v>
      </c>
      <c r="AU9" s="33" t="str">
        <f t="shared" si="17"/>
        <v>⚠ stake over engine £0</v>
      </c>
      <c r="AV9" s="32" t="str">
        <f>IF(Matchday!O11="","",Matchday!O11)</f>
        <v>H</v>
      </c>
      <c r="AW9" s="75" t="s">
        <v>260</v>
      </c>
      <c r="AX9" s="75">
        <v>0.0</v>
      </c>
      <c r="AY9" s="75" t="s">
        <v>111</v>
      </c>
      <c r="AZ9" s="75" t="str">
        <f t="shared" si="18"/>
        <v>BET</v>
      </c>
      <c r="BA9" s="76">
        <f>IF(AX9&lt;&gt;"",AX9,IF(AH9&lt;&gt;"BET",0,IF(AI9*Method!$B$10/100&lt;Method!$B$9,0,ROUND(AI9*Method!$B$10/100,0))))</f>
        <v>0</v>
      </c>
      <c r="BB9" s="12">
        <v>-21.66</v>
      </c>
      <c r="BC9" s="12">
        <v>0.3676152687118938</v>
      </c>
      <c r="BD9" s="12">
        <v>0.2586055617882926</v>
      </c>
      <c r="BE9" s="12">
        <v>0.3737791694998136</v>
      </c>
      <c r="BF9" s="14" t="s">
        <v>282</v>
      </c>
      <c r="BG9" s="12">
        <v>0.0</v>
      </c>
      <c r="BH9" s="14" t="s">
        <v>283</v>
      </c>
      <c r="BI9" s="12">
        <v>0.0</v>
      </c>
    </row>
    <row r="10" ht="15.0" customHeight="1">
      <c r="A10" s="32">
        <v>9.0</v>
      </c>
      <c r="B10" s="59">
        <v>46187.0</v>
      </c>
      <c r="C10" s="60" t="s">
        <v>284</v>
      </c>
      <c r="D10" s="61" t="s">
        <v>60</v>
      </c>
      <c r="E10" s="61" t="s">
        <v>61</v>
      </c>
      <c r="F10" s="61" t="s">
        <v>285</v>
      </c>
      <c r="G10" s="62">
        <v>0.5</v>
      </c>
      <c r="H10" s="62">
        <v>0.75</v>
      </c>
      <c r="I10" s="63">
        <v>0.738737054896899</v>
      </c>
      <c r="J10" s="63">
        <v>0.1796393706617592</v>
      </c>
      <c r="K10" s="63">
        <v>0.08162357444134172</v>
      </c>
      <c r="L10" s="64">
        <f>IF(Matchday!E12="","",Matchday!E12)</f>
        <v>1.03</v>
      </c>
      <c r="M10" s="64">
        <f>IF(Matchday!F12="","",Matchday!F12)</f>
        <v>19</v>
      </c>
      <c r="N10" s="64">
        <f>IF(Matchday!G12="","",Matchday!G12)</f>
        <v>34</v>
      </c>
      <c r="O10" s="65">
        <f t="shared" ref="O10:Q10" si="31">IF(L10="","",1/L10)</f>
        <v>0.9708737864</v>
      </c>
      <c r="P10" s="65">
        <f t="shared" si="31"/>
        <v>0.05263157895</v>
      </c>
      <c r="Q10" s="65">
        <f t="shared" si="31"/>
        <v>0.02941176471</v>
      </c>
      <c r="R10" s="65">
        <f t="shared" si="4"/>
        <v>1.05291713</v>
      </c>
      <c r="S10" s="65">
        <f t="array" ref="S10">IF($R10="","",IF(Method!$B$56="proportional",O10/$R10,IF(Method!$B$56="power",IFERROR(INDEX(power_devig($L10,$M10,$N10),1,1),O10/$R10),IFERROR(INDEX(shin($L10,$M10,$N10),1,1),O10/$R10))))</f>
        <v>0.9452690296</v>
      </c>
      <c r="T10" s="65">
        <f t="array" ref="T10">IF($R10="","",IF(Method!$B$56="proportional",P10/$R10,IF(Method!$B$56="power",IFERROR(INDEX(power_devig($L10,$M10,$N10),2,1),P10/$R10),IFERROR(INDEX(shin($L10,$M10,$N10),2,1),P10/$R10))))</f>
        <v>0.03793323546</v>
      </c>
      <c r="U10" s="65">
        <f t="array" ref="U10">IF($R10="","",IF(Method!$B$56="proportional",Q10/$R10,IF(Method!$B$56="power",IFERROR(INDEX(power_devig($L10,$M10,$N10),3,1),Q10/$R10),IFERROR(INDEX(shin($L10,$M10,$N10),3,1),Q10/$R10))))</f>
        <v>0.01679773494</v>
      </c>
      <c r="V10" s="65">
        <f>IF(S10="","",Method!$B$4*IF(BC10="",I10,BC10)+(1-Method!$B$4)*S10/($S10+$T10+$U10))</f>
        <v>0.8634900979</v>
      </c>
      <c r="W10" s="65">
        <f>IF(T10="","",Method!$B$4*IF(BD10="",J10,BD10)+(1-Method!$B$4)*T10/($S10+$T10+$U10))</f>
        <v>0.09623200616</v>
      </c>
      <c r="X10" s="65">
        <f>IF(U10="","",Method!$B$4*IF(BE10="",K10,BE10)+(1-Method!$B$4)*U10/($S10+$T10+$U10))</f>
        <v>0.04027789598</v>
      </c>
      <c r="Y10" s="66">
        <f t="shared" ref="Y10:AA10" si="32">IF(V10="","",V10*L10-1)</f>
        <v>-0.1106051992</v>
      </c>
      <c r="Z10" s="66">
        <f t="shared" si="32"/>
        <v>0.828408117</v>
      </c>
      <c r="AA10" s="66">
        <f t="shared" si="32"/>
        <v>0.3694484633</v>
      </c>
      <c r="AB10" s="67">
        <f t="shared" si="6"/>
        <v>2</v>
      </c>
      <c r="AC10" s="67" t="str">
        <f t="shared" si="7"/>
        <v>D</v>
      </c>
      <c r="AD10" s="68" t="str">
        <f t="shared" si="8"/>
        <v>X  Draw</v>
      </c>
      <c r="AE10" s="35">
        <f t="shared" si="9"/>
        <v>19</v>
      </c>
      <c r="AF10" s="66">
        <f t="shared" si="10"/>
        <v>0.828408117</v>
      </c>
      <c r="AG10" s="66">
        <f t="shared" si="11"/>
        <v>0.0582987707</v>
      </c>
      <c r="AH10" s="69" t="str">
        <f t="array" ref="AH10">IF(AB10="","· enter odds",IF(OR(AF10&gt;Method!$B$87,IFERROR(INDEX(BC10:BE10,1,AB10)/INDEX(S10:U10,1,AB10),0)&gt;Method!$B$88),"PASS",IF(AND(AF10&gt;=Method!$B$7,AG10&gt;=Method!$B$8),"BET","PASS")))</f>
        <v>PASS</v>
      </c>
      <c r="AI10" s="70">
        <f>IF(AH10&lt;&gt;"BET",0,ROUND(MIN(Method!$B$6,Method!$B$5*AL10)*100,1))</f>
        <v>0</v>
      </c>
      <c r="AJ10" s="71">
        <f>IF(OR(AH10&lt;&gt;"BET",Method!$B$55=TRUE()),0,IF(AI10*Method!$B$10/100&lt;Method!$B$9,0,ROUND(AI10*Method!$B$10/100,0)))</f>
        <v>0</v>
      </c>
      <c r="AK10" s="65">
        <f t="shared" si="12"/>
        <v>0.09623200616</v>
      </c>
      <c r="AL10" s="65" t="str">
        <f t="shared" si="13"/>
        <v/>
      </c>
      <c r="AM10" s="66" t="str">
        <f t="shared" si="14"/>
        <v/>
      </c>
      <c r="AN10" s="72" t="str">
        <f>IF(Matchday!N12="","",Matchday!N12)</f>
        <v>Y</v>
      </c>
      <c r="AO10" s="64">
        <f>IF(Matchday!P12="","",Matchday!P12)</f>
        <v>19</v>
      </c>
      <c r="AP10" s="73">
        <f>IF(Matchday!Q12="","",Matchday!Q12)</f>
        <v>6</v>
      </c>
      <c r="AQ10" s="72" t="str">
        <f>IF(Matchday!R12="","",Matchday!R12)</f>
        <v>H</v>
      </c>
      <c r="AR10" s="74">
        <f t="shared" si="15"/>
        <v>-6</v>
      </c>
      <c r="AS10" s="74">
        <f t="shared" si="16"/>
        <v>7.9</v>
      </c>
      <c r="AT10" s="33" t="str">
        <f>IFERROR(__xludf.DUMMYFUNCTION("IF(AB10="""",""Type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pauses."")),IF(AH10=""BET"",IF(AJ10=0,""Edge found but stake rounds under £""&amp;Method!$B$9&amp;"" — skip"",IF(AND(AE10&gt;=6,AG10&gt;=0.15),""🟡 WAIT — long-shot review: odds ""&amp;TEXT(AE10,""0.00"")&amp;"" + edge ""&amp;TEXT(AG10,""0.0%"")"&amp;"&amp;"" — verify sharp-book + team news + stake comfort before Placed=Y"",""Value found: EV ""&amp;TEXT(AF10,""0.0%"")&amp;"", edge ""&amp;TEXT(AG10,""0.0%""))),IF(OR(AF10&gt;Method!$B$87,IFERROR(INDEX(BC10:BE10,1,AB10)/INDEX(S10:U10,1,AB10),0)&gt;Method!$B$88),""🛑 Tail trap "&amp;"— auto-PASS · EV ""&amp;TEXT(AF10,""0.0%"")&amp;"" (cap ""&amp;TEXT(Method!$B$87,""0%"")&amp;"") · model/market ""&amp;TEXT(IFERROR(INDEX(BC10:BE10,1,AB10)/INDEX(S10:U10,1,AB10),0),""0.0"")&amp;""× (cap ""&amp;TEXT(Method!$B$88,""0.0"")&amp;""×)"",IF(AF10&lt;Method!$B$7,""Price too short —"&amp;" EV ""&amp;TEXT(AF10,""0.0%"")&amp;"" (need ""&amp;TEXT(Method!$B$7,""0.0%"")&amp;""+)"",""Model ≈ market — edge ""&amp;TEXT(AG10,""0.0%"")&amp;"" (need ""&amp;TEXT(Method!$B$8,""0.0%"")&amp;""+)"")))))"),"🛑 Tail trap — auto-PASS · EV 82.8% (cap 30%) · model/market 5.4× (cap 2.5×)")</f>
        <v>🛑 Tail trap — auto-PASS · EV 82.8% (cap 30%) · model/market 5.4× (cap 2.5×)</v>
      </c>
      <c r="AU10" s="33" t="str">
        <f t="shared" si="17"/>
        <v>✓ engine bet</v>
      </c>
      <c r="AV10" s="32" t="str">
        <f>IF(Matchday!O12="","",Matchday!O12)</f>
        <v>D</v>
      </c>
      <c r="AW10" s="75" t="s">
        <v>260</v>
      </c>
      <c r="AX10" s="75">
        <v>6.0</v>
      </c>
      <c r="AY10" s="75" t="s">
        <v>113</v>
      </c>
      <c r="AZ10" s="75" t="str">
        <f t="shared" si="18"/>
        <v>BET</v>
      </c>
      <c r="BA10" s="76">
        <f>IF(AX10&lt;&gt;"",AX10,IF(AH10&lt;&gt;"BET",0,IF(AI10*Method!$B$10/100&lt;Method!$B$9,0,ROUND(AI10*Method!$B$10/100,0))))</f>
        <v>6</v>
      </c>
      <c r="BB10" s="12">
        <v>-27.21</v>
      </c>
      <c r="BC10" s="12">
        <v>0.7116149389295344</v>
      </c>
      <c r="BD10" s="12">
        <v>0.20450115173896033</v>
      </c>
      <c r="BE10" s="12">
        <v>0.08388390933150527</v>
      </c>
      <c r="BF10" s="14" t="s">
        <v>286</v>
      </c>
      <c r="BG10" s="12">
        <v>15.0</v>
      </c>
      <c r="BH10" s="14" t="s">
        <v>287</v>
      </c>
      <c r="BI10" s="12">
        <v>0.0</v>
      </c>
    </row>
    <row r="11" ht="15.0" customHeight="1">
      <c r="A11" s="32">
        <v>10.0</v>
      </c>
      <c r="B11" s="59">
        <v>46187.0</v>
      </c>
      <c r="C11" s="60" t="s">
        <v>288</v>
      </c>
      <c r="D11" s="61" t="s">
        <v>62</v>
      </c>
      <c r="E11" s="61" t="s">
        <v>63</v>
      </c>
      <c r="F11" s="61" t="s">
        <v>289</v>
      </c>
      <c r="G11" s="62">
        <v>0.625</v>
      </c>
      <c r="H11" s="62">
        <v>0.875</v>
      </c>
      <c r="I11" s="63">
        <v>0.4321268290350539</v>
      </c>
      <c r="J11" s="63">
        <v>0.2887854722169292</v>
      </c>
      <c r="K11" s="63">
        <v>0.2790876987480169</v>
      </c>
      <c r="L11" s="64">
        <f>IF(Matchday!E13="","",Matchday!E13)</f>
        <v>2.05</v>
      </c>
      <c r="M11" s="64">
        <f>IF(Matchday!F13="","",Matchday!F13)</f>
        <v>3.5</v>
      </c>
      <c r="N11" s="64">
        <f>IF(Matchday!G13="","",Matchday!G13)</f>
        <v>3.7</v>
      </c>
      <c r="O11" s="65">
        <f t="shared" ref="O11:Q11" si="33">IF(L11="","",1/L11)</f>
        <v>0.487804878</v>
      </c>
      <c r="P11" s="65">
        <f t="shared" si="33"/>
        <v>0.2857142857</v>
      </c>
      <c r="Q11" s="65">
        <f t="shared" si="33"/>
        <v>0.2702702703</v>
      </c>
      <c r="R11" s="65">
        <f t="shared" si="4"/>
        <v>1.043789434</v>
      </c>
      <c r="S11" s="65">
        <f t="array" ref="S11">IF($R11="","",IF(Method!$B$56="proportional",O11/$R11,IF(Method!$B$56="power",IFERROR(INDEX(power_devig($L11,$M11,$N11),1,1),O11/$R11),IFERROR(INDEX(shin($L11,$M11,$N11),1,1),O11/$R11))))</f>
        <v>0.4717040456</v>
      </c>
      <c r="T11" s="65">
        <f t="array" ref="T11">IF($R11="","",IF(Method!$B$56="proportional",P11/$R11,IF(Method!$B$56="power",IFERROR(INDEX(power_devig($L11,$M11,$N11),2,1),P11/$R11),IFERROR(INDEX(shin($L11,$M11,$N11),2,1),P11/$R11))))</f>
        <v>0.2717842113</v>
      </c>
      <c r="U11" s="65">
        <f t="array" ref="U11">IF($R11="","",IF(Method!$B$56="proportional",Q11/$R11,IF(Method!$B$56="power",IFERROR(INDEX(power_devig($L11,$M11,$N11),3,1),Q11/$R11),IFERROR(INDEX(shin($L11,$M11,$N11),3,1),Q11/$R11))))</f>
        <v>0.2565117431</v>
      </c>
      <c r="V11" s="65">
        <f>IF(S11="","",Method!$B$4*IF(BC11="",I11,BC11)+(1-Method!$B$4)*S11/($S11+$T11+$U11))</f>
        <v>0.4582486292</v>
      </c>
      <c r="W11" s="65">
        <f>IF(T11="","",Method!$B$4*IF(BD11="",J11,BD11)+(1-Method!$B$4)*T11/($S11+$T11+$U11))</f>
        <v>0.2698312025</v>
      </c>
      <c r="X11" s="65">
        <f>IF(U11="","",Method!$B$4*IF(BE11="",K11,BE11)+(1-Method!$B$4)*U11/($S11+$T11+$U11))</f>
        <v>0.2719201683</v>
      </c>
      <c r="Y11" s="66">
        <f t="shared" ref="Y11:AA11" si="34">IF(V11="","",V11*L11-1)</f>
        <v>-0.06059031005</v>
      </c>
      <c r="Z11" s="66">
        <f t="shared" si="34"/>
        <v>-0.05559079133</v>
      </c>
      <c r="AA11" s="66">
        <f t="shared" si="34"/>
        <v>0.006104622633</v>
      </c>
      <c r="AB11" s="67">
        <f t="shared" si="6"/>
        <v>3</v>
      </c>
      <c r="AC11" s="67" t="str">
        <f t="shared" si="7"/>
        <v>A</v>
      </c>
      <c r="AD11" s="68" t="str">
        <f t="shared" si="8"/>
        <v>2  Japan</v>
      </c>
      <c r="AE11" s="35">
        <f t="shared" si="9"/>
        <v>3.7</v>
      </c>
      <c r="AF11" s="66">
        <f t="shared" si="10"/>
        <v>0.006104622633</v>
      </c>
      <c r="AG11" s="66">
        <f t="shared" si="11"/>
        <v>0.0154084252</v>
      </c>
      <c r="AH11" s="69" t="str">
        <f t="array" ref="AH11">IF(AB11="","· enter odds",IF(OR(AF11&gt;Method!$B$87,IFERROR(INDEX(BC11:BE11,1,AB11)/INDEX(S11:U11,1,AB11),0)&gt;Method!$B$88),"PASS",IF(AND(AF11&gt;=Method!$B$7,AG11&gt;=Method!$B$8),"BET","PASS")))</f>
        <v>PASS</v>
      </c>
      <c r="AI11" s="70">
        <f>IF(AH11&lt;&gt;"BET",0,ROUND(MIN(Method!$B$6,Method!$B$5*AL11)*100,1))</f>
        <v>0</v>
      </c>
      <c r="AJ11" s="71">
        <f>IF(OR(AH11&lt;&gt;"BET",Method!$B$55=TRUE()),0,IF(AI11*Method!$B$10/100&lt;Method!$B$9,0,ROUND(AI11*Method!$B$10/100,0)))</f>
        <v>0</v>
      </c>
      <c r="AK11" s="65">
        <f t="shared" si="12"/>
        <v>0.2719201683</v>
      </c>
      <c r="AL11" s="65" t="str">
        <f t="shared" si="13"/>
        <v/>
      </c>
      <c r="AM11" s="67" t="str">
        <f t="shared" si="14"/>
        <v/>
      </c>
      <c r="AN11" s="72" t="str">
        <f>IF(Matchday!N13="","",Matchday!N13)</f>
        <v>Y</v>
      </c>
      <c r="AO11" s="64">
        <f>IF(Matchday!P13="","",Matchday!P13)</f>
        <v>1</v>
      </c>
      <c r="AP11" s="73" t="str">
        <f>IF(Matchday!Q13="","",Matchday!Q13)</f>
        <v/>
      </c>
      <c r="AQ11" s="72" t="str">
        <f>IF(Matchday!R13="","",Matchday!R13)</f>
        <v>D</v>
      </c>
      <c r="AR11" s="74">
        <f t="shared" si="15"/>
        <v>0</v>
      </c>
      <c r="AS11" s="74">
        <f t="shared" si="16"/>
        <v>7.9</v>
      </c>
      <c r="AT11" s="33" t="str">
        <f>IFERROR(__xludf.DUMMYFUNCTION("IF(AB11="""",""Type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pauses."")),IF(AH11=""BET"",IF(AJ11=0,""Edge found but stake rounds under £""&amp;Method!$B$9&amp;"" — skip"",IF(AND(AE11&gt;=6,AG11&gt;=0.15),""🟡 WAIT — long-shot review: odds ""&amp;TEXT(AE11,""0.00"")&amp;"" + edge ""&amp;TEXT(AG11,""0.0%"")"&amp;"&amp;"" — verify sharp-book + team news + stake comfort before Placed=Y"",""Value found: EV ""&amp;TEXT(AF11,""0.0%"")&amp;"", edge ""&amp;TEXT(AG11,""0.0%""))),IF(OR(AF11&gt;Method!$B$87,IFERROR(INDEX(BC11:BE11,1,AB11)/INDEX(S11:U11,1,AB11),0)&gt;Method!$B$88),""🛑 Tail trap "&amp;"— auto-PASS · EV ""&amp;TEXT(AF11,""0.0%"")&amp;"" (cap ""&amp;TEXT(Method!$B$87,""0%"")&amp;"") · model/market ""&amp;TEXT(IFERROR(INDEX(BC11:BE11,1,AB11)/INDEX(S11:U11,1,AB11),0),""0.0"")&amp;""× (cap ""&amp;TEXT(Method!$B$88,""0.0"")&amp;""×)"",IF(AF11&lt;Method!$B$7,""Price too short —"&amp;" EV ""&amp;TEXT(AF11,""0.0%"")&amp;"" (need ""&amp;TEXT(Method!$B$7,""0.0%"")&amp;""+)"",""Model ≈ market — edge ""&amp;TEXT(AG11,""0.0%"")&amp;"" (need ""&amp;TEXT(Method!$B$8,""0.0%"")&amp;""+)"")))))"),"Price too short — EV 0.6% (need 2.5%+)")</f>
        <v>Price too short — EV 0.6% (need 2.5%+)</v>
      </c>
      <c r="AU11" s="33" t="str">
        <f t="shared" si="17"/>
        <v>⚠ log backed pick, odds &amp; stake</v>
      </c>
      <c r="AV11" s="32" t="str">
        <f>IF(Matchday!O13="","",Matchday!O13)</f>
        <v>H</v>
      </c>
      <c r="AW11" s="75" t="s">
        <v>126</v>
      </c>
      <c r="AX11" s="75">
        <v>0.0</v>
      </c>
      <c r="AY11" s="75" t="s">
        <v>112</v>
      </c>
      <c r="AZ11" s="75" t="str">
        <f t="shared" si="18"/>
        <v>PASS</v>
      </c>
      <c r="BA11" s="76">
        <f>IF(AX11&lt;&gt;"",AX11,IF(AH11&lt;&gt;"BET",0,IF(AI11*Method!$B$10/100&lt;Method!$B$9,0,ROUND(AI11*Method!$B$10/100,0))))</f>
        <v>0</v>
      </c>
      <c r="BB11" s="12">
        <v>-26.080000000000002</v>
      </c>
      <c r="BC11" s="12">
        <v>0.43325999887497507</v>
      </c>
      <c r="BD11" s="12">
        <v>0.26620418604659846</v>
      </c>
      <c r="BE11" s="12">
        <v>0.30053581507842647</v>
      </c>
      <c r="BF11" s="14" t="s">
        <v>290</v>
      </c>
      <c r="BG11" s="12">
        <v>175.0</v>
      </c>
      <c r="BH11" s="14" t="s">
        <v>291</v>
      </c>
      <c r="BI11" s="12">
        <v>0.0</v>
      </c>
    </row>
    <row r="12" ht="15.0" customHeight="1">
      <c r="A12" s="32">
        <v>11.0</v>
      </c>
      <c r="B12" s="59">
        <v>46187.0</v>
      </c>
      <c r="C12" s="60" t="s">
        <v>284</v>
      </c>
      <c r="D12" s="61" t="s">
        <v>64</v>
      </c>
      <c r="E12" s="61" t="s">
        <v>65</v>
      </c>
      <c r="F12" s="61" t="s">
        <v>292</v>
      </c>
      <c r="G12" s="62">
        <v>0.7916666666678793</v>
      </c>
      <c r="H12" s="60" t="s">
        <v>293</v>
      </c>
      <c r="I12" s="63">
        <v>0.23205288360764745</v>
      </c>
      <c r="J12" s="63">
        <v>0.2888432624675805</v>
      </c>
      <c r="K12" s="63">
        <v>0.4791038539247721</v>
      </c>
      <c r="L12" s="64">
        <f>IF(Matchday!E14="","",Matchday!E14)</f>
        <v>2.1</v>
      </c>
      <c r="M12" s="64">
        <f>IF(Matchday!F14="","",Matchday!F14)</f>
        <v>1.75</v>
      </c>
      <c r="N12" s="64">
        <f>IF(Matchday!G14="","",Matchday!G14)</f>
        <v>1.6</v>
      </c>
      <c r="O12" s="65">
        <f t="shared" ref="O12:Q12" si="35">IF(L12="","",1/L12)</f>
        <v>0.4761904762</v>
      </c>
      <c r="P12" s="65">
        <f t="shared" si="35"/>
        <v>0.5714285714</v>
      </c>
      <c r="Q12" s="65">
        <f t="shared" si="35"/>
        <v>0.625</v>
      </c>
      <c r="R12" s="65">
        <f t="shared" si="4"/>
        <v>1.672619048</v>
      </c>
      <c r="S12" s="65">
        <f t="array" ref="S12">IF($R12="","",IF(Method!$B$56="proportional",O12/$R12,IF(Method!$B$56="power",IFERROR(INDEX(power_devig($L12,$M12,$N12),1,1),O12/$R12),IFERROR(INDEX(shin($L12,$M12,$N12),1,1),O12/$R12))))</f>
        <v>0.2642016027</v>
      </c>
      <c r="T12" s="65">
        <f t="array" ref="T12">IF($R12="","",IF(Method!$B$56="proportional",P12/$R12,IF(Method!$B$56="power",IFERROR(INDEX(power_devig($L12,$M12,$N12),2,1),P12/$R12),IFERROR(INDEX(shin($L12,$M12,$N12),2,1),P12/$R12))))</f>
        <v>0.3446801927</v>
      </c>
      <c r="U12" s="65">
        <f t="array" ref="U12">IF($R12="","",IF(Method!$B$56="proportional",Q12/$R12,IF(Method!$B$56="power",IFERROR(INDEX(power_devig($L12,$M12,$N12),3,1),Q12/$R12),IFERROR(INDEX(shin($L12,$M12,$N12),3,1),Q12/$R12))))</f>
        <v>0.3911182045</v>
      </c>
      <c r="V12" s="65">
        <f>IF(S12="","",Method!$B$4*IF(BC12="",I12,BC12)+(1-Method!$B$4)*S12/($S12+$T12+$U12))</f>
        <v>0.2515598684</v>
      </c>
      <c r="W12" s="65">
        <f>IF(T12="","",Method!$B$4*IF(BD12="",J12,BD12)+(1-Method!$B$4)*T12/($S12+$T12+$U12))</f>
        <v>0.3205986706</v>
      </c>
      <c r="X12" s="65">
        <f>IF(U12="","",Method!$B$4*IF(BE12="",K12,BE12)+(1-Method!$B$4)*U12/($S12+$T12+$U12))</f>
        <v>0.427841461</v>
      </c>
      <c r="Y12" s="66">
        <f t="shared" ref="Y12:AA12" si="36">IF(V12="","",V12*L12-1)</f>
        <v>-0.4717242764</v>
      </c>
      <c r="Z12" s="66">
        <f t="shared" si="36"/>
        <v>-0.4389523264</v>
      </c>
      <c r="AA12" s="66">
        <f t="shared" si="36"/>
        <v>-0.3154536624</v>
      </c>
      <c r="AB12" s="67">
        <f t="shared" si="6"/>
        <v>3</v>
      </c>
      <c r="AC12" s="67" t="str">
        <f t="shared" si="7"/>
        <v>A</v>
      </c>
      <c r="AD12" s="68" t="str">
        <f t="shared" si="8"/>
        <v>2  Ecuador</v>
      </c>
      <c r="AE12" s="35">
        <f t="shared" si="9"/>
        <v>1.6</v>
      </c>
      <c r="AF12" s="66">
        <f t="shared" si="10"/>
        <v>-0.3154536624</v>
      </c>
      <c r="AG12" s="66">
        <f t="shared" si="11"/>
        <v>0.0367232565</v>
      </c>
      <c r="AH12" s="69" t="str">
        <f t="array" ref="AH12">IF(AB12="","· enter odds",IF(OR(AF12&gt;Method!$B$87,IFERROR(INDEX(BC12:BE12,1,AB12)/INDEX(S12:U12,1,AB12),0)&gt;Method!$B$88),"PASS",IF(AND(AF12&gt;=Method!$B$7,AG12&gt;=Method!$B$8),"BET","PASS")))</f>
        <v>PASS</v>
      </c>
      <c r="AI12" s="70">
        <f>IF(AH12&lt;&gt;"BET",0,ROUND(MIN(Method!$B$6,Method!$B$5*AL12)*100,1))</f>
        <v>0</v>
      </c>
      <c r="AJ12" s="71">
        <f>IF(OR(AH12&lt;&gt;"BET",Method!$B$55=TRUE()),0,IF(AI12*Method!$B$10/100&lt;Method!$B$9,0,ROUND(AI12*Method!$B$10/100,0)))</f>
        <v>0</v>
      </c>
      <c r="AK12" s="65">
        <f t="shared" si="12"/>
        <v>0.427841461</v>
      </c>
      <c r="AL12" s="65" t="str">
        <f t="shared" si="13"/>
        <v/>
      </c>
      <c r="AM12" s="67" t="str">
        <f t="shared" si="14"/>
        <v/>
      </c>
      <c r="AN12" s="72" t="str">
        <f>IF(Matchday!N14="","",Matchday!N14)</f>
        <v/>
      </c>
      <c r="AO12" s="64" t="str">
        <f>IF(Matchday!P14="","",Matchday!P14)</f>
        <v/>
      </c>
      <c r="AP12" s="73" t="str">
        <f>IF(Matchday!Q14="","",Matchday!Q14)</f>
        <v/>
      </c>
      <c r="AQ12" s="72" t="str">
        <f>IF(Matchday!R14="","",Matchday!R14)</f>
        <v>H</v>
      </c>
      <c r="AR12" s="74" t="str">
        <f t="shared" si="15"/>
        <v/>
      </c>
      <c r="AS12" s="74" t="str">
        <f t="shared" si="16"/>
        <v/>
      </c>
      <c r="AT12" s="33" t="str">
        <f>IFERROR(__xludf.DUMMYFUNCTION("IF(AB12="""",""Type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pauses."")),IF(AH12=""BET"",IF(AJ12=0,""Edge found but stake rounds under £""&amp;Method!$B$9&amp;"" — skip"",IF(AND(AE12&gt;=6,AG12&gt;=0.15),""🟡 WAIT — long-shot review: odds ""&amp;TEXT(AE12,""0.00"")&amp;"" + edge ""&amp;TEXT(AG12,""0.0%"")"&amp;"&amp;"" — verify sharp-book + team news + stake comfort before Placed=Y"",""Value found: EV ""&amp;TEXT(AF12,""0.0%"")&amp;"", edge ""&amp;TEXT(AG12,""0.0%""))),IF(OR(AF12&gt;Method!$B$87,IFERROR(INDEX(BC12:BE12,1,AB12)/INDEX(S12:U12,1,AB12),0)&gt;Method!$B$88),""🛑 Tail trap "&amp;"— auto-PASS · EV ""&amp;TEXT(AF12,""0.0%"")&amp;"" (cap ""&amp;TEXT(Method!$B$87,""0%"")&amp;"") · model/market ""&amp;TEXT(IFERROR(INDEX(BC12:BE12,1,AB12)/INDEX(S12:U12,1,AB12),0),""0.0"")&amp;""× (cap ""&amp;TEXT(Method!$B$88,""0.0"")&amp;""×)"",IF(AF12&lt;Method!$B$7,""Price too short —"&amp;" EV ""&amp;TEXT(AF12,""0.0%"")&amp;"" (need ""&amp;TEXT(Method!$B$7,""0.0%"")&amp;""+)"",""Model ≈ market — edge ""&amp;TEXT(AG12,""0.0%"")&amp;"" (need ""&amp;TEXT(Method!$B$8,""0.0%"")&amp;""+)"")))))"),"Price too short — EV -31.5% (need 2.5%+)")</f>
        <v>Price too short — EV -31.5% (need 2.5%+)</v>
      </c>
      <c r="AU12" s="33" t="str">
        <f t="shared" si="17"/>
        <v/>
      </c>
      <c r="AV12" s="32" t="str">
        <f>IF(Matchday!O14="","",Matchday!O14)</f>
        <v/>
      </c>
      <c r="AW12" s="75"/>
      <c r="AX12" s="75"/>
      <c r="AY12" s="75"/>
      <c r="AZ12" s="75" t="str">
        <f t="shared" si="18"/>
        <v>PASS</v>
      </c>
      <c r="BA12" s="76">
        <f>IF(AX12&lt;&gt;"",AX12,IF(AH12&lt;&gt;"BET",0,IF(AI12*Method!$B$10/100&lt;Method!$B$9,0,ROUND(AI12*Method!$B$10/100,0))))</f>
        <v>0</v>
      </c>
      <c r="BB12" s="12">
        <v>6.0600000000000005</v>
      </c>
      <c r="BC12" s="12">
        <v>0.22808236164794216</v>
      </c>
      <c r="BD12" s="12">
        <v>0.275875843861312</v>
      </c>
      <c r="BE12" s="12">
        <v>0.4960417944907459</v>
      </c>
      <c r="BF12" s="14" t="s">
        <v>294</v>
      </c>
      <c r="BG12" s="12">
        <v>12.0</v>
      </c>
      <c r="BH12" s="14" t="s">
        <v>262</v>
      </c>
      <c r="BI12" s="12">
        <v>0.0</v>
      </c>
    </row>
    <row r="13" ht="15.0" customHeight="1">
      <c r="A13" s="32">
        <v>12.0</v>
      </c>
      <c r="B13" s="59">
        <v>46187.0</v>
      </c>
      <c r="C13" s="60" t="s">
        <v>288</v>
      </c>
      <c r="D13" s="61" t="s">
        <v>66</v>
      </c>
      <c r="E13" s="61" t="s">
        <v>67</v>
      </c>
      <c r="F13" s="61" t="s">
        <v>295</v>
      </c>
      <c r="G13" s="62">
        <v>0.8333333333321207</v>
      </c>
      <c r="H13" s="60" t="s">
        <v>259</v>
      </c>
      <c r="I13" s="63">
        <v>0.4025195733647793</v>
      </c>
      <c r="J13" s="63">
        <v>0.29316074723423624</v>
      </c>
      <c r="K13" s="63">
        <v>0.3043196794009844</v>
      </c>
      <c r="L13" s="64">
        <f>IF(Matchday!E15="","",Matchday!E15)</f>
        <v>1.9</v>
      </c>
      <c r="M13" s="64">
        <f>IF(Matchday!F15="","",Matchday!F15)</f>
        <v>3.4</v>
      </c>
      <c r="N13" s="64">
        <f>IF(Matchday!G15="","",Matchday!G15)</f>
        <v>4.33</v>
      </c>
      <c r="O13" s="65">
        <f t="shared" ref="O13:Q13" si="37">IF(L13="","",1/L13)</f>
        <v>0.5263157895</v>
      </c>
      <c r="P13" s="65">
        <f t="shared" si="37"/>
        <v>0.2941176471</v>
      </c>
      <c r="Q13" s="65">
        <f t="shared" si="37"/>
        <v>0.2309468822</v>
      </c>
      <c r="R13" s="65">
        <f t="shared" si="4"/>
        <v>1.051380319</v>
      </c>
      <c r="S13" s="65">
        <f t="array" ref="S13">IF($R13="","",IF(Method!$B$56="proportional",O13/$R13,IF(Method!$B$56="power",IFERROR(INDEX(power_devig($L13,$M13,$N13),1,1),O13/$R13),IFERROR(INDEX(shin($L13,$M13,$N13),1,1),O13/$R13))))</f>
        <v>0.5069771657</v>
      </c>
      <c r="T13" s="65">
        <f t="array" ref="T13">IF($R13="","",IF(Method!$B$56="proportional",P13/$R13,IF(Method!$B$56="power",IFERROR(INDEX(power_devig($L13,$M13,$N13),2,1),P13/$R13),IFERROR(INDEX(shin($L13,$M13,$N13),2,1),P13/$R13))))</f>
        <v>0.2776792284</v>
      </c>
      <c r="U13" s="65">
        <f t="array" ref="U13">IF($R13="","",IF(Method!$B$56="proportional",Q13/$R13,IF(Method!$B$56="power",IFERROR(INDEX(power_devig($L13,$M13,$N13),3,1),Q13/$R13),IFERROR(INDEX(shin($L13,$M13,$N13),3,1),Q13/$R13))))</f>
        <v>0.2153436059</v>
      </c>
      <c r="V13" s="65">
        <f>IF(S13="","",Method!$B$4*IF(BC13="",I13,BC13)+(1-Method!$B$4)*S13/($S13+$T13+$U13))</f>
        <v>0.4708330867</v>
      </c>
      <c r="W13" s="65">
        <f>IF(T13="","",Method!$B$4*IF(BD13="",J13,BD13)+(1-Method!$B$4)*T13/($S13+$T13+$U13))</f>
        <v>0.2727522104</v>
      </c>
      <c r="X13" s="65">
        <f>IF(U13="","",Method!$B$4*IF(BE13="",K13,BE13)+(1-Method!$B$4)*U13/($S13+$T13+$U13))</f>
        <v>0.2564147029</v>
      </c>
      <c r="Y13" s="66">
        <f t="shared" ref="Y13:AA13" si="38">IF(V13="","",V13*L13-1)</f>
        <v>-0.1054171353</v>
      </c>
      <c r="Z13" s="66">
        <f t="shared" si="38"/>
        <v>-0.07264248461</v>
      </c>
      <c r="AA13" s="66">
        <f t="shared" si="38"/>
        <v>0.1102756636</v>
      </c>
      <c r="AB13" s="67">
        <f t="shared" si="6"/>
        <v>3</v>
      </c>
      <c r="AC13" s="67" t="str">
        <f t="shared" si="7"/>
        <v>A</v>
      </c>
      <c r="AD13" s="68" t="str">
        <f t="shared" si="8"/>
        <v>2  Tunisia</v>
      </c>
      <c r="AE13" s="35">
        <f t="shared" si="9"/>
        <v>4.33</v>
      </c>
      <c r="AF13" s="66">
        <f t="shared" si="10"/>
        <v>0.1102756636</v>
      </c>
      <c r="AG13" s="66">
        <f t="shared" si="11"/>
        <v>0.04107109699</v>
      </c>
      <c r="AH13" s="69" t="str">
        <f t="array" ref="AH13">IF(AB13="","· enter odds",IF(OR(AF13&gt;Method!$B$87,IFERROR(INDEX(BC13:BE13,1,AB13)/INDEX(S13:U13,1,AB13),0)&gt;Method!$B$88),"PASS",IF(AND(AF13&gt;=Method!$B$7,AG13&gt;=Method!$B$8),"BET","PASS")))</f>
        <v>BET</v>
      </c>
      <c r="AI13" s="70">
        <f>IF(AH13&lt;&gt;"BET",0,ROUND(MIN(Method!$B$6,Method!$B$5*AL13)*100,1))</f>
        <v>0.8</v>
      </c>
      <c r="AJ13" s="71">
        <f>IF(OR(AH13&lt;&gt;"BET",Method!$B$55=TRUE()),0,IF(AI13*Method!$B$10/100&lt;Method!$B$9,0,ROUND(AI13*Method!$B$10/100,0)))</f>
        <v>8</v>
      </c>
      <c r="AK13" s="65">
        <f t="shared" si="12"/>
        <v>0.2564147029</v>
      </c>
      <c r="AL13" s="65">
        <f t="shared" si="13"/>
        <v>0.03311581489</v>
      </c>
      <c r="AM13" s="66">
        <f t="shared" si="14"/>
        <v>0.1102876636</v>
      </c>
      <c r="AN13" s="72" t="str">
        <f>IF(Matchday!N15="","",Matchday!N15)</f>
        <v/>
      </c>
      <c r="AO13" s="64" t="str">
        <f>IF(Matchday!P15="","",Matchday!P15)</f>
        <v/>
      </c>
      <c r="AP13" s="73" t="str">
        <f>IF(Matchday!Q15="","",Matchday!Q15)</f>
        <v/>
      </c>
      <c r="AQ13" s="72" t="str">
        <f>IF(Matchday!R15="","",Matchday!R15)</f>
        <v>H</v>
      </c>
      <c r="AR13" s="74" t="str">
        <f t="shared" si="15"/>
        <v/>
      </c>
      <c r="AS13" s="74" t="str">
        <f t="shared" si="16"/>
        <v/>
      </c>
      <c r="AT13" s="33" t="str">
        <f>IFERROR(__xludf.DUMMYFUNCTION("IF(AB13="""",""Type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pauses."")),IF(AH13=""BET"",IF(AJ13=0,""Edge found but stake rounds under £""&amp;Method!$B$9&amp;"" — skip"",IF(AND(AE13&gt;=6,AG13&gt;=0.15),""🟡 WAIT — long-shot review: odds ""&amp;TEXT(AE13,""0.00"")&amp;"" + edge ""&amp;TEXT(AG13,""0.0%"")"&amp;"&amp;"" — verify sharp-book + team news + stake comfort before Placed=Y"",""Value found: EV ""&amp;TEXT(AF13,""0.0%"")&amp;"", edge ""&amp;TEXT(AG13,""0.0%""))),IF(OR(AF13&gt;Method!$B$87,IFERROR(INDEX(BC13:BE13,1,AB13)/INDEX(S13:U13,1,AB13),0)&gt;Method!$B$88),""🛑 Tail trap "&amp;"— auto-PASS · EV ""&amp;TEXT(AF13,""0.0%"")&amp;"" (cap ""&amp;TEXT(Method!$B$87,""0%"")&amp;"") · model/market ""&amp;TEXT(IFERROR(INDEX(BC13:BE13,1,AB13)/INDEX(S13:U13,1,AB13),0),""0.0"")&amp;""× (cap ""&amp;TEXT(Method!$B$88,""0.0"")&amp;""×)"",IF(AF13&lt;Method!$B$7,""Price too short —"&amp;" EV ""&amp;TEXT(AF13,""0.0%"")&amp;"" (need ""&amp;TEXT(Method!$B$7,""0.0%"")&amp;""+)"",""Model ≈ market — edge ""&amp;TEXT(AG13,""0.0%"")&amp;"" (need ""&amp;TEXT(Method!$B$8,""0.0%"")&amp;""+)"")))))"),"Value found: EV 11.0%, edge 4.1%")</f>
        <v>Value found: EV 11.0%, edge 4.1%</v>
      </c>
      <c r="AU13" s="33" t="str">
        <f t="shared" si="17"/>
        <v/>
      </c>
      <c r="AV13" s="32" t="str">
        <f>IF(Matchday!O15="","",Matchday!O15)</f>
        <v/>
      </c>
      <c r="AW13" s="75"/>
      <c r="AX13" s="75"/>
      <c r="AY13" s="75"/>
      <c r="AZ13" s="75" t="str">
        <f t="shared" si="18"/>
        <v>BET</v>
      </c>
      <c r="BA13" s="76">
        <f>IF(AX13&lt;&gt;"",AX13,IF(AH13&lt;&gt;"BET",0,IF(AI13*Method!$B$10/100&lt;Method!$B$9,0,ROUND(AI13*Method!$B$10/100,0))))</f>
        <v>8</v>
      </c>
      <c r="BB13" s="12">
        <v>-48.94</v>
      </c>
      <c r="BC13" s="12">
        <v>0.4037083685033522</v>
      </c>
      <c r="BD13" s="12">
        <v>0.26360203418387956</v>
      </c>
      <c r="BE13" s="12">
        <v>0.3326895973127683</v>
      </c>
      <c r="BF13" s="14" t="s">
        <v>296</v>
      </c>
      <c r="BG13" s="12">
        <v>540.0</v>
      </c>
      <c r="BH13" s="14" t="s">
        <v>297</v>
      </c>
      <c r="BI13" s="12">
        <v>0.0</v>
      </c>
    </row>
    <row r="14" ht="15.0" customHeight="1">
      <c r="A14" s="32">
        <v>13.0</v>
      </c>
      <c r="B14" s="59">
        <v>46188.0</v>
      </c>
      <c r="C14" s="60" t="s">
        <v>111</v>
      </c>
      <c r="D14" s="61" t="s">
        <v>68</v>
      </c>
      <c r="E14" s="61" t="s">
        <v>69</v>
      </c>
      <c r="F14" s="61" t="s">
        <v>298</v>
      </c>
      <c r="G14" s="62">
        <v>0.5</v>
      </c>
      <c r="H14" s="62">
        <v>0.7083333333321207</v>
      </c>
      <c r="I14" s="63">
        <v>0.8591931449530917</v>
      </c>
      <c r="J14" s="63">
        <v>0.10076913082375002</v>
      </c>
      <c r="K14" s="63">
        <v>0.04003772422315819</v>
      </c>
      <c r="L14" s="64">
        <f>IF(Matchday!E16="","",Matchday!E16)</f>
        <v>1.11</v>
      </c>
      <c r="M14" s="64">
        <f>IF(Matchday!F16="","",Matchday!F16)</f>
        <v>14</v>
      </c>
      <c r="N14" s="64">
        <f>IF(Matchday!G16="","",Matchday!G16)</f>
        <v>36</v>
      </c>
      <c r="O14" s="65">
        <f t="shared" ref="O14:Q14" si="39">IF(L14="","",1/L14)</f>
        <v>0.9009009009</v>
      </c>
      <c r="P14" s="65">
        <f t="shared" si="39"/>
        <v>0.07142857143</v>
      </c>
      <c r="Q14" s="65">
        <f t="shared" si="39"/>
        <v>0.02777777778</v>
      </c>
      <c r="R14" s="65">
        <f t="shared" si="4"/>
        <v>1.00010725</v>
      </c>
      <c r="S14" s="65">
        <f t="array" ref="S14">IF($R14="","",IF(Method!$B$56="proportional",O14/$R14,IF(Method!$B$56="power",IFERROR(INDEX(power_devig($L14,$M14,$N14),1,1),O14/$R14),IFERROR(INDEX(shin($L14,$M14,$N14),1,1),O14/$R14))))</f>
        <v>0.9008499347</v>
      </c>
      <c r="T14" s="65">
        <f t="array" ref="T14">IF($R14="","",IF(Method!$B$56="proportional",P14/$R14,IF(Method!$B$56="power",IFERROR(INDEX(power_devig($L14,$M14,$N14),2,1),P14/$R14),IFERROR(INDEX(shin($L14,$M14,$N14),2,1),P14/$R14))))</f>
        <v>0.07139984057</v>
      </c>
      <c r="U14" s="65">
        <f t="array" ref="U14">IF($R14="","",IF(Method!$B$56="proportional",Q14/$R14,IF(Method!$B$56="power",IFERROR(INDEX(power_devig($L14,$M14,$N14),3,1),Q14/$R14),IFERROR(INDEX(shin($L14,$M14,$N14),3,1),Q14/$R14))))</f>
        <v>0.02775022472</v>
      </c>
      <c r="V14" s="65">
        <f>IF(S14="","",Method!$B$4*IF(BC14="",I14,BC14)+(1-Method!$B$4)*S14/($S14+$T14+$U14))</f>
        <v>0.8810310413</v>
      </c>
      <c r="W14" s="65">
        <f>IF(T14="","",Method!$B$4*IF(BD14="",J14,BD14)+(1-Method!$B$4)*T14/($S14+$T14+$U14))</f>
        <v>0.0844398615</v>
      </c>
      <c r="X14" s="65">
        <f>IF(U14="","",Method!$B$4*IF(BE14="",K14,BE14)+(1-Method!$B$4)*U14/($S14+$T14+$U14))</f>
        <v>0.03452909718</v>
      </c>
      <c r="Y14" s="66">
        <f t="shared" ref="Y14:AA14" si="40">IF(V14="","",V14*L14-1)</f>
        <v>-0.02205554414</v>
      </c>
      <c r="Z14" s="66">
        <f t="shared" si="40"/>
        <v>0.182158061</v>
      </c>
      <c r="AA14" s="66">
        <f t="shared" si="40"/>
        <v>0.2430474986</v>
      </c>
      <c r="AB14" s="67">
        <f t="shared" si="6"/>
        <v>3</v>
      </c>
      <c r="AC14" s="67" t="str">
        <f t="shared" si="7"/>
        <v>A</v>
      </c>
      <c r="AD14" s="68" t="str">
        <f t="shared" si="8"/>
        <v>2  Cape Verde</v>
      </c>
      <c r="AE14" s="35">
        <f t="shared" si="9"/>
        <v>36</v>
      </c>
      <c r="AF14" s="66">
        <f t="shared" si="10"/>
        <v>0.2430474986</v>
      </c>
      <c r="AG14" s="66">
        <f t="shared" si="11"/>
        <v>0.006778872468</v>
      </c>
      <c r="AH14" s="69" t="str">
        <f t="array" ref="AH14">IF(AB14="","· enter odds",IF(OR(AF14&gt;Method!$B$87,IFERROR(INDEX(BC14:BE14,1,AB14)/INDEX(S14:U14,1,AB14),0)&gt;Method!$B$88),"PASS",IF(AND(AF14&gt;=Method!$B$7,AG14&gt;=Method!$B$8),"BET","PASS")))</f>
        <v>PASS</v>
      </c>
      <c r="AI14" s="70">
        <f>IF(AH14&lt;&gt;"BET",0,ROUND(MIN(Method!$B$6,Method!$B$5*AL14)*100,1))</f>
        <v>0</v>
      </c>
      <c r="AJ14" s="71">
        <f>IF(OR(AH14&lt;&gt;"BET",Method!$B$55=TRUE()),0,IF(AI14*Method!$B$10/100&lt;Method!$B$9,0,ROUND(AI14*Method!$B$10/100,0)))</f>
        <v>0</v>
      </c>
      <c r="AK14" s="65">
        <f t="shared" si="12"/>
        <v>0.03452909718</v>
      </c>
      <c r="AL14" s="65" t="str">
        <f t="shared" si="13"/>
        <v/>
      </c>
      <c r="AM14" s="66" t="str">
        <f t="shared" si="14"/>
        <v/>
      </c>
      <c r="AN14" s="72" t="str">
        <f>IF(Matchday!N16="","",Matchday!N16)</f>
        <v/>
      </c>
      <c r="AO14" s="64" t="str">
        <f>IF(Matchday!P16="","",Matchday!P16)</f>
        <v/>
      </c>
      <c r="AP14" s="73" t="str">
        <f>IF(Matchday!Q16="","",Matchday!Q16)</f>
        <v/>
      </c>
      <c r="AQ14" s="72" t="str">
        <f>IF(Matchday!R16="","",Matchday!R16)</f>
        <v>D</v>
      </c>
      <c r="AR14" s="74" t="str">
        <f t="shared" si="15"/>
        <v/>
      </c>
      <c r="AS14" s="74" t="str">
        <f t="shared" si="16"/>
        <v/>
      </c>
      <c r="AT14" s="33" t="str">
        <f>IFERROR(__xludf.DUMMYFUNCTION("IF(AB14="""",""Type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pauses."")),IF(AH14=""BET"",IF(AJ14=0,""Edge found but stake rounds under £""&amp;Method!$B$9&amp;"" — skip"",IF(AND(AE14&gt;=6,AG14&gt;=0.15),""🟡 WAIT — long-shot review: odds ""&amp;TEXT(AE14,""0.00"")&amp;"" + edge ""&amp;TEXT(AG14,""0.0%"")"&amp;"&amp;"" — verify sharp-book + team news + stake comfort before Placed=Y"",""Value found: EV ""&amp;TEXT(AF14,""0.0%"")&amp;"", edge ""&amp;TEXT(AG14,""0.0%""))),IF(OR(AF14&gt;Method!$B$87,IFERROR(INDEX(BC14:BE14,1,AB14)/INDEX(S14:U14,1,AB14),0)&gt;Method!$B$88),""🛑 Tail trap "&amp;"— auto-PASS · EV ""&amp;TEXT(AF14,""0.0%"")&amp;"" (cap ""&amp;TEXT(Method!$B$87,""0%"")&amp;"") · model/market ""&amp;TEXT(IFERROR(INDEX(BC14:BE14,1,AB14)/INDEX(S14:U14,1,AB14),0),""0.0"")&amp;""× (cap ""&amp;TEXT(Method!$B$88,""0.0"")&amp;""×)"",IF(AF14&lt;Method!$B$7,""Price too short —"&amp;" EV ""&amp;TEXT(AF14,""0.0%"")&amp;"" (need ""&amp;TEXT(Method!$B$7,""0.0%"")&amp;""+)"",""Model ≈ market — edge ""&amp;TEXT(AG14,""0.0%"")&amp;"" (need ""&amp;TEXT(Method!$B$8,""0.0%"")&amp;""+)"")))))"),"Model ≈ market — edge 0.7% (need 2.5%+)")</f>
        <v>Model ≈ market — edge 0.7% (need 2.5%+)</v>
      </c>
      <c r="AU14" s="33" t="str">
        <f t="shared" si="17"/>
        <v/>
      </c>
      <c r="AV14" s="32" t="str">
        <f>IF(Matchday!O16="","",Matchday!O16)</f>
        <v/>
      </c>
      <c r="AW14" s="75"/>
      <c r="AX14" s="75"/>
      <c r="AY14" s="75"/>
      <c r="AZ14" s="75" t="str">
        <f t="shared" si="18"/>
        <v>PASS</v>
      </c>
      <c r="BA14" s="76">
        <f>IF(AX14&lt;&gt;"",AX14,IF(AH14&lt;&gt;"BET",0,IF(AI14*Method!$B$10/100&lt;Method!$B$9,0,ROUND(AI14*Method!$B$10/100,0))))</f>
        <v>0</v>
      </c>
      <c r="BB14" s="12">
        <v>1.879999999999999</v>
      </c>
      <c r="BC14" s="12">
        <v>0.844224524992453</v>
      </c>
      <c r="BD14" s="12">
        <v>0.10865704323977794</v>
      </c>
      <c r="BE14" s="12">
        <v>0.047118431767769</v>
      </c>
      <c r="BF14" s="14" t="s">
        <v>299</v>
      </c>
      <c r="BG14" s="12">
        <v>320.0</v>
      </c>
      <c r="BH14" s="14" t="s">
        <v>300</v>
      </c>
      <c r="BI14" s="12">
        <v>0.0</v>
      </c>
    </row>
    <row r="15" ht="15.0" customHeight="1">
      <c r="A15" s="32">
        <v>14.0</v>
      </c>
      <c r="B15" s="59">
        <v>46188.0</v>
      </c>
      <c r="C15" s="60" t="s">
        <v>301</v>
      </c>
      <c r="D15" s="61" t="s">
        <v>70</v>
      </c>
      <c r="E15" s="61" t="s">
        <v>71</v>
      </c>
      <c r="F15" s="61" t="s">
        <v>302</v>
      </c>
      <c r="G15" s="62">
        <v>0.625</v>
      </c>
      <c r="H15" s="62">
        <v>0.9583333333321207</v>
      </c>
      <c r="I15" s="63">
        <v>0.5211870937695483</v>
      </c>
      <c r="J15" s="63">
        <v>0.28201180986178</v>
      </c>
      <c r="K15" s="63">
        <v>0.19680109636867188</v>
      </c>
      <c r="L15" s="64">
        <f>IF(Matchday!E17="","",Matchday!E17)</f>
        <v>1.57</v>
      </c>
      <c r="M15" s="64">
        <f>IF(Matchday!F17="","",Matchday!F17)</f>
        <v>4.33</v>
      </c>
      <c r="N15" s="64">
        <f>IF(Matchday!G17="","",Matchday!G17)</f>
        <v>7</v>
      </c>
      <c r="O15" s="65">
        <f t="shared" ref="O15:Q15" si="41">IF(L15="","",1/L15)</f>
        <v>0.6369426752</v>
      </c>
      <c r="P15" s="65">
        <f t="shared" si="41"/>
        <v>0.2309468822</v>
      </c>
      <c r="Q15" s="65">
        <f t="shared" si="41"/>
        <v>0.1428571429</v>
      </c>
      <c r="R15" s="65">
        <f t="shared" si="4"/>
        <v>1.0107467</v>
      </c>
      <c r="S15" s="65">
        <f t="array" ref="S15">IF($R15="","",IF(Method!$B$56="proportional",O15/$R15,IF(Method!$B$56="power",IFERROR(INDEX(power_devig($L15,$M15,$N15),1,1),O15/$R15),IFERROR(INDEX(shin($L15,$M15,$N15),1,1),O15/$R15))))</f>
        <v>0.6325583702</v>
      </c>
      <c r="T15" s="65">
        <f t="array" ref="T15">IF($R15="","",IF(Method!$B$56="proportional",P15/$R15,IF(Method!$B$56="power",IFERROR(INDEX(power_devig($L15,$M15,$N15),2,1),P15/$R15),IFERROR(INDEX(shin($L15,$M15,$N15),2,1),P15/$R15))))</f>
        <v>0.2276445027</v>
      </c>
      <c r="U15" s="65">
        <f t="array" ref="U15">IF($R15="","",IF(Method!$B$56="proportional",Q15/$R15,IF(Method!$B$56="power",IFERROR(INDEX(power_devig($L15,$M15,$N15),3,1),Q15/$R15),IFERROR(INDEX(shin($L15,$M15,$N15),3,1),Q15/$R15))))</f>
        <v>0.1397971271</v>
      </c>
      <c r="V15" s="65">
        <f>IF(S15="","",Method!$B$4*IF(BC15="",I15,BC15)+(1-Method!$B$4)*S15/($S15+$T15+$U15))</f>
        <v>0.5934651758</v>
      </c>
      <c r="W15" s="65">
        <f>IF(T15="","",Method!$B$4*IF(BD15="",J15,BD15)+(1-Method!$B$4)*T15/($S15+$T15+$U15))</f>
        <v>0.2429726036</v>
      </c>
      <c r="X15" s="65">
        <f>IF(U15="","",Method!$B$4*IF(BE15="",K15,BE15)+(1-Method!$B$4)*U15/($S15+$T15+$U15))</f>
        <v>0.1635622207</v>
      </c>
      <c r="Y15" s="66">
        <f t="shared" ref="Y15:AA15" si="42">IF(V15="","",V15*L15-1)</f>
        <v>-0.06825967401</v>
      </c>
      <c r="Z15" s="66">
        <f t="shared" si="42"/>
        <v>0.05207137339</v>
      </c>
      <c r="AA15" s="66">
        <f t="shared" si="42"/>
        <v>0.1449355446</v>
      </c>
      <c r="AB15" s="67">
        <f t="shared" si="6"/>
        <v>3</v>
      </c>
      <c r="AC15" s="67" t="str">
        <f t="shared" si="7"/>
        <v>A</v>
      </c>
      <c r="AD15" s="68" t="str">
        <f t="shared" si="8"/>
        <v>2  Egypt</v>
      </c>
      <c r="AE15" s="35">
        <f t="shared" si="9"/>
        <v>7</v>
      </c>
      <c r="AF15" s="66">
        <f t="shared" si="10"/>
        <v>0.1449355446</v>
      </c>
      <c r="AG15" s="66">
        <f t="shared" si="11"/>
        <v>0.02376509356</v>
      </c>
      <c r="AH15" s="69" t="str">
        <f t="array" ref="AH15">IF(AB15="","· enter odds",IF(OR(AF15&gt;Method!$B$87,IFERROR(INDEX(BC15:BE15,1,AB15)/INDEX(S15:U15,1,AB15),0)&gt;Method!$B$88),"PASS",IF(AND(AF15&gt;=Method!$B$7,AG15&gt;=Method!$B$8),"BET","PASS")))</f>
        <v>PASS</v>
      </c>
      <c r="AI15" s="70">
        <f>IF(AH15&lt;&gt;"BET",0,ROUND(MIN(Method!$B$6,Method!$B$5*AL15)*100,1))</f>
        <v>0</v>
      </c>
      <c r="AJ15" s="71">
        <f>IF(OR(AH15&lt;&gt;"BET",Method!$B$55=TRUE()),0,IF(AI15*Method!$B$10/100&lt;Method!$B$9,0,ROUND(AI15*Method!$B$10/100,0)))</f>
        <v>0</v>
      </c>
      <c r="AK15" s="65">
        <f t="shared" si="12"/>
        <v>0.1635622207</v>
      </c>
      <c r="AL15" s="65" t="str">
        <f t="shared" si="13"/>
        <v/>
      </c>
      <c r="AM15" s="66" t="str">
        <f t="shared" si="14"/>
        <v/>
      </c>
      <c r="AN15" s="72" t="str">
        <f>IF(Matchday!N17="","",Matchday!N17)</f>
        <v/>
      </c>
      <c r="AO15" s="64" t="str">
        <f>IF(Matchday!P17="","",Matchday!P17)</f>
        <v/>
      </c>
      <c r="AP15" s="73" t="str">
        <f>IF(Matchday!Q17="","",Matchday!Q17)</f>
        <v/>
      </c>
      <c r="AQ15" s="72" t="str">
        <f>IF(Matchday!R17="","",Matchday!R17)</f>
        <v>D</v>
      </c>
      <c r="AR15" s="74" t="str">
        <f t="shared" si="15"/>
        <v/>
      </c>
      <c r="AS15" s="74" t="str">
        <f t="shared" si="16"/>
        <v/>
      </c>
      <c r="AT15" s="33" t="str">
        <f>IFERROR(__xludf.DUMMYFUNCTION("IF(AB15="""",""Type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pauses."")),IF(AH15=""BET"",IF(AJ15=0,""Edge found but stake rounds under £""&amp;Method!$B$9&amp;"" — skip"",IF(AND(AE15&gt;=6,AG15&gt;=0.15),""🟡 WAIT — long-shot review: odds ""&amp;TEXT(AE15,""0.00"")&amp;"" + edge ""&amp;TEXT(AG15,""0.0%"")"&amp;"&amp;"" — verify sharp-book + team news + stake comfort before Placed=Y"",""Value found: EV ""&amp;TEXT(AF15,""0.0%"")&amp;"", edge ""&amp;TEXT(AG15,""0.0%""))),IF(OR(AF15&gt;Method!$B$87,IFERROR(INDEX(BC15:BE15,1,AB15)/INDEX(S15:U15,1,AB15),0)&gt;Method!$B$88),""🛑 Tail trap "&amp;"— auto-PASS · EV ""&amp;TEXT(AF15,""0.0%"")&amp;"" (cap ""&amp;TEXT(Method!$B$87,""0%"")&amp;"") · model/market ""&amp;TEXT(IFERROR(INDEX(BC15:BE15,1,AB15)/INDEX(S15:U15,1,AB15),0),""0.0"")&amp;""× (cap ""&amp;TEXT(Method!$B$88,""0.0"")&amp;""×)"",IF(AF15&lt;Method!$B$7,""Price too short —"&amp;" EV ""&amp;TEXT(AF15,""0.0%"")&amp;"" (need ""&amp;TEXT(Method!$B$7,""0.0%"")&amp;""+)"",""Model ≈ market — edge ""&amp;TEXT(AG15,""0.0%"")&amp;"" (need ""&amp;TEXT(Method!$B$8,""0.0%"")&amp;""+)"")))))"),"Model ≈ market — edge 2.4% (need 2.5%+)")</f>
        <v>Model ≈ market — edge 2.4% (need 2.5%+)</v>
      </c>
      <c r="AU15" s="33" t="str">
        <f t="shared" si="17"/>
        <v/>
      </c>
      <c r="AV15" s="32" t="str">
        <f>IF(Matchday!O17="","",Matchday!O17)</f>
        <v/>
      </c>
      <c r="AW15" s="75"/>
      <c r="AX15" s="75"/>
      <c r="AY15" s="75"/>
      <c r="AZ15" s="75" t="str">
        <f t="shared" si="18"/>
        <v>PASS</v>
      </c>
      <c r="BA15" s="76">
        <f>IF(AX15&lt;&gt;"",AX15,IF(AH15&lt;&gt;"BET",0,IF(AI15*Method!$B$10/100&lt;Method!$B$9,0,ROUND(AI15*Method!$B$10/100,0))))</f>
        <v>0</v>
      </c>
      <c r="BB15" s="12">
        <v>-40.79</v>
      </c>
      <c r="BC15" s="12">
        <v>0.520863529007174</v>
      </c>
      <c r="BD15" s="12">
        <v>0.27143907658526734</v>
      </c>
      <c r="BE15" s="12">
        <v>0.2076973944075587</v>
      </c>
      <c r="BF15" s="14" t="s">
        <v>303</v>
      </c>
      <c r="BG15" s="12">
        <v>5.0</v>
      </c>
      <c r="BH15" s="14" t="s">
        <v>266</v>
      </c>
      <c r="BI15" s="12">
        <v>0.0</v>
      </c>
    </row>
    <row r="16" ht="15.0" customHeight="1">
      <c r="A16" s="32">
        <v>15.0</v>
      </c>
      <c r="B16" s="59">
        <v>46188.0</v>
      </c>
      <c r="C16" s="60" t="s">
        <v>111</v>
      </c>
      <c r="D16" s="61" t="s">
        <v>72</v>
      </c>
      <c r="E16" s="61" t="s">
        <v>73</v>
      </c>
      <c r="F16" s="61" t="s">
        <v>304</v>
      </c>
      <c r="G16" s="62">
        <v>0.75</v>
      </c>
      <c r="H16" s="62">
        <v>0.9583333333321207</v>
      </c>
      <c r="I16" s="63">
        <v>0.16914686165284412</v>
      </c>
      <c r="J16" s="63">
        <v>0.26071743358886773</v>
      </c>
      <c r="K16" s="63">
        <v>0.5701357047582881</v>
      </c>
      <c r="L16" s="64">
        <f>IF(Matchday!E18="","",Matchday!E18)</f>
        <v>8</v>
      </c>
      <c r="M16" s="64">
        <f>IF(Matchday!F18="","",Matchday!F18)</f>
        <v>4.5</v>
      </c>
      <c r="N16" s="64">
        <f>IF(Matchday!G18="","",Matchday!G18)</f>
        <v>1.5</v>
      </c>
      <c r="O16" s="65">
        <f t="shared" ref="O16:Q16" si="43">IF(L16="","",1/L16)</f>
        <v>0.125</v>
      </c>
      <c r="P16" s="65">
        <f t="shared" si="43"/>
        <v>0.2222222222</v>
      </c>
      <c r="Q16" s="65">
        <f t="shared" si="43"/>
        <v>0.6666666667</v>
      </c>
      <c r="R16" s="65">
        <f t="shared" si="4"/>
        <v>1.013888889</v>
      </c>
      <c r="S16" s="65">
        <f t="array" ref="S16">IF($R16="","",IF(Method!$B$56="proportional",O16/$R16,IF(Method!$B$56="power",IFERROR(INDEX(power_devig($L16,$M16,$N16),1,1),O16/$R16),IFERROR(INDEX(shin($L16,$M16,$N16),1,1),O16/$R16))))</f>
        <v>0.1211130596</v>
      </c>
      <c r="T16" s="65">
        <f t="array" ref="T16">IF($R16="","",IF(Method!$B$56="proportional",P16/$R16,IF(Method!$B$56="power",IFERROR(INDEX(power_devig($L16,$M16,$N16),2,1),P16/$R16),IFERROR(INDEX(shin($L16,$M16,$N16),2,1),P16/$R16))))</f>
        <v>0.2179839874</v>
      </c>
      <c r="U16" s="65">
        <f t="array" ref="U16">IF($R16="","",IF(Method!$B$56="proportional",Q16/$R16,IF(Method!$B$56="power",IFERROR(INDEX(power_devig($L16,$M16,$N16),3,1),Q16/$R16),IFERROR(INDEX(shin($L16,$M16,$N16),3,1),Q16/$R16))))</f>
        <v>0.660902953</v>
      </c>
      <c r="V16" s="65">
        <f>IF(S16="","",Method!$B$4*IF(BC16="",I16,BC16)+(1-Method!$B$4)*S16/($S16+$T16+$U16))</f>
        <v>0.1302956574</v>
      </c>
      <c r="W16" s="65">
        <f>IF(T16="","",Method!$B$4*IF(BD16="",J16,BD16)+(1-Method!$B$4)*T16/($S16+$T16+$U16))</f>
        <v>0.2406039232</v>
      </c>
      <c r="X16" s="65">
        <f>IF(U16="","",Method!$B$4*IF(BE16="",K16,BE16)+(1-Method!$B$4)*U16/($S16+$T16+$U16))</f>
        <v>0.6291004194</v>
      </c>
      <c r="Y16" s="66">
        <f t="shared" ref="Y16:AA16" si="44">IF(V16="","",V16*L16-1)</f>
        <v>0.04236525957</v>
      </c>
      <c r="Z16" s="66">
        <f t="shared" si="44"/>
        <v>0.08271765431</v>
      </c>
      <c r="AA16" s="66">
        <f t="shared" si="44"/>
        <v>-0.05634937094</v>
      </c>
      <c r="AB16" s="67">
        <f t="shared" si="6"/>
        <v>2</v>
      </c>
      <c r="AC16" s="67" t="str">
        <f t="shared" si="7"/>
        <v>D</v>
      </c>
      <c r="AD16" s="68" t="str">
        <f t="shared" si="8"/>
        <v>X  Draw</v>
      </c>
      <c r="AE16" s="35">
        <f t="shared" si="9"/>
        <v>4.5</v>
      </c>
      <c r="AF16" s="66">
        <f t="shared" si="10"/>
        <v>0.08271765431</v>
      </c>
      <c r="AG16" s="66">
        <f t="shared" si="11"/>
        <v>0.02261993578</v>
      </c>
      <c r="AH16" s="69" t="str">
        <f t="array" ref="AH16">IF(AB16="","· enter odds",IF(OR(AF16&gt;Method!$B$87,IFERROR(INDEX(BC16:BE16,1,AB16)/INDEX(S16:U16,1,AB16),0)&gt;Method!$B$88),"PASS",IF(AND(AF16&gt;=Method!$B$7,AG16&gt;=Method!$B$8),"BET","PASS")))</f>
        <v>PASS</v>
      </c>
      <c r="AI16" s="70">
        <f>IF(AH16&lt;&gt;"BET",0,ROUND(MIN(Method!$B$6,Method!$B$5*AL16)*100,1))</f>
        <v>0</v>
      </c>
      <c r="AJ16" s="71">
        <f>IF(OR(AH16&lt;&gt;"BET",Method!$B$55=TRUE()),0,IF(AI16*Method!$B$10/100&lt;Method!$B$9,0,ROUND(AI16*Method!$B$10/100,0)))</f>
        <v>0</v>
      </c>
      <c r="AK16" s="65">
        <f t="shared" si="12"/>
        <v>0.2406039232</v>
      </c>
      <c r="AL16" s="65" t="str">
        <f t="shared" si="13"/>
        <v/>
      </c>
      <c r="AM16" s="67" t="str">
        <f t="shared" si="14"/>
        <v/>
      </c>
      <c r="AN16" s="72" t="str">
        <f>IF(Matchday!N18="","",Matchday!N18)</f>
        <v/>
      </c>
      <c r="AO16" s="64" t="str">
        <f>IF(Matchday!P18="","",Matchday!P18)</f>
        <v/>
      </c>
      <c r="AP16" s="73" t="str">
        <f>IF(Matchday!Q18="","",Matchday!Q18)</f>
        <v/>
      </c>
      <c r="AQ16" s="72" t="str">
        <f>IF(Matchday!R18="","",Matchday!R18)</f>
        <v>D</v>
      </c>
      <c r="AR16" s="74" t="str">
        <f t="shared" si="15"/>
        <v/>
      </c>
      <c r="AS16" s="74" t="str">
        <f t="shared" si="16"/>
        <v/>
      </c>
      <c r="AT16" s="33" t="str">
        <f>IFERROR(__xludf.DUMMYFUNCTION("IF(AB16="""",""Type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pauses."")),IF(AH16=""BET"",IF(AJ16=0,""Edge found but stake rounds under £""&amp;Method!$B$9&amp;"" — skip"",IF(AND(AE16&gt;=6,AG16&gt;=0.15),""🟡 WAIT — long-shot review: odds ""&amp;TEXT(AE16,""0.00"")&amp;"" + edge ""&amp;TEXT(AG16,""0.0%"")"&amp;"&amp;"" — verify sharp-book + team news + stake comfort before Placed=Y"",""Value found: EV ""&amp;TEXT(AF16,""0.0%"")&amp;"", edge ""&amp;TEXT(AG16,""0.0%""))),IF(OR(AF16&gt;Method!$B$87,IFERROR(INDEX(BC16:BE16,1,AB16)/INDEX(S16:U16,1,AB16),0)&gt;Method!$B$88),""🛑 Tail trap "&amp;"— auto-PASS · EV ""&amp;TEXT(AF16,""0.0%"")&amp;"" (cap ""&amp;TEXT(Method!$B$87,""0%"")&amp;"") · model/market ""&amp;TEXT(IFERROR(INDEX(BC16:BE16,1,AB16)/INDEX(S16:U16,1,AB16),0),""0.0"")&amp;""× (cap ""&amp;TEXT(Method!$B$88,""0.0"")&amp;""×)"",IF(AF16&lt;Method!$B$7,""Price too short —"&amp;" EV ""&amp;TEXT(AF16,""0.0%"")&amp;"" (need ""&amp;TEXT(Method!$B$7,""0.0%"")&amp;""+)"",""Model ≈ market — edge ""&amp;TEXT(AG16,""0.0%"")&amp;"" (need ""&amp;TEXT(Method!$B$8,""0.0%"")&amp;""+)"")))))"),"Model ≈ market — edge 2.3% (need 2.5%+)")</f>
        <v>Model ≈ market — edge 2.3% (need 2.5%+)</v>
      </c>
      <c r="AU16" s="33" t="str">
        <f t="shared" si="17"/>
        <v/>
      </c>
      <c r="AV16" s="32" t="str">
        <f>IF(Matchday!O18="","",Matchday!O18)</f>
        <v/>
      </c>
      <c r="AW16" s="75"/>
      <c r="AX16" s="75"/>
      <c r="AY16" s="75"/>
      <c r="AZ16" s="75" t="str">
        <f t="shared" si="18"/>
        <v>PASS</v>
      </c>
      <c r="BA16" s="76">
        <f>IF(AX16&lt;&gt;"",AX16,IF(AH16&lt;&gt;"BET",0,IF(AI16*Method!$B$10/100&lt;Method!$B$9,0,ROUND(AI16*Method!$B$10/100,0))))</f>
        <v>0</v>
      </c>
      <c r="BB16" s="12">
        <v>-30.97</v>
      </c>
      <c r="BC16" s="12">
        <v>0.14734905347311814</v>
      </c>
      <c r="BD16" s="12">
        <v>0.2826123753465443</v>
      </c>
      <c r="BE16" s="12">
        <v>0.5700385711803375</v>
      </c>
      <c r="BF16" s="14" t="s">
        <v>305</v>
      </c>
      <c r="BG16" s="12">
        <v>2.0</v>
      </c>
      <c r="BH16" s="14" t="s">
        <v>306</v>
      </c>
      <c r="BI16" s="12">
        <v>0.0</v>
      </c>
    </row>
    <row r="17" ht="15.0" customHeight="1">
      <c r="A17" s="32">
        <v>16.0</v>
      </c>
      <c r="B17" s="59">
        <v>46188.0</v>
      </c>
      <c r="C17" s="60" t="s">
        <v>301</v>
      </c>
      <c r="D17" s="61" t="s">
        <v>74</v>
      </c>
      <c r="E17" s="61" t="s">
        <v>75</v>
      </c>
      <c r="F17" s="61" t="s">
        <v>267</v>
      </c>
      <c r="G17" s="62">
        <v>0.875</v>
      </c>
      <c r="H17" s="60" t="s">
        <v>281</v>
      </c>
      <c r="I17" s="63">
        <v>0.5316406199984137</v>
      </c>
      <c r="J17" s="63">
        <v>0.2808644874463062</v>
      </c>
      <c r="K17" s="63">
        <v>0.18749489255528032</v>
      </c>
      <c r="L17" s="64">
        <f>IF(Matchday!E19="","",Matchday!E19)</f>
        <v>1.93</v>
      </c>
      <c r="M17" s="64">
        <f>IF(Matchday!F19="","",Matchday!F19)</f>
        <v>3.5</v>
      </c>
      <c r="N17" s="64">
        <f>IF(Matchday!G19="","",Matchday!G19)</f>
        <v>5</v>
      </c>
      <c r="O17" s="65">
        <f t="shared" ref="O17:Q17" si="45">IF(L17="","",1/L17)</f>
        <v>0.518134715</v>
      </c>
      <c r="P17" s="65">
        <f t="shared" si="45"/>
        <v>0.2857142857</v>
      </c>
      <c r="Q17" s="65">
        <f t="shared" si="45"/>
        <v>0.2</v>
      </c>
      <c r="R17" s="65">
        <f t="shared" si="4"/>
        <v>1.003849001</v>
      </c>
      <c r="S17" s="65">
        <f t="array" ref="S17">IF($R17="","",IF(Method!$B$56="proportional",O17/$R17,IF(Method!$B$56="power",IFERROR(INDEX(power_devig($L17,$M17,$N17),1,1),O17/$R17),IFERROR(INDEX(shin($L17,$M17,$N17),1,1),O17/$R17))))</f>
        <v>0.5166753991</v>
      </c>
      <c r="T17" s="65">
        <f t="array" ref="T17">IF($R17="","",IF(Method!$B$56="proportional",P17/$R17,IF(Method!$B$56="power",IFERROR(INDEX(power_devig($L17,$M17,$N17),2,1),P17/$R17),IFERROR(INDEX(shin($L17,$M17,$N17),2,1),P17/$R17))))</f>
        <v>0.2844780872</v>
      </c>
      <c r="U17" s="65">
        <f t="array" ref="U17">IF($R17="","",IF(Method!$B$56="proportional",Q17/$R17,IF(Method!$B$56="power",IFERROR(INDEX(power_devig($L17,$M17,$N17),3,1),Q17/$R17),IFERROR(INDEX(shin($L17,$M17,$N17),3,1),Q17/$R17))))</f>
        <v>0.1988465137</v>
      </c>
      <c r="V17" s="65">
        <f>IF(S17="","",Method!$B$4*IF(BC17="",I17,BC17)+(1-Method!$B$4)*S17/($S17+$T17+$U17))</f>
        <v>0.5215012858</v>
      </c>
      <c r="W17" s="65">
        <f>IF(T17="","",Method!$B$4*IF(BD17="",J17,BD17)+(1-Method!$B$4)*T17/($S17+$T17+$U17))</f>
        <v>0.2801129478</v>
      </c>
      <c r="X17" s="65">
        <f>IF(U17="","",Method!$B$4*IF(BE17="",K17,BE17)+(1-Method!$B$4)*U17/($S17+$T17+$U17))</f>
        <v>0.1983857664</v>
      </c>
      <c r="Y17" s="66">
        <f t="shared" ref="Y17:AA17" si="46">IF(V17="","",V17*L17-1)</f>
        <v>0.006497481643</v>
      </c>
      <c r="Z17" s="66">
        <f t="shared" si="46"/>
        <v>-0.01960468272</v>
      </c>
      <c r="AA17" s="66">
        <f t="shared" si="46"/>
        <v>-0.008071168093</v>
      </c>
      <c r="AB17" s="67">
        <f t="shared" si="6"/>
        <v>1</v>
      </c>
      <c r="AC17" s="67" t="str">
        <f t="shared" si="7"/>
        <v>H</v>
      </c>
      <c r="AD17" s="68" t="str">
        <f t="shared" si="8"/>
        <v>1  Iran</v>
      </c>
      <c r="AE17" s="35">
        <f t="shared" si="9"/>
        <v>1.93</v>
      </c>
      <c r="AF17" s="66">
        <f t="shared" si="10"/>
        <v>0.006497481643</v>
      </c>
      <c r="AG17" s="66">
        <f t="shared" si="11"/>
        <v>0.004825886749</v>
      </c>
      <c r="AH17" s="69" t="str">
        <f t="array" ref="AH17">IF(AB17="","· enter odds",IF(OR(AF17&gt;Method!$B$87,IFERROR(INDEX(BC17:BE17,1,AB17)/INDEX(S17:U17,1,AB17),0)&gt;Method!$B$88),"PASS",IF(AND(AF17&gt;=Method!$B$7,AG17&gt;=Method!$B$8),"BET","PASS")))</f>
        <v>PASS</v>
      </c>
      <c r="AI17" s="70">
        <f>IF(AH17&lt;&gt;"BET",0,ROUND(MIN(Method!$B$6,Method!$B$5*AL17)*100,1))</f>
        <v>0</v>
      </c>
      <c r="AJ17" s="71">
        <f>IF(OR(AH17&lt;&gt;"BET",Method!$B$55=TRUE()),0,IF(AI17*Method!$B$10/100&lt;Method!$B$9,0,ROUND(AI17*Method!$B$10/100,0)))</f>
        <v>0</v>
      </c>
      <c r="AK17" s="65">
        <f t="shared" si="12"/>
        <v>0.5215012858</v>
      </c>
      <c r="AL17" s="65" t="str">
        <f t="shared" si="13"/>
        <v/>
      </c>
      <c r="AM17" s="67" t="str">
        <f t="shared" si="14"/>
        <v/>
      </c>
      <c r="AN17" s="72" t="str">
        <f>IF(Matchday!N19="","",Matchday!N19)</f>
        <v/>
      </c>
      <c r="AO17" s="64" t="str">
        <f>IF(Matchday!P19="","",Matchday!P19)</f>
        <v/>
      </c>
      <c r="AP17" s="73" t="str">
        <f>IF(Matchday!Q19="","",Matchday!Q19)</f>
        <v/>
      </c>
      <c r="AQ17" s="72" t="str">
        <f>IF(Matchday!R19="","",Matchday!R19)</f>
        <v>D</v>
      </c>
      <c r="AR17" s="74" t="str">
        <f t="shared" si="15"/>
        <v/>
      </c>
      <c r="AS17" s="74" t="str">
        <f t="shared" si="16"/>
        <v/>
      </c>
      <c r="AT17" s="33" t="str">
        <f>IFERROR(__xludf.DUMMYFUNCTION("IF(AB17="""",""Type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pauses."")),IF(AH17=""BET"",IF(AJ17=0,""Edge found but stake rounds under £""&amp;Method!$B$9&amp;"" — skip"",IF(AND(AE17&gt;=6,AG17&gt;=0.15),""🟡 WAIT — long-shot review: odds ""&amp;TEXT(AE17,""0.00"")&amp;"" + edge ""&amp;TEXT(AG17,""0.0%"")"&amp;"&amp;"" — verify sharp-book + team news + stake comfort before Placed=Y"",""Value found: EV ""&amp;TEXT(AF17,""0.0%"")&amp;"", edge ""&amp;TEXT(AG17,""0.0%""))),IF(OR(AF17&gt;Method!$B$87,IFERROR(INDEX(BC17:BE17,1,AB17)/INDEX(S17:U17,1,AB17),0)&gt;Method!$B$88),""🛑 Tail trap "&amp;"— auto-PASS · EV ""&amp;TEXT(AF17,""0.0%"")&amp;"" (cap ""&amp;TEXT(Method!$B$87,""0%"")&amp;"") · model/market ""&amp;TEXT(IFERROR(INDEX(BC17:BE17,1,AB17)/INDEX(S17:U17,1,AB17),0),""0.0"")&amp;""× (cap ""&amp;TEXT(Method!$B$88,""0.0"")&amp;""×)"",IF(AF17&lt;Method!$B$7,""Price too short —"&amp;" EV ""&amp;TEXT(AF17,""0.0%"")&amp;"" (need ""&amp;TEXT(Method!$B$7,""0.0%"")&amp;""+)"",""Model ≈ market — edge ""&amp;TEXT(AG17,""0.0%"")&amp;"" (need ""&amp;TEXT(Method!$B$8,""0.0%"")&amp;""+)"")))))"),"Price too short — EV 0.6% (need 2.5%+)")</f>
        <v>Price too short — EV 0.6% (need 2.5%+)</v>
      </c>
      <c r="AU17" s="33" t="str">
        <f t="shared" si="17"/>
        <v/>
      </c>
      <c r="AV17" s="32" t="str">
        <f>IF(Matchday!O19="","",Matchday!O19)</f>
        <v/>
      </c>
      <c r="AW17" s="75"/>
      <c r="AX17" s="75"/>
      <c r="AY17" s="75"/>
      <c r="AZ17" s="75" t="str">
        <f t="shared" si="18"/>
        <v>PASS</v>
      </c>
      <c r="BA17" s="76">
        <f>IF(AX17&lt;&gt;"",AX17,IF(AH17&lt;&gt;"BET",0,IF(AI17*Method!$B$10/100&lt;Method!$B$9,0,ROUND(AI17*Method!$B$10/100,0))))</f>
        <v>0</v>
      </c>
      <c r="BB17" s="12">
        <v>-9.96</v>
      </c>
      <c r="BC17" s="12">
        <v>0.5304636469313264</v>
      </c>
      <c r="BD17" s="12">
        <v>0.2720062602762468</v>
      </c>
      <c r="BE17" s="12">
        <v>0.1975300927924268</v>
      </c>
      <c r="BF17" s="14" t="s">
        <v>307</v>
      </c>
      <c r="BG17" s="12">
        <v>30.0</v>
      </c>
      <c r="BH17" s="14" t="s">
        <v>270</v>
      </c>
      <c r="BI17" s="12">
        <v>0.0</v>
      </c>
    </row>
    <row r="18" ht="15.0" customHeight="1">
      <c r="A18" s="32">
        <v>17.0</v>
      </c>
      <c r="B18" s="59">
        <v>46189.0</v>
      </c>
      <c r="C18" s="60" t="s">
        <v>308</v>
      </c>
      <c r="D18" s="61" t="s">
        <v>76</v>
      </c>
      <c r="E18" s="61" t="s">
        <v>77</v>
      </c>
      <c r="F18" s="61" t="s">
        <v>275</v>
      </c>
      <c r="G18" s="62">
        <v>0.625</v>
      </c>
      <c r="H18" s="62">
        <v>0.8333333333321207</v>
      </c>
      <c r="I18" s="63">
        <v>0.7543140748348006</v>
      </c>
      <c r="J18" s="63">
        <v>0.16377886998272673</v>
      </c>
      <c r="K18" s="63">
        <v>0.0819070551824725</v>
      </c>
      <c r="L18" s="64">
        <f>IF(Matchday!E20="","",Matchday!E20)</f>
        <v>1.52</v>
      </c>
      <c r="M18" s="64">
        <f>IF(Matchday!F20="","",Matchday!F20)</f>
        <v>4.55</v>
      </c>
      <c r="N18" s="64">
        <f>IF(Matchday!G20="","",Matchday!G20)</f>
        <v>7.2</v>
      </c>
      <c r="O18" s="65">
        <f t="shared" ref="O18:Q18" si="47">IF(L18="","",1/L18)</f>
        <v>0.6578947368</v>
      </c>
      <c r="P18" s="65">
        <f t="shared" si="47"/>
        <v>0.2197802198</v>
      </c>
      <c r="Q18" s="65">
        <f t="shared" si="47"/>
        <v>0.1388888889</v>
      </c>
      <c r="R18" s="65">
        <f t="shared" si="4"/>
        <v>1.016563846</v>
      </c>
      <c r="S18" s="65">
        <f t="array" ref="S18">IF($R18="","",IF(Method!$B$56="proportional",O18/$R18,IF(Method!$B$56="power",IFERROR(INDEX(power_devig($L18,$M18,$N18),1,1),O18/$R18),IFERROR(INDEX(shin($L18,$M18,$N18),1,1),O18/$R18))))</f>
        <v>0.6510627148</v>
      </c>
      <c r="T18" s="65">
        <f t="array" ref="T18">IF($R18="","",IF(Method!$B$56="proportional",P18/$R18,IF(Method!$B$56="power",IFERROR(INDEX(power_devig($L18,$M18,$N18),2,1),P18/$R18),IFERROR(INDEX(shin($L18,$M18,$N18),2,1),P18/$R18))))</f>
        <v>0.2147396903</v>
      </c>
      <c r="U18" s="65">
        <f t="array" ref="U18">IF($R18="","",IF(Method!$B$56="proportional",Q18/$R18,IF(Method!$B$56="power",IFERROR(INDEX(power_devig($L18,$M18,$N18),3,1),Q18/$R18),IFERROR(INDEX(shin($L18,$M18,$N18),3,1),Q18/$R18))))</f>
        <v>0.1341975949</v>
      </c>
      <c r="V18" s="65">
        <f>IF(S18="","",Method!$B$4*IF(BC18="",I18,BC18)+(1-Method!$B$4)*S18/($S18+$T18+$U18))</f>
        <v>0.6786154381</v>
      </c>
      <c r="W18" s="65">
        <f>IF(T18="","",Method!$B$4*IF(BD18="",J18,BD18)+(1-Method!$B$4)*T18/($S18+$T18+$U18))</f>
        <v>0.2047137357</v>
      </c>
      <c r="X18" s="65">
        <f>IF(U18="","",Method!$B$4*IF(BE18="",K18,BE18)+(1-Method!$B$4)*U18/($S18+$T18+$U18))</f>
        <v>0.1166708261</v>
      </c>
      <c r="Y18" s="66">
        <f t="shared" ref="Y18:AA18" si="48">IF(V18="","",V18*L18-1)</f>
        <v>0.03149546594</v>
      </c>
      <c r="Z18" s="66">
        <f t="shared" si="48"/>
        <v>-0.06855250238</v>
      </c>
      <c r="AA18" s="66">
        <f t="shared" si="48"/>
        <v>-0.1599700518</v>
      </c>
      <c r="AB18" s="67">
        <f t="shared" si="6"/>
        <v>1</v>
      </c>
      <c r="AC18" s="67" t="str">
        <f t="shared" si="7"/>
        <v>H</v>
      </c>
      <c r="AD18" s="68" t="str">
        <f t="shared" si="8"/>
        <v>1  France</v>
      </c>
      <c r="AE18" s="35">
        <f t="shared" si="9"/>
        <v>1.52</v>
      </c>
      <c r="AF18" s="66">
        <f t="shared" si="10"/>
        <v>0.03149546594</v>
      </c>
      <c r="AG18" s="66">
        <f t="shared" si="11"/>
        <v>0.02755272333</v>
      </c>
      <c r="AH18" s="69" t="str">
        <f t="array" ref="AH18">IF(AB18="","· enter odds",IF(OR(AF18&gt;Method!$B$87,IFERROR(INDEX(BC18:BE18,1,AB18)/INDEX(S18:U18,1,AB18),0)&gt;Method!$B$88),"PASS",IF(AND(AF18&gt;=Method!$B$7,AG18&gt;=Method!$B$8),"BET","PASS")))</f>
        <v>BET</v>
      </c>
      <c r="AI18" s="70">
        <f>IF(AH18&lt;&gt;"BET",0,ROUND(MIN(Method!$B$6,Method!$B$5*AL18)*100,1))</f>
        <v>1.5</v>
      </c>
      <c r="AJ18" s="71">
        <f>IF(OR(AH18&lt;&gt;"BET",Method!$B$55=TRUE()),0,IF(AI18*Method!$B$10/100&lt;Method!$B$9,0,ROUND(AI18*Method!$B$10/100,0)))</f>
        <v>15</v>
      </c>
      <c r="AK18" s="65">
        <f t="shared" si="12"/>
        <v>0.6786154381</v>
      </c>
      <c r="AL18" s="65">
        <f t="shared" si="13"/>
        <v>0.06056820374</v>
      </c>
      <c r="AM18" s="66">
        <f t="shared" si="14"/>
        <v>0.03151246594</v>
      </c>
      <c r="AN18" s="72" t="str">
        <f>IF(Matchday!N20="","",Matchday!N20)</f>
        <v/>
      </c>
      <c r="AO18" s="64" t="str">
        <f>IF(Matchday!P20="","",Matchday!P20)</f>
        <v/>
      </c>
      <c r="AP18" s="73" t="str">
        <f>IF(Matchday!Q20="","",Matchday!Q20)</f>
        <v/>
      </c>
      <c r="AQ18" s="72" t="str">
        <f>IF(Matchday!R20="","",Matchday!R20)</f>
        <v>H</v>
      </c>
      <c r="AR18" s="74" t="str">
        <f t="shared" si="15"/>
        <v/>
      </c>
      <c r="AS18" s="74" t="str">
        <f t="shared" si="16"/>
        <v/>
      </c>
      <c r="AT18" s="33" t="str">
        <f>IFERROR(__xludf.DUMMYFUNCTION("IF(AB18="""",""Type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pauses."")),IF(AH18=""BET"",IF(AJ18=0,""Edge found but stake rounds under £""&amp;Method!$B$9&amp;"" — skip"",IF(AND(AE18&gt;=6,AG18&gt;=0.15),""🟡 WAIT — long-shot review: odds ""&amp;TEXT(AE18,""0.00"")&amp;"" + edge ""&amp;TEXT(AG18,""0.0%"")"&amp;"&amp;"" — verify sharp-book + team news + stake comfort before Placed=Y"",""Value found: EV ""&amp;TEXT(AF18,""0.0%"")&amp;"", edge ""&amp;TEXT(AG18,""0.0%""))),IF(OR(AF18&gt;Method!$B$87,IFERROR(INDEX(BC18:BE18,1,AB18)/INDEX(S18:U18,1,AB18),0)&gt;Method!$B$88),""🛑 Tail trap "&amp;"— auto-PASS · EV ""&amp;TEXT(AF18,""0.0%"")&amp;"" (cap ""&amp;TEXT(Method!$B$87,""0%"")&amp;"") · model/market ""&amp;TEXT(IFERROR(INDEX(BC18:BE18,1,AB18)/INDEX(S18:U18,1,AB18),0),""0.0"")&amp;""× (cap ""&amp;TEXT(Method!$B$88,""0.0"")&amp;""×)"",IF(AF18&lt;Method!$B$7,""Price too short —"&amp;" EV ""&amp;TEXT(AF18,""0.0%"")&amp;"" (need ""&amp;TEXT(Method!$B$7,""0.0%"")&amp;""+)"",""Model ≈ market — edge ""&amp;TEXT(AG18,""0.0%"")&amp;"" (need ""&amp;TEXT(Method!$B$8,""0.0%"")&amp;""+)"")))))"),"Value found: EV 3.1%, edge 2.8%")</f>
        <v>Value found: EV 3.1%, edge 2.8%</v>
      </c>
      <c r="AU18" s="33" t="str">
        <f t="shared" si="17"/>
        <v/>
      </c>
      <c r="AV18" s="32" t="str">
        <f>IF(Matchday!O20="","",Matchday!O20)</f>
        <v/>
      </c>
      <c r="AW18" s="75"/>
      <c r="AX18" s="75"/>
      <c r="AY18" s="75"/>
      <c r="AZ18" s="75" t="str">
        <f t="shared" si="18"/>
        <v>BET</v>
      </c>
      <c r="BA18" s="76">
        <f>IF(AX18&lt;&gt;"",AX18,IF(AH18&lt;&gt;"BET",0,IF(AI18*Method!$B$10/100&lt;Method!$B$9,0,ROUND(AI18*Method!$B$10/100,0))))</f>
        <v>15</v>
      </c>
      <c r="BB18" s="12">
        <v>4.24</v>
      </c>
      <c r="BC18" s="12">
        <v>0.7297847814468451</v>
      </c>
      <c r="BD18" s="12">
        <v>0.1860941057992083</v>
      </c>
      <c r="BE18" s="12">
        <v>0.08412111275394656</v>
      </c>
      <c r="BF18" s="14" t="s">
        <v>309</v>
      </c>
      <c r="BG18" s="12">
        <v>7.0</v>
      </c>
      <c r="BH18" s="14" t="s">
        <v>262</v>
      </c>
      <c r="BI18" s="12">
        <v>0.0</v>
      </c>
    </row>
    <row r="19" ht="15.0" customHeight="1">
      <c r="A19" s="32">
        <v>18.0</v>
      </c>
      <c r="B19" s="59">
        <v>46189.0</v>
      </c>
      <c r="C19" s="60" t="s">
        <v>308</v>
      </c>
      <c r="D19" s="61" t="s">
        <v>78</v>
      </c>
      <c r="E19" s="61" t="s">
        <v>79</v>
      </c>
      <c r="F19" s="61" t="s">
        <v>277</v>
      </c>
      <c r="G19" s="62">
        <v>0.75</v>
      </c>
      <c r="H19" s="62">
        <v>0.9583333333321207</v>
      </c>
      <c r="I19" s="63">
        <v>0.11606846019547476</v>
      </c>
      <c r="J19" s="63">
        <v>0.26310176538989527</v>
      </c>
      <c r="K19" s="63">
        <v>0.6208297744146303</v>
      </c>
      <c r="L19" s="64">
        <f>IF(Matchday!E21="","",Matchday!E21)</f>
        <v>15</v>
      </c>
      <c r="M19" s="64">
        <f>IF(Matchday!F21="","",Matchday!F21)</f>
        <v>7.5</v>
      </c>
      <c r="N19" s="64">
        <f>IF(Matchday!G21="","",Matchday!G21)</f>
        <v>1.24</v>
      </c>
      <c r="O19" s="65">
        <f t="shared" ref="O19:Q19" si="49">IF(L19="","",1/L19)</f>
        <v>0.06666666667</v>
      </c>
      <c r="P19" s="65">
        <f t="shared" si="49"/>
        <v>0.1333333333</v>
      </c>
      <c r="Q19" s="65">
        <f t="shared" si="49"/>
        <v>0.8064516129</v>
      </c>
      <c r="R19" s="65">
        <f t="shared" si="4"/>
        <v>1.006451613</v>
      </c>
      <c r="S19" s="65">
        <f t="array" ref="S19">IF($R19="","",IF(Method!$B$56="proportional",O19/$R19,IF(Method!$B$56="power",IFERROR(INDEX(power_devig($L19,$M19,$N19),1,1),O19/$R19),IFERROR(INDEX(shin($L19,$M19,$N19),1,1),O19/$R19))))</f>
        <v>0.06495263155</v>
      </c>
      <c r="T19" s="65">
        <f t="array" ref="T19">IF($R19="","",IF(Method!$B$56="proportional",P19/$R19,IF(Method!$B$56="power",IFERROR(INDEX(power_devig($L19,$M19,$N19),2,1),P19/$R19),IFERROR(INDEX(shin($L19,$M19,$N19),2,1),P19/$R19))))</f>
        <v>0.1315034255</v>
      </c>
      <c r="U19" s="65">
        <f t="array" ref="U19">IF($R19="","",IF(Method!$B$56="proportional",Q19/$R19,IF(Method!$B$56="power",IFERROR(INDEX(power_devig($L19,$M19,$N19),3,1),Q19/$R19),IFERROR(INDEX(shin($L19,$M19,$N19),3,1),Q19/$R19))))</f>
        <v>0.803543943</v>
      </c>
      <c r="V19" s="65">
        <f>IF(S19="","",Method!$B$4*IF(BC19="",I19,BC19)+(1-Method!$B$4)*S19/($S19+$T19+$U19))</f>
        <v>0.07872421366</v>
      </c>
      <c r="W19" s="65">
        <f>IF(T19="","",Method!$B$4*IF(BD19="",J19,BD19)+(1-Method!$B$4)*T19/($S19+$T19+$U19))</f>
        <v>0.1839177153</v>
      </c>
      <c r="X19" s="65">
        <f>IF(U19="","",Method!$B$4*IF(BE19="",K19,BE19)+(1-Method!$B$4)*U19/($S19+$T19+$U19))</f>
        <v>0.7373580711</v>
      </c>
      <c r="Y19" s="66">
        <f t="shared" ref="Y19:AA19" si="50">IF(V19="","",V19*L19-1)</f>
        <v>0.1808632049</v>
      </c>
      <c r="Z19" s="66">
        <f t="shared" si="50"/>
        <v>0.3793828645</v>
      </c>
      <c r="AA19" s="66">
        <f t="shared" si="50"/>
        <v>-0.08567599187</v>
      </c>
      <c r="AB19" s="67">
        <f t="shared" si="6"/>
        <v>2</v>
      </c>
      <c r="AC19" s="67" t="str">
        <f t="shared" si="7"/>
        <v>D</v>
      </c>
      <c r="AD19" s="68" t="str">
        <f t="shared" si="8"/>
        <v>X  Draw</v>
      </c>
      <c r="AE19" s="35">
        <f t="shared" si="9"/>
        <v>7.5</v>
      </c>
      <c r="AF19" s="66">
        <f t="shared" si="10"/>
        <v>0.3793828645</v>
      </c>
      <c r="AG19" s="66">
        <f t="shared" si="11"/>
        <v>0.05241428977</v>
      </c>
      <c r="AH19" s="69" t="str">
        <f t="array" ref="AH19">IF(AB19="","· enter odds",IF(OR(AF19&gt;Method!$B$87,IFERROR(INDEX(BC19:BE19,1,AB19)/INDEX(S19:U19,1,AB19),0)&gt;Method!$B$88),"PASS",IF(AND(AF19&gt;=Method!$B$7,AG19&gt;=Method!$B$8),"BET","PASS")))</f>
        <v>PASS</v>
      </c>
      <c r="AI19" s="70">
        <f>IF(AH19&lt;&gt;"BET",0,ROUND(MIN(Method!$B$6,Method!$B$5*AL19)*100,1))</f>
        <v>0</v>
      </c>
      <c r="AJ19" s="71">
        <f>IF(OR(AH19&lt;&gt;"BET",Method!$B$55=TRUE()),0,IF(AI19*Method!$B$10/100&lt;Method!$B$9,0,ROUND(AI19*Method!$B$10/100,0)))</f>
        <v>0</v>
      </c>
      <c r="AK19" s="65">
        <f t="shared" si="12"/>
        <v>0.1839177153</v>
      </c>
      <c r="AL19" s="65" t="str">
        <f t="shared" si="13"/>
        <v/>
      </c>
      <c r="AM19" s="67" t="str">
        <f t="shared" si="14"/>
        <v/>
      </c>
      <c r="AN19" s="72" t="str">
        <f>IF(Matchday!N21="","",Matchday!N21)</f>
        <v/>
      </c>
      <c r="AO19" s="64" t="str">
        <f>IF(Matchday!P21="","",Matchday!P21)</f>
        <v/>
      </c>
      <c r="AP19" s="73" t="str">
        <f>IF(Matchday!Q21="","",Matchday!Q21)</f>
        <v/>
      </c>
      <c r="AQ19" s="72" t="str">
        <f>IF(Matchday!R21="","",Matchday!R21)</f>
        <v>A</v>
      </c>
      <c r="AR19" s="74" t="str">
        <f t="shared" si="15"/>
        <v/>
      </c>
      <c r="AS19" s="74" t="str">
        <f t="shared" si="16"/>
        <v/>
      </c>
      <c r="AT19" s="33" t="str">
        <f>IFERROR(__xludf.DUMMYFUNCTION("IF(AB19="""",""Type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pauses."")),IF(AH19=""BET"",IF(AJ19=0,""Edge found but stake rounds under £""&amp;Method!$B$9&amp;"" — skip"",IF(AND(AE19&gt;=6,AG19&gt;=0.15),""🟡 WAIT — long-shot review: odds ""&amp;TEXT(AE19,""0.00"")&amp;"" + edge ""&amp;TEXT(AG19,""0.0%"")"&amp;"&amp;"" — verify sharp-book + team news + stake comfort before Placed=Y"",""Value found: EV ""&amp;TEXT(AF19,""0.0%"")&amp;"", edge ""&amp;TEXT(AG19,""0.0%""))),IF(OR(AF19&gt;Method!$B$87,IFERROR(INDEX(BC19:BE19,1,AB19)/INDEX(S19:U19,1,AB19),0)&gt;Method!$B$88),""🛑 Tail trap "&amp;"— auto-PASS · EV ""&amp;TEXT(AF19,""0.0%"")&amp;"" (cap ""&amp;TEXT(Method!$B$87,""0%"")&amp;"") · model/market ""&amp;TEXT(IFERROR(INDEX(BC19:BE19,1,AB19)/INDEX(S19:U19,1,AB19),0),""0.0"")&amp;""× (cap ""&amp;TEXT(Method!$B$88,""0.0"")&amp;""×)"",IF(AF19&lt;Method!$B$7,""Price too short —"&amp;" EV ""&amp;TEXT(AF19,""0.0%"")&amp;"" (need ""&amp;TEXT(Method!$B$7,""0.0%"")&amp;""+)"",""Model ≈ market — edge ""&amp;TEXT(AG19,""0.0%"")&amp;"" (need ""&amp;TEXT(Method!$B$8,""0.0%"")&amp;""+)"")))))"),"🛑 Tail trap — auto-PASS · EV 37.9% (cap 30%) · model/market 2.1× (cap 2.5×)")</f>
        <v>🛑 Tail trap — auto-PASS · EV 37.9% (cap 30%) · model/market 2.1× (cap 2.5×)</v>
      </c>
      <c r="AU19" s="33" t="str">
        <f t="shared" si="17"/>
        <v/>
      </c>
      <c r="AV19" s="32" t="str">
        <f>IF(Matchday!O21="","",Matchday!O21)</f>
        <v/>
      </c>
      <c r="AW19" s="75"/>
      <c r="AX19" s="75"/>
      <c r="AY19" s="75"/>
      <c r="AZ19" s="75" t="str">
        <f t="shared" si="18"/>
        <v>PASS</v>
      </c>
      <c r="BA19" s="76">
        <f>IF(AX19&lt;&gt;"",AX19,IF(AH19&lt;&gt;"BET",0,IF(AI19*Method!$B$10/100&lt;Method!$B$9,0,ROUND(AI19*Method!$B$10/100,0))))</f>
        <v>0</v>
      </c>
      <c r="BB19" s="12">
        <v>-24.0</v>
      </c>
      <c r="BC19" s="12">
        <v>0.10430000900949739</v>
      </c>
      <c r="BD19" s="12">
        <v>0.28125853912320603</v>
      </c>
      <c r="BE19" s="12">
        <v>0.6144414518672966</v>
      </c>
      <c r="BF19" s="14" t="s">
        <v>310</v>
      </c>
      <c r="BG19" s="12">
        <v>40.0</v>
      </c>
      <c r="BH19" s="14" t="s">
        <v>279</v>
      </c>
      <c r="BI19" s="12">
        <v>0.0</v>
      </c>
    </row>
    <row r="20" ht="15.0" customHeight="1">
      <c r="A20" s="32">
        <v>19.0</v>
      </c>
      <c r="B20" s="59">
        <v>46189.0</v>
      </c>
      <c r="C20" s="60" t="s">
        <v>311</v>
      </c>
      <c r="D20" s="61" t="s">
        <v>80</v>
      </c>
      <c r="E20" s="61" t="s">
        <v>81</v>
      </c>
      <c r="F20" s="61" t="s">
        <v>312</v>
      </c>
      <c r="G20" s="62">
        <v>0.8333333333321207</v>
      </c>
      <c r="H20" s="60" t="s">
        <v>268</v>
      </c>
      <c r="I20" s="63">
        <v>0.7668655183808393</v>
      </c>
      <c r="J20" s="63">
        <v>0.16396844267102104</v>
      </c>
      <c r="K20" s="63">
        <v>0.0691660389481396</v>
      </c>
      <c r="L20" s="64">
        <f>IF(Matchday!E22="","",Matchday!E22)</f>
        <v>1.55</v>
      </c>
      <c r="M20" s="64">
        <f>IF(Matchday!F22="","",Matchday!F22)</f>
        <v>4.2</v>
      </c>
      <c r="N20" s="64">
        <f>IF(Matchday!G22="","",Matchday!G22)</f>
        <v>7.1</v>
      </c>
      <c r="O20" s="65">
        <f t="shared" ref="O20:Q20" si="51">IF(L20="","",1/L20)</f>
        <v>0.6451612903</v>
      </c>
      <c r="P20" s="65">
        <f t="shared" si="51"/>
        <v>0.2380952381</v>
      </c>
      <c r="Q20" s="65">
        <f t="shared" si="51"/>
        <v>0.1408450704</v>
      </c>
      <c r="R20" s="65">
        <f t="shared" si="4"/>
        <v>1.024101599</v>
      </c>
      <c r="S20" s="65">
        <f t="array" ref="S20">IF($R20="","",IF(Method!$B$56="proportional",O20/$R20,IF(Method!$B$56="power",IFERROR(INDEX(power_devig($L20,$M20,$N20),1,1),O20/$R20),IFERROR(INDEX(shin($L20,$M20,$N20),1,1),O20/$R20))))</f>
        <v>0.6353167188</v>
      </c>
      <c r="T20" s="65">
        <f t="array" ref="T20">IF($R20="","",IF(Method!$B$56="proportional",P20/$R20,IF(Method!$B$56="power",IFERROR(INDEX(power_devig($L20,$M20,$N20),2,1),P20/$R20),IFERROR(INDEX(shin($L20,$M20,$N20),2,1),P20/$R20))))</f>
        <v>0.2306577382</v>
      </c>
      <c r="U20" s="65">
        <f t="array" ref="U20">IF($R20="","",IF(Method!$B$56="proportional",Q20/$R20,IF(Method!$B$56="power",IFERROR(INDEX(power_devig($L20,$M20,$N20),3,1),Q20/$R20),IFERROR(INDEX(shin($L20,$M20,$N20),3,1),Q20/$R20))))</f>
        <v>0.134025543</v>
      </c>
      <c r="V20" s="65">
        <f>IF(S20="","",Method!$B$4*IF(BC20="",I20,BC20)+(1-Method!$B$4)*S20/($S20+$T20+$U20))</f>
        <v>0.6736714727</v>
      </c>
      <c r="W20" s="65">
        <f>IF(T20="","",Method!$B$4*IF(BD20="",J20,BD20)+(1-Method!$B$4)*T20/($S20+$T20+$U20))</f>
        <v>0.2147155684</v>
      </c>
      <c r="X20" s="65">
        <f>IF(U20="","",Method!$B$4*IF(BE20="",K20,BE20)+(1-Method!$B$4)*U20/($S20+$T20+$U20))</f>
        <v>0.111612959</v>
      </c>
      <c r="Y20" s="66">
        <f t="shared" ref="Y20:AA20" si="52">IF(V20="","",V20*L20-1)</f>
        <v>0.04419078262</v>
      </c>
      <c r="Z20" s="66">
        <f t="shared" si="52"/>
        <v>-0.09819461281</v>
      </c>
      <c r="AA20" s="66">
        <f t="shared" si="52"/>
        <v>-0.2075479913</v>
      </c>
      <c r="AB20" s="67">
        <f t="shared" si="6"/>
        <v>1</v>
      </c>
      <c r="AC20" s="67" t="str">
        <f t="shared" si="7"/>
        <v>H</v>
      </c>
      <c r="AD20" s="68" t="str">
        <f t="shared" si="8"/>
        <v>1  Argentina</v>
      </c>
      <c r="AE20" s="35">
        <f t="shared" si="9"/>
        <v>1.55</v>
      </c>
      <c r="AF20" s="66">
        <f t="shared" si="10"/>
        <v>0.04419078262</v>
      </c>
      <c r="AG20" s="66">
        <f t="shared" si="11"/>
        <v>0.03835475387</v>
      </c>
      <c r="AH20" s="69" t="str">
        <f t="array" ref="AH20">IF(AB20="","· enter odds",IF(OR(AF20&gt;Method!$B$87,IFERROR(INDEX(BC20:BE20,1,AB20)/INDEX(S20:U20,1,AB20),0)&gt;Method!$B$88),"PASS",IF(AND(AF20&gt;=Method!$B$7,AG20&gt;=Method!$B$8),"BET","PASS")))</f>
        <v>BET</v>
      </c>
      <c r="AI20" s="70">
        <f>IF(AH20&lt;&gt;"BET",0,ROUND(MIN(Method!$B$6,Method!$B$5*AL20)*100,1))</f>
        <v>2</v>
      </c>
      <c r="AJ20" s="71">
        <f>IF(OR(AH20&lt;&gt;"BET",Method!$B$55=TRUE()),0,IF(AI20*Method!$B$10/100&lt;Method!$B$9,0,ROUND(AI20*Method!$B$10/100,0)))</f>
        <v>19</v>
      </c>
      <c r="AK20" s="65">
        <f t="shared" si="12"/>
        <v>0.6736714727</v>
      </c>
      <c r="AL20" s="65">
        <f t="shared" si="13"/>
        <v>0.08034687748</v>
      </c>
      <c r="AM20" s="66">
        <f t="shared" si="14"/>
        <v>0.04420978262</v>
      </c>
      <c r="AN20" s="72" t="str">
        <f>IF(Matchday!N22="","",Matchday!N22)</f>
        <v/>
      </c>
      <c r="AO20" s="64" t="str">
        <f>IF(Matchday!P22="","",Matchday!P22)</f>
        <v/>
      </c>
      <c r="AP20" s="73" t="str">
        <f>IF(Matchday!Q22="","",Matchday!Q22)</f>
        <v/>
      </c>
      <c r="AQ20" s="72" t="str">
        <f>IF(Matchday!R22="","",Matchday!R22)</f>
        <v>H</v>
      </c>
      <c r="AR20" s="74" t="str">
        <f t="shared" si="15"/>
        <v/>
      </c>
      <c r="AS20" s="74" t="str">
        <f t="shared" si="16"/>
        <v/>
      </c>
      <c r="AT20" s="33" t="str">
        <f>IFERROR(__xludf.DUMMYFUNCTION("IF(AB20="""",""Type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pauses."")),IF(AH20=""BET"",IF(AJ20=0,""Edge found but stake rounds under £""&amp;Method!$B$9&amp;"" — skip"",IF(AND(AE20&gt;=6,AG20&gt;=0.15),""🟡 WAIT — long-shot review: odds ""&amp;TEXT(AE20,""0.00"")&amp;"" + edge ""&amp;TEXT(AG20,""0.0%"")"&amp;"&amp;"" — verify sharp-book + team news + stake comfort before Placed=Y"",""Value found: EV ""&amp;TEXT(AF20,""0.0%"")&amp;"", edge ""&amp;TEXT(AG20,""0.0%""))),IF(OR(AF20&gt;Method!$B$87,IFERROR(INDEX(BC20:BE20,1,AB20)/INDEX(S20:U20,1,AB20),0)&gt;Method!$B$88),""🛑 Tail trap "&amp;"— auto-PASS · EV ""&amp;TEXT(AF20,""0.0%"")&amp;"" (cap ""&amp;TEXT(Method!$B$87,""0%"")&amp;"") · model/market ""&amp;TEXT(IFERROR(INDEX(BC20:BE20,1,AB20)/INDEX(S20:U20,1,AB20),0),""0.0"")&amp;""× (cap ""&amp;TEXT(Method!$B$88,""0.0"")&amp;""×)"",IF(AF20&lt;Method!$B$7,""Price too short —"&amp;" EV ""&amp;TEXT(AF20,""0.0%"")&amp;"" (need ""&amp;TEXT(Method!$B$7,""0.0%"")&amp;""+)"",""Model ≈ market — edge ""&amp;TEXT(AG20,""0.0%"")&amp;"" (need ""&amp;TEXT(Method!$B$8,""0.0%"")&amp;""+)"")))))"),"Value found: EV 4.4%, edge 3.8%")</f>
        <v>Value found: EV 4.4%, edge 3.8%</v>
      </c>
      <c r="AU20" s="33" t="str">
        <f t="shared" si="17"/>
        <v/>
      </c>
      <c r="AV20" s="32" t="str">
        <f>IF(Matchday!O22="","",Matchday!O22)</f>
        <v/>
      </c>
      <c r="AW20" s="75"/>
      <c r="AX20" s="75"/>
      <c r="AY20" s="75"/>
      <c r="AZ20" s="75" t="str">
        <f t="shared" si="18"/>
        <v>BET</v>
      </c>
      <c r="BA20" s="76">
        <f>IF(AX20&lt;&gt;"",AX20,IF(AH20&lt;&gt;"BET",0,IF(AI20*Method!$B$10/100&lt;Method!$B$9,0,ROUND(AI20*Method!$B$10/100,0))))</f>
        <v>19</v>
      </c>
      <c r="BB20" s="12">
        <v>-11.73</v>
      </c>
      <c r="BC20" s="12">
        <v>0.7449017298348639</v>
      </c>
      <c r="BD20" s="12">
        <v>0.18510868163662922</v>
      </c>
      <c r="BE20" s="12">
        <v>0.06998958852850681</v>
      </c>
      <c r="BF20" s="14" t="s">
        <v>313</v>
      </c>
      <c r="BG20" s="12">
        <v>270.0</v>
      </c>
      <c r="BH20" s="14" t="s">
        <v>314</v>
      </c>
      <c r="BI20" s="12">
        <v>0.0</v>
      </c>
    </row>
    <row r="21" ht="15.0" customHeight="1">
      <c r="A21" s="32">
        <v>20.0</v>
      </c>
      <c r="B21" s="59">
        <v>46189.0</v>
      </c>
      <c r="C21" s="60" t="s">
        <v>311</v>
      </c>
      <c r="D21" s="61" t="s">
        <v>82</v>
      </c>
      <c r="E21" s="61" t="s">
        <v>83</v>
      </c>
      <c r="F21" s="61" t="s">
        <v>271</v>
      </c>
      <c r="G21" s="62">
        <v>0.875</v>
      </c>
      <c r="H21" s="60" t="s">
        <v>281</v>
      </c>
      <c r="I21" s="63">
        <v>0.45611191919993377</v>
      </c>
      <c r="J21" s="63">
        <v>0.30288180598098235</v>
      </c>
      <c r="K21" s="63">
        <v>0.24100627481908393</v>
      </c>
      <c r="L21" s="64">
        <f>IF(Matchday!E23="","",Matchday!E23)</f>
        <v>1.4</v>
      </c>
      <c r="M21" s="64">
        <f>IF(Matchday!F23="","",Matchday!F23)</f>
        <v>4.8</v>
      </c>
      <c r="N21" s="64">
        <f>IF(Matchday!G23="","",Matchday!G23)</f>
        <v>9.2</v>
      </c>
      <c r="O21" s="65">
        <f t="shared" ref="O21:Q21" si="53">IF(L21="","",1/L21)</f>
        <v>0.7142857143</v>
      </c>
      <c r="P21" s="65">
        <f t="shared" si="53"/>
        <v>0.2083333333</v>
      </c>
      <c r="Q21" s="65">
        <f t="shared" si="53"/>
        <v>0.1086956522</v>
      </c>
      <c r="R21" s="65">
        <f t="shared" si="4"/>
        <v>1.0313147</v>
      </c>
      <c r="S21" s="65">
        <f t="array" ref="S21">IF($R21="","",IF(Method!$B$56="proportional",O21/$R21,IF(Method!$B$56="power",IFERROR(INDEX(power_devig($L21,$M21,$N21),1,1),O21/$R21),IFERROR(INDEX(shin($L21,$M21,$N21),1,1),O21/$R21))))</f>
        <v>0.7009881312</v>
      </c>
      <c r="T21" s="65">
        <f t="array" ref="T21">IF($R21="","",IF(Method!$B$56="proportional",P21/$R21,IF(Method!$B$56="power",IFERROR(INDEX(power_devig($L21,$M21,$N21),2,1),P21/$R21),IFERROR(INDEX(shin($L21,$M21,$N21),2,1),P21/$R21))))</f>
        <v>0.198884811</v>
      </c>
      <c r="U21" s="65">
        <f t="array" ref="U21">IF($R21="","",IF(Method!$B$56="proportional",Q21/$R21,IF(Method!$B$56="power",IFERROR(INDEX(power_devig($L21,$M21,$N21),3,1),Q21/$R21),IFERROR(INDEX(shin($L21,$M21,$N21),3,1),Q21/$R21))))</f>
        <v>0.1001270578</v>
      </c>
      <c r="V21" s="65">
        <f>IF(S21="","",Method!$B$4*IF(BC21="",I21,BC21)+(1-Method!$B$4)*S21/($S21+$T21+$U21))</f>
        <v>0.6209529265</v>
      </c>
      <c r="W21" s="65">
        <f>IF(T21="","",Method!$B$4*IF(BD21="",J21,BD21)+(1-Method!$B$4)*T21/($S21+$T21+$U21))</f>
        <v>0.2218995052</v>
      </c>
      <c r="X21" s="65">
        <f>IF(U21="","",Method!$B$4*IF(BE21="",K21,BE21)+(1-Method!$B$4)*U21/($S21+$T21+$U21))</f>
        <v>0.1571475683</v>
      </c>
      <c r="Y21" s="66">
        <f t="shared" ref="Y21:AA21" si="54">IF(V21="","",V21*L21-1)</f>
        <v>-0.130665903</v>
      </c>
      <c r="Z21" s="66">
        <f t="shared" si="54"/>
        <v>0.06511762511</v>
      </c>
      <c r="AA21" s="66">
        <f t="shared" si="54"/>
        <v>0.4457576284</v>
      </c>
      <c r="AB21" s="67">
        <f t="shared" si="6"/>
        <v>3</v>
      </c>
      <c r="AC21" s="67" t="str">
        <f t="shared" si="7"/>
        <v>A</v>
      </c>
      <c r="AD21" s="68" t="str">
        <f t="shared" si="8"/>
        <v>2  Jordan</v>
      </c>
      <c r="AE21" s="35">
        <f t="shared" si="9"/>
        <v>9.2</v>
      </c>
      <c r="AF21" s="66">
        <f t="shared" si="10"/>
        <v>0.4457576284</v>
      </c>
      <c r="AG21" s="66">
        <f t="shared" si="11"/>
        <v>0.05702051046</v>
      </c>
      <c r="AH21" s="69" t="str">
        <f t="array" ref="AH21">IF(AB21="","· enter odds",IF(OR(AF21&gt;Method!$B$87,IFERROR(INDEX(BC21:BE21,1,AB21)/INDEX(S21:U21,1,AB21),0)&gt;Method!$B$88),"PASS",IF(AND(AF21&gt;=Method!$B$7,AG21&gt;=Method!$B$8),"BET","PASS")))</f>
        <v>PASS</v>
      </c>
      <c r="AI21" s="70">
        <f>IF(AH21&lt;&gt;"BET",0,ROUND(MIN(Method!$B$6,Method!$B$5*AL21)*100,1))</f>
        <v>0</v>
      </c>
      <c r="AJ21" s="71">
        <f>IF(OR(AH21&lt;&gt;"BET",Method!$B$55=TRUE()),0,IF(AI21*Method!$B$10/100&lt;Method!$B$9,0,ROUND(AI21*Method!$B$10/100,0)))</f>
        <v>0</v>
      </c>
      <c r="AK21" s="65">
        <f t="shared" si="12"/>
        <v>0.1571475683</v>
      </c>
      <c r="AL21" s="65" t="str">
        <f t="shared" si="13"/>
        <v/>
      </c>
      <c r="AM21" s="67" t="str">
        <f t="shared" si="14"/>
        <v/>
      </c>
      <c r="AN21" s="72" t="str">
        <f>IF(Matchday!N23="","",Matchday!N23)</f>
        <v/>
      </c>
      <c r="AO21" s="64" t="str">
        <f>IF(Matchday!P23="","",Matchday!P23)</f>
        <v/>
      </c>
      <c r="AP21" s="73" t="str">
        <f>IF(Matchday!Q23="","",Matchday!Q23)</f>
        <v/>
      </c>
      <c r="AQ21" s="72" t="str">
        <f>IF(Matchday!R23="","",Matchday!R23)</f>
        <v>H</v>
      </c>
      <c r="AR21" s="74" t="str">
        <f t="shared" si="15"/>
        <v/>
      </c>
      <c r="AS21" s="74" t="str">
        <f t="shared" si="16"/>
        <v/>
      </c>
      <c r="AT21" s="33" t="str">
        <f>IFERROR(__xludf.DUMMYFUNCTION("IF(AB21="""",""Type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pauses."")),IF(AH21=""BET"",IF(AJ21=0,""Edge found but stake rounds under £""&amp;Method!$B$9&amp;"" — skip"",IF(AND(AE21&gt;=6,AG21&gt;=0.15),""🟡 WAIT — long-shot review: odds ""&amp;TEXT(AE21,""0.00"")&amp;"" + edge ""&amp;TEXT(AG21,""0.0%"")"&amp;"&amp;"" — verify sharp-book + team news + stake comfort before Placed=Y"",""Value found: EV ""&amp;TEXT(AF21,""0.0%"")&amp;"", edge ""&amp;TEXT(AG21,""0.0%""))),IF(OR(AF21&gt;Method!$B$87,IFERROR(INDEX(BC21:BE21,1,AB21)/INDEX(S21:U21,1,AB21),0)&gt;Method!$B$88),""🛑 Tail trap "&amp;"— auto-PASS · EV ""&amp;TEXT(AF21,""0.0%"")&amp;"" (cap ""&amp;TEXT(Method!$B$87,""0%"")&amp;"") · model/market ""&amp;TEXT(IFERROR(INDEX(BC21:BE21,1,AB21)/INDEX(S21:U21,1,AB21),0),""0.0"")&amp;""× (cap ""&amp;TEXT(Method!$B$88,""0.0"")&amp;""×)"",IF(AF21&lt;Method!$B$7,""Price too short —"&amp;" EV ""&amp;TEXT(AF21,""0.0%"")&amp;"" (need ""&amp;TEXT(Method!$B$7,""0.0%"")&amp;""+)"",""Model ≈ market — edge ""&amp;TEXT(AG21,""0.0%"")&amp;"" (need ""&amp;TEXT(Method!$B$8,""0.0%"")&amp;""+)"")))))"),"🛑 Tail trap — auto-PASS · EV 44.6% (cap 30%) · model/market 2.6× (cap 2.5×)")</f>
        <v>🛑 Tail trap — auto-PASS · EV 44.6% (cap 30%) · model/market 2.6× (cap 2.5×)</v>
      </c>
      <c r="AU21" s="33" t="str">
        <f t="shared" si="17"/>
        <v/>
      </c>
      <c r="AV21" s="32" t="str">
        <f>IF(Matchday!O23="","",Matchday!O23)</f>
        <v/>
      </c>
      <c r="AW21" s="75"/>
      <c r="AX21" s="75"/>
      <c r="AY21" s="75"/>
      <c r="AZ21" s="75" t="str">
        <f t="shared" si="18"/>
        <v>PASS</v>
      </c>
      <c r="BA21" s="76">
        <f>IF(AX21&lt;&gt;"",AX21,IF(AH21&lt;&gt;"BET",0,IF(AI21*Method!$B$10/100&lt;Method!$B$9,0,ROUND(AI21*Method!$B$10/100,0))))</f>
        <v>0</v>
      </c>
      <c r="BB21" s="12">
        <v>-16.35</v>
      </c>
      <c r="BC21" s="12">
        <v>0.47231611770146276</v>
      </c>
      <c r="BD21" s="12">
        <v>0.2646410802728003</v>
      </c>
      <c r="BE21" s="12">
        <v>0.263042802025737</v>
      </c>
      <c r="BF21" s="14" t="s">
        <v>315</v>
      </c>
      <c r="BG21" s="12">
        <v>8.0</v>
      </c>
      <c r="BH21" s="14" t="s">
        <v>273</v>
      </c>
      <c r="BI21" s="12">
        <v>0.0</v>
      </c>
    </row>
    <row r="22" ht="15.0" customHeight="1">
      <c r="A22" s="32">
        <v>21.0</v>
      </c>
      <c r="B22" s="59">
        <v>46190.0</v>
      </c>
      <c r="C22" s="60" t="s">
        <v>316</v>
      </c>
      <c r="D22" s="61" t="s">
        <v>84</v>
      </c>
      <c r="E22" s="61" t="s">
        <v>85</v>
      </c>
      <c r="F22" s="61" t="s">
        <v>285</v>
      </c>
      <c r="G22" s="62">
        <v>0.5</v>
      </c>
      <c r="H22" s="62">
        <v>0.75</v>
      </c>
      <c r="I22" s="63">
        <v>0.6168094645759274</v>
      </c>
      <c r="J22" s="63">
        <v>0.24827131199764915</v>
      </c>
      <c r="K22" s="63">
        <v>0.1349192234264235</v>
      </c>
      <c r="L22" s="64">
        <f>IF(Matchday!E24="","",Matchday!E24)</f>
        <v>1.29</v>
      </c>
      <c r="M22" s="64">
        <f>IF(Matchday!F24="","",Matchday!F24)</f>
        <v>6</v>
      </c>
      <c r="N22" s="64">
        <f>IF(Matchday!G24="","",Matchday!G24)</f>
        <v>12</v>
      </c>
      <c r="O22" s="65">
        <f t="shared" ref="O22:Q22" si="55">IF(L22="","",1/L22)</f>
        <v>0.7751937984</v>
      </c>
      <c r="P22" s="65">
        <f t="shared" si="55"/>
        <v>0.1666666667</v>
      </c>
      <c r="Q22" s="65">
        <f t="shared" si="55"/>
        <v>0.08333333333</v>
      </c>
      <c r="R22" s="65">
        <f t="shared" si="4"/>
        <v>1.025193798</v>
      </c>
      <c r="S22" s="65">
        <f t="array" ref="S22">IF($R22="","",IF(Method!$B$56="proportional",O22/$R22,IF(Method!$B$56="power",IFERROR(INDEX(power_devig($L22,$M22,$N22),1,1),O22/$R22),IFERROR(INDEX(shin($L22,$M22,$N22),1,1),O22/$R22))))</f>
        <v>0.7640987528</v>
      </c>
      <c r="T22" s="65">
        <f t="array" ref="T22">IF($R22="","",IF(Method!$B$56="proportional",P22/$R22,IF(Method!$B$56="power",IFERROR(INDEX(power_devig($L22,$M22,$N22),2,1),P22/$R22),IFERROR(INDEX(shin($L22,$M22,$N22),2,1),P22/$R22))))</f>
        <v>0.1593050345</v>
      </c>
      <c r="U22" s="65">
        <f t="array" ref="U22">IF($R22="","",IF(Method!$B$56="proportional",Q22/$R22,IF(Method!$B$56="power",IFERROR(INDEX(power_devig($L22,$M22,$N22),3,1),Q22/$R22),IFERROR(INDEX(shin($L22,$M22,$N22),3,1),Q22/$R22))))</f>
        <v>0.07659621272</v>
      </c>
      <c r="V22" s="65">
        <f>IF(S22="","",Method!$B$4*IF(BC22="",I22,BC22)+(1-Method!$B$4)*S22/($S22+$T22+$U22))</f>
        <v>0.7017571005</v>
      </c>
      <c r="W22" s="65">
        <f>IF(T22="","",Method!$B$4*IF(BD22="",J22,BD22)+(1-Method!$B$4)*T22/($S22+$T22+$U22))</f>
        <v>0.2002930355</v>
      </c>
      <c r="X22" s="65">
        <f>IF(U22="","",Method!$B$4*IF(BE22="",K22,BE22)+(1-Method!$B$4)*U22/($S22+$T22+$U22))</f>
        <v>0.097949864</v>
      </c>
      <c r="Y22" s="66">
        <f t="shared" ref="Y22:AA22" si="56">IF(V22="","",V22*L22-1)</f>
        <v>-0.09473334033</v>
      </c>
      <c r="Z22" s="66">
        <f t="shared" si="56"/>
        <v>0.2017582129</v>
      </c>
      <c r="AA22" s="66">
        <f t="shared" si="56"/>
        <v>0.175398368</v>
      </c>
      <c r="AB22" s="67">
        <f t="shared" si="6"/>
        <v>2</v>
      </c>
      <c r="AC22" s="67" t="str">
        <f t="shared" si="7"/>
        <v>D</v>
      </c>
      <c r="AD22" s="68" t="str">
        <f t="shared" si="8"/>
        <v>X  Draw</v>
      </c>
      <c r="AE22" s="35">
        <f t="shared" si="9"/>
        <v>6</v>
      </c>
      <c r="AF22" s="66">
        <f t="shared" si="10"/>
        <v>0.2017582129</v>
      </c>
      <c r="AG22" s="66">
        <f t="shared" si="11"/>
        <v>0.04098800096</v>
      </c>
      <c r="AH22" s="69" t="str">
        <f t="array" ref="AH22">IF(AB22="","· enter odds",IF(OR(AF22&gt;Method!$B$87,IFERROR(INDEX(BC22:BE22,1,AB22)/INDEX(S22:U22,1,AB22),0)&gt;Method!$B$88),"PASS",IF(AND(AF22&gt;=Method!$B$7,AG22&gt;=Method!$B$8),"BET","PASS")))</f>
        <v>BET</v>
      </c>
      <c r="AI22" s="70">
        <f>IF(AH22&lt;&gt;"BET",0,ROUND(MIN(Method!$B$6,Method!$B$5*AL22)*100,1))</f>
        <v>1</v>
      </c>
      <c r="AJ22" s="71">
        <f>IF(OR(AH22&lt;&gt;"BET",Method!$B$55=TRUE()),0,IF(AI22*Method!$B$10/100&lt;Method!$B$9,0,ROUND(AI22*Method!$B$10/100,0)))</f>
        <v>10</v>
      </c>
      <c r="AK22" s="65">
        <f t="shared" si="12"/>
        <v>0.2002930355</v>
      </c>
      <c r="AL22" s="65">
        <f t="shared" si="13"/>
        <v>0.04035164258</v>
      </c>
      <c r="AM22" s="66">
        <f t="shared" si="14"/>
        <v>0.2017792129</v>
      </c>
      <c r="AN22" s="72" t="str">
        <f>IF(Matchday!N24="","",Matchday!N24)</f>
        <v/>
      </c>
      <c r="AO22" s="64" t="str">
        <f>IF(Matchday!P24="","",Matchday!P24)</f>
        <v/>
      </c>
      <c r="AP22" s="73" t="str">
        <f>IF(Matchday!Q24="","",Matchday!Q24)</f>
        <v/>
      </c>
      <c r="AQ22" s="72" t="str">
        <f>IF(Matchday!R24="","",Matchday!R24)</f>
        <v>D</v>
      </c>
      <c r="AR22" s="74" t="str">
        <f t="shared" si="15"/>
        <v/>
      </c>
      <c r="AS22" s="74" t="str">
        <f t="shared" si="16"/>
        <v/>
      </c>
      <c r="AT22" s="33" t="str">
        <f>IFERROR(__xludf.DUMMYFUNCTION("IF(AB22="""",""Type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pauses."")),IF(AH22=""BET"",IF(AJ22=0,""Edge found but stake rounds under £""&amp;Method!$B$9&amp;"" — skip"",IF(AND(AE22&gt;=6,AG22&gt;=0.15),""🟡 WAIT — long-shot review: odds ""&amp;TEXT(AE22,""0.00"")&amp;"" + edge ""&amp;TEXT(AG22,""0.0%"")"&amp;"&amp;"" — verify sharp-book + team news + stake comfort before Placed=Y"",""Value found: EV ""&amp;TEXT(AF22,""0.0%"")&amp;"", edge ""&amp;TEXT(AG22,""0.0%""))),IF(OR(AF22&gt;Method!$B$87,IFERROR(INDEX(BC22:BE22,1,AB22)/INDEX(S22:U22,1,AB22),0)&gt;Method!$B$88),""🛑 Tail trap "&amp;"— auto-PASS · EV ""&amp;TEXT(AF22,""0.0%"")&amp;"" (cap ""&amp;TEXT(Method!$B$87,""0%"")&amp;"") · model/market ""&amp;TEXT(IFERROR(INDEX(BC22:BE22,1,AB22)/INDEX(S22:U22,1,AB22),0),""0.0"")&amp;""× (cap ""&amp;TEXT(Method!$B$88,""0.0"")&amp;""×)"",IF(AF22&lt;Method!$B$7,""Price too short —"&amp;" EV ""&amp;TEXT(AF22,""0.0%"")&amp;"" (need ""&amp;TEXT(Method!$B$7,""0.0%"")&amp;""+)"",""Model ≈ market — edge ""&amp;TEXT(AG22,""0.0%"")&amp;"" (need ""&amp;TEXT(Method!$B$8,""0.0%"")&amp;""+)"")))))"),"Value found: EV 20.2%, edge 4.1%")</f>
        <v>Value found: EV 20.2%, edge 4.1%</v>
      </c>
      <c r="AU22" s="33" t="str">
        <f t="shared" si="17"/>
        <v/>
      </c>
      <c r="AV22" s="32" t="str">
        <f>IF(Matchday!O24="","",Matchday!O24)</f>
        <v/>
      </c>
      <c r="AW22" s="75"/>
      <c r="AX22" s="75"/>
      <c r="AY22" s="75"/>
      <c r="AZ22" s="75" t="str">
        <f t="shared" si="18"/>
        <v>BET</v>
      </c>
      <c r="BA22" s="76">
        <f>IF(AX22&lt;&gt;"",AX22,IF(AH22&lt;&gt;"BET",0,IF(AI22*Method!$B$10/100&lt;Method!$B$9,0,ROUND(AI22*Method!$B$10/100,0))))</f>
        <v>10</v>
      </c>
      <c r="BB22" s="12">
        <v>-9.27</v>
      </c>
      <c r="BC22" s="12">
        <v>0.5859797463598813</v>
      </c>
      <c r="BD22" s="12">
        <v>0.2764136086876492</v>
      </c>
      <c r="BE22" s="12">
        <v>0.13760664495246958</v>
      </c>
      <c r="BF22" s="14" t="s">
        <v>317</v>
      </c>
      <c r="BG22" s="12">
        <v>15.0</v>
      </c>
      <c r="BH22" s="14" t="s">
        <v>287</v>
      </c>
      <c r="BI22" s="12">
        <v>0.0</v>
      </c>
    </row>
    <row r="23" ht="15.0" customHeight="1">
      <c r="A23" s="32">
        <v>22.0</v>
      </c>
      <c r="B23" s="59">
        <v>46190.0</v>
      </c>
      <c r="C23" s="60" t="s">
        <v>318</v>
      </c>
      <c r="D23" s="61" t="s">
        <v>86</v>
      </c>
      <c r="E23" s="61" t="s">
        <v>87</v>
      </c>
      <c r="F23" s="61" t="s">
        <v>289</v>
      </c>
      <c r="G23" s="62">
        <v>0.625</v>
      </c>
      <c r="H23" s="62">
        <v>0.875</v>
      </c>
      <c r="I23" s="63">
        <v>0.4391313011850181</v>
      </c>
      <c r="J23" s="63">
        <v>0.29561721753005643</v>
      </c>
      <c r="K23" s="63">
        <v>0.2652514812849252</v>
      </c>
      <c r="L23" s="64">
        <f>IF(Matchday!E25="","",Matchday!E25)</f>
        <v>1.7</v>
      </c>
      <c r="M23" s="64">
        <f>IF(Matchday!F25="","",Matchday!F25)</f>
        <v>3.9</v>
      </c>
      <c r="N23" s="64">
        <f>IF(Matchday!G25="","",Matchday!G25)</f>
        <v>5.6</v>
      </c>
      <c r="O23" s="65">
        <f t="shared" ref="O23:Q23" si="57">IF(L23="","",1/L23)</f>
        <v>0.5882352941</v>
      </c>
      <c r="P23" s="65">
        <f t="shared" si="57"/>
        <v>0.2564102564</v>
      </c>
      <c r="Q23" s="65">
        <f t="shared" si="57"/>
        <v>0.1785714286</v>
      </c>
      <c r="R23" s="65">
        <f t="shared" si="4"/>
        <v>1.023216979</v>
      </c>
      <c r="S23" s="65">
        <f t="array" ref="S23">IF($R23="","",IF(Method!$B$56="proportional",O23/$R23,IF(Method!$B$56="power",IFERROR(INDEX(power_devig($L23,$M23,$N23),1,1),O23/$R23),IFERROR(INDEX(shin($L23,$M23,$N23),1,1),O23/$R23))))</f>
        <v>0.5790765618</v>
      </c>
      <c r="T23" s="65">
        <f t="array" ref="T23">IF($R23="","",IF(Method!$B$56="proportional",P23/$R23,IF(Method!$B$56="power",IFERROR(INDEX(power_devig($L23,$M23,$N23),2,1),P23/$R23),IFERROR(INDEX(shin($L23,$M23,$N23),2,1),P23/$R23))))</f>
        <v>0.2491483268</v>
      </c>
      <c r="U23" s="65">
        <f t="array" ref="U23">IF($R23="","",IF(Method!$B$56="proportional",Q23/$R23,IF(Method!$B$56="power",IFERROR(INDEX(power_devig($L23,$M23,$N23),3,1),Q23/$R23),IFERROR(INDEX(shin($L23,$M23,$N23),3,1),Q23/$R23))))</f>
        <v>0.1717751114</v>
      </c>
      <c r="V23" s="65">
        <f>IF(S23="","",Method!$B$4*IF(BC23="",I23,BC23)+(1-Method!$B$4)*S23/($S23+$T23+$U23))</f>
        <v>0.532887909</v>
      </c>
      <c r="W23" s="65">
        <f>IF(T23="","",Method!$B$4*IF(BD23="",J23,BD23)+(1-Method!$B$4)*T23/($S23+$T23+$U23))</f>
        <v>0.2548209866</v>
      </c>
      <c r="X23" s="65">
        <f>IF(U23="","",Method!$B$4*IF(BE23="",K23,BE23)+(1-Method!$B$4)*U23/($S23+$T23+$U23))</f>
        <v>0.2122911044</v>
      </c>
      <c r="Y23" s="66">
        <f t="shared" ref="Y23:AA23" si="58">IF(V23="","",V23*L23-1)</f>
        <v>-0.09409055477</v>
      </c>
      <c r="Z23" s="66">
        <f t="shared" si="58"/>
        <v>-0.006198152228</v>
      </c>
      <c r="AA23" s="66">
        <f t="shared" si="58"/>
        <v>0.1888301848</v>
      </c>
      <c r="AB23" s="67">
        <f t="shared" si="6"/>
        <v>3</v>
      </c>
      <c r="AC23" s="67" t="str">
        <f t="shared" si="7"/>
        <v>A</v>
      </c>
      <c r="AD23" s="68" t="str">
        <f t="shared" si="8"/>
        <v>2  Croatia</v>
      </c>
      <c r="AE23" s="35">
        <f t="shared" si="9"/>
        <v>5.6</v>
      </c>
      <c r="AF23" s="66">
        <f t="shared" si="10"/>
        <v>0.1888301848</v>
      </c>
      <c r="AG23" s="66">
        <f t="shared" si="11"/>
        <v>0.04051599301</v>
      </c>
      <c r="AH23" s="69" t="str">
        <f t="array" ref="AH23">IF(AB23="","· enter odds",IF(OR(AF23&gt;Method!$B$87,IFERROR(INDEX(BC23:BE23,1,AB23)/INDEX(S23:U23,1,AB23),0)&gt;Method!$B$88),"PASS",IF(AND(AF23&gt;=Method!$B$7,AG23&gt;=Method!$B$8),"BET","PASS")))</f>
        <v>BET</v>
      </c>
      <c r="AI23" s="70">
        <f>IF(AH23&lt;&gt;"BET",0,ROUND(MIN(Method!$B$6,Method!$B$5*AL23)*100,1))</f>
        <v>1</v>
      </c>
      <c r="AJ23" s="71">
        <f>IF(OR(AH23&lt;&gt;"BET",Method!$B$55=TRUE()),0,IF(AI23*Method!$B$10/100&lt;Method!$B$9,0,ROUND(AI23*Method!$B$10/100,0)))</f>
        <v>10</v>
      </c>
      <c r="AK23" s="65">
        <f t="shared" si="12"/>
        <v>0.2122911044</v>
      </c>
      <c r="AL23" s="65">
        <f t="shared" si="13"/>
        <v>0.04105004018</v>
      </c>
      <c r="AM23" s="66">
        <f t="shared" si="14"/>
        <v>0.1888521848</v>
      </c>
      <c r="AN23" s="72" t="str">
        <f>IF(Matchday!N25="","",Matchday!N25)</f>
        <v/>
      </c>
      <c r="AO23" s="64" t="str">
        <f>IF(Matchday!P25="","",Matchday!P25)</f>
        <v/>
      </c>
      <c r="AP23" s="73" t="str">
        <f>IF(Matchday!Q25="","",Matchday!Q25)</f>
        <v/>
      </c>
      <c r="AQ23" s="72" t="str">
        <f>IF(Matchday!R25="","",Matchday!R25)</f>
        <v>H</v>
      </c>
      <c r="AR23" s="74" t="str">
        <f t="shared" si="15"/>
        <v/>
      </c>
      <c r="AS23" s="74" t="str">
        <f t="shared" si="16"/>
        <v/>
      </c>
      <c r="AT23" s="33" t="str">
        <f>IFERROR(__xludf.DUMMYFUNCTION("IF(AB23="""",""Type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pauses."")),IF(AH23=""BET"",IF(AJ23=0,""Edge found but stake rounds under £""&amp;Method!$B$9&amp;"" — skip"",IF(AND(AE23&gt;=6,AG23&gt;=0.15),""🟡 WAIT — long-shot review: odds ""&amp;TEXT(AE23,""0.00"")&amp;"" + edge ""&amp;TEXT(AG23,""0.0%"")"&amp;"&amp;"" — verify sharp-book + team news + stake comfort before Placed=Y"",""Value found: EV ""&amp;TEXT(AF23,""0.0%"")&amp;"", edge ""&amp;TEXT(AG23,""0.0%""))),IF(OR(AF23&gt;Method!$B$87,IFERROR(INDEX(BC23:BE23,1,AB23)/INDEX(S23:U23,1,AB23),0)&gt;Method!$B$88),""🛑 Tail trap "&amp;"— auto-PASS · EV ""&amp;TEXT(AF23,""0.0%"")&amp;"" (cap ""&amp;TEXT(Method!$B$87,""0%"")&amp;"") · model/market ""&amp;TEXT(IFERROR(INDEX(BC23:BE23,1,AB23)/INDEX(S23:U23,1,AB23),0),""0.0"")&amp;""× (cap ""&amp;TEXT(Method!$B$88,""0.0"")&amp;""×)"",IF(AF23&lt;Method!$B$7,""Price too short —"&amp;" EV ""&amp;TEXT(AF23,""0.0%"")&amp;"" (need ""&amp;TEXT(Method!$B$7,""0.0%"")&amp;""+)"",""Model ≈ market — edge ""&amp;TEXT(AG23,""0.0%"")&amp;"" (need ""&amp;TEXT(Method!$B$8,""0.0%"")&amp;""+)"")))))"),"Value found: EV 18.9%, edge 4.1%")</f>
        <v>Value found: EV 18.9%, edge 4.1%</v>
      </c>
      <c r="AU23" s="33" t="str">
        <f t="shared" si="17"/>
        <v/>
      </c>
      <c r="AV23" s="32" t="str">
        <f>IF(Matchday!O25="","",Matchday!O25)</f>
        <v/>
      </c>
      <c r="AW23" s="75"/>
      <c r="AX23" s="75"/>
      <c r="AY23" s="75"/>
      <c r="AZ23" s="75" t="str">
        <f t="shared" si="18"/>
        <v>BET</v>
      </c>
      <c r="BA23" s="76">
        <f>IF(AX23&lt;&gt;"",AX23,IF(AH23&lt;&gt;"BET",0,IF(AI23*Method!$B$10/100&lt;Method!$B$9,0,ROUND(AI23*Method!$B$10/100,0))))</f>
        <v>10</v>
      </c>
      <c r="BB23" s="12">
        <v>-14.17</v>
      </c>
      <c r="BC23" s="12">
        <v>0.4471089822260403</v>
      </c>
      <c r="BD23" s="12">
        <v>0.2653559263288068</v>
      </c>
      <c r="BE23" s="12">
        <v>0.287535091445153</v>
      </c>
      <c r="BF23" s="14" t="s">
        <v>319</v>
      </c>
      <c r="BG23" s="12">
        <v>175.0</v>
      </c>
      <c r="BH23" s="14" t="s">
        <v>291</v>
      </c>
      <c r="BI23" s="12">
        <v>0.0</v>
      </c>
    </row>
    <row r="24" ht="15.0" customHeight="1">
      <c r="A24" s="32">
        <v>23.0</v>
      </c>
      <c r="B24" s="59">
        <v>46190.0</v>
      </c>
      <c r="C24" s="60" t="s">
        <v>318</v>
      </c>
      <c r="D24" s="61" t="s">
        <v>88</v>
      </c>
      <c r="E24" s="61" t="s">
        <v>89</v>
      </c>
      <c r="F24" s="61" t="s">
        <v>264</v>
      </c>
      <c r="G24" s="62">
        <v>0.7916666666678793</v>
      </c>
      <c r="H24" s="60" t="s">
        <v>293</v>
      </c>
      <c r="I24" s="63">
        <v>0.27072900004832295</v>
      </c>
      <c r="J24" s="63">
        <v>0.2844140046798613</v>
      </c>
      <c r="K24" s="63">
        <v>0.4448569952718159</v>
      </c>
      <c r="L24" s="64">
        <f>IF(Matchday!E26="","",Matchday!E26)</f>
        <v>2.38</v>
      </c>
      <c r="M24" s="64">
        <f>IF(Matchday!F26="","",Matchday!F26)</f>
        <v>3.25</v>
      </c>
      <c r="N24" s="64">
        <f>IF(Matchday!G26="","",Matchday!G26)</f>
        <v>3.38</v>
      </c>
      <c r="O24" s="65">
        <f t="shared" ref="O24:Q24" si="59">IF(L24="","",1/L24)</f>
        <v>0.4201680672</v>
      </c>
      <c r="P24" s="65">
        <f t="shared" si="59"/>
        <v>0.3076923077</v>
      </c>
      <c r="Q24" s="65">
        <f t="shared" si="59"/>
        <v>0.2958579882</v>
      </c>
      <c r="R24" s="65">
        <f t="shared" si="4"/>
        <v>1.023718363</v>
      </c>
      <c r="S24" s="65">
        <f t="array" ref="S24">IF($R24="","",IF(Method!$B$56="proportional",O24/$R24,IF(Method!$B$56="power",IFERROR(INDEX(power_devig($L24,$M24,$N24),1,1),O24/$R24),IFERROR(INDEX(shin($L24,$M24,$N24),1,1),O24/$R24))))</f>
        <v>0.4117978274</v>
      </c>
      <c r="T24" s="65">
        <f t="array" ref="T24">IF($R24="","",IF(Method!$B$56="proportional",P24/$R24,IF(Method!$B$56="power",IFERROR(INDEX(power_devig($L24,$M24,$N24),2,1),P24/$R24),IFERROR(INDEX(shin($L24,$M24,$N24),2,1),P24/$R24))))</f>
        <v>0.2999831209</v>
      </c>
      <c r="U24" s="65">
        <f t="array" ref="U24">IF($R24="","",IF(Method!$B$56="proportional",Q24/$R24,IF(Method!$B$56="power",IFERROR(INDEX(power_devig($L24,$M24,$N24),3,1),Q24/$R24),IFERROR(INDEX(shin($L24,$M24,$N24),3,1),Q24/$R24))))</f>
        <v>0.2882190517</v>
      </c>
      <c r="V24" s="65">
        <f>IF(S24="","",Method!$B$4*IF(BC24="",I24,BC24)+(1-Method!$B$4)*S24/($S24+$T24+$U24))</f>
        <v>0.3621253706</v>
      </c>
      <c r="W24" s="65">
        <f>IF(T24="","",Method!$B$4*IF(BD24="",J24,BD24)+(1-Method!$B$4)*T24/($S24+$T24+$U24))</f>
        <v>0.2917483412</v>
      </c>
      <c r="X24" s="65">
        <f>IF(U24="","",Method!$B$4*IF(BE24="",K24,BE24)+(1-Method!$B$4)*U24/($S24+$T24+$U24))</f>
        <v>0.3461262882</v>
      </c>
      <c r="Y24" s="66">
        <f t="shared" ref="Y24:AA24" si="60">IF(V24="","",V24*L24-1)</f>
        <v>-0.1381416181</v>
      </c>
      <c r="Z24" s="66">
        <f t="shared" si="60"/>
        <v>-0.05181789105</v>
      </c>
      <c r="AA24" s="66">
        <f t="shared" si="60"/>
        <v>0.1699068542</v>
      </c>
      <c r="AB24" s="67">
        <f t="shared" si="6"/>
        <v>3</v>
      </c>
      <c r="AC24" s="67" t="str">
        <f t="shared" si="7"/>
        <v>A</v>
      </c>
      <c r="AD24" s="68" t="str">
        <f t="shared" si="8"/>
        <v>2  Panama</v>
      </c>
      <c r="AE24" s="35">
        <f t="shared" si="9"/>
        <v>3.38</v>
      </c>
      <c r="AF24" s="66">
        <f t="shared" si="10"/>
        <v>0.1699068542</v>
      </c>
      <c r="AG24" s="66">
        <f t="shared" si="11"/>
        <v>0.05790723651</v>
      </c>
      <c r="AH24" s="69" t="str">
        <f t="array" ref="AH24">IF(AB24="","· enter odds",IF(OR(AF24&gt;Method!$B$87,IFERROR(INDEX(BC24:BE24,1,AB24)/INDEX(S24:U24,1,AB24),0)&gt;Method!$B$88),"PASS",IF(AND(AF24&gt;=Method!$B$7,AG24&gt;=Method!$B$8),"BET","PASS")))</f>
        <v>BET</v>
      </c>
      <c r="AI24" s="70">
        <f>IF(AH24&lt;&gt;"BET",0,ROUND(MIN(Method!$B$6,Method!$B$5*AL24)*100,1))</f>
        <v>1.8</v>
      </c>
      <c r="AJ24" s="71">
        <f>IF(OR(AH24&lt;&gt;"BET",Method!$B$55=TRUE()),0,IF(AI24*Method!$B$10/100&lt;Method!$B$9,0,ROUND(AI24*Method!$B$10/100,0)))</f>
        <v>17</v>
      </c>
      <c r="AK24" s="65">
        <f t="shared" si="12"/>
        <v>0.3461262882</v>
      </c>
      <c r="AL24" s="65">
        <f t="shared" si="13"/>
        <v>0.07138943453</v>
      </c>
      <c r="AM24" s="66">
        <f t="shared" si="14"/>
        <v>0.1699298542</v>
      </c>
      <c r="AN24" s="72" t="str">
        <f>IF(Matchday!N26="","",Matchday!N26)</f>
        <v/>
      </c>
      <c r="AO24" s="64" t="str">
        <f>IF(Matchday!P26="","",Matchday!P26)</f>
        <v/>
      </c>
      <c r="AP24" s="73" t="str">
        <f>IF(Matchday!Q26="","",Matchday!Q26)</f>
        <v/>
      </c>
      <c r="AQ24" s="72" t="str">
        <f>IF(Matchday!R26="","",Matchday!R26)</f>
        <v>H</v>
      </c>
      <c r="AR24" s="74" t="str">
        <f t="shared" si="15"/>
        <v/>
      </c>
      <c r="AS24" s="74" t="str">
        <f t="shared" si="16"/>
        <v/>
      </c>
      <c r="AT24" s="33" t="str">
        <f>IFERROR(__xludf.DUMMYFUNCTION("IF(AB24="""",""Type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pauses."")),IF(AH24=""BET"",IF(AJ24=0,""Edge found but stake rounds under £""&amp;Method!$B$9&amp;"" — skip"",IF(AND(AE24&gt;=6,AG24&gt;=0.15),""🟡 WAIT — long-shot review: odds ""&amp;TEXT(AE24,""0.00"")&amp;"" + edge ""&amp;TEXT(AG24,""0.0%"")"&amp;"&amp;"" — verify sharp-book + team news + stake comfort before Placed=Y"",""Value found: EV ""&amp;TEXT(AF24,""0.0%"")&amp;"", edge ""&amp;TEXT(AG24,""0.0%""))),IF(OR(AF24&gt;Method!$B$87,IFERROR(INDEX(BC24:BE24,1,AB24)/INDEX(S24:U24,1,AB24),0)&gt;Method!$B$88),""🛑 Tail trap "&amp;"— auto-PASS · EV ""&amp;TEXT(AF24,""0.0%"")&amp;"" (cap ""&amp;TEXT(Method!$B$87,""0%"")&amp;"") · model/market ""&amp;TEXT(IFERROR(INDEX(BC24:BE24,1,AB24)/INDEX(S24:U24,1,AB24),0),""0.0"")&amp;""× (cap ""&amp;TEXT(Method!$B$88,""0.0"")&amp;""×)"",IF(AF24&lt;Method!$B$7,""Price too short —"&amp;" EV ""&amp;TEXT(AF24,""0.0%"")&amp;"" (need ""&amp;TEXT(Method!$B$7,""0.0%"")&amp;""+)"",""Model ≈ market — edge ""&amp;TEXT(AG24,""0.0%"")&amp;"" (need ""&amp;TEXT(Method!$B$8,""0.0%"")&amp;""+)"")))))"),"Value found: EV 17.0%, edge 5.8%")</f>
        <v>Value found: EV 17.0%, edge 5.8%</v>
      </c>
      <c r="AU24" s="33" t="str">
        <f t="shared" si="17"/>
        <v/>
      </c>
      <c r="AV24" s="32" t="str">
        <f>IF(Matchday!O26="","",Matchday!O26)</f>
        <v/>
      </c>
      <c r="AW24" s="75"/>
      <c r="AX24" s="75"/>
      <c r="AY24" s="75"/>
      <c r="AZ24" s="75" t="str">
        <f t="shared" si="18"/>
        <v>BET</v>
      </c>
      <c r="BA24" s="76">
        <f>IF(AX24&lt;&gt;"",AX24,IF(AH24&lt;&gt;"BET",0,IF(AI24*Method!$B$10/100&lt;Method!$B$9,0,ROUND(AI24*Method!$B$10/100,0))))</f>
        <v>17</v>
      </c>
      <c r="BB24" s="12">
        <v>-13.350000000000001</v>
      </c>
      <c r="BC24" s="12">
        <v>0.2698765221360281</v>
      </c>
      <c r="BD24" s="12">
        <v>0.2764551789922019</v>
      </c>
      <c r="BE24" s="12">
        <v>0.45366829887177</v>
      </c>
      <c r="BF24" s="14" t="s">
        <v>320</v>
      </c>
      <c r="BG24" s="12">
        <v>76.0</v>
      </c>
      <c r="BH24" s="14" t="s">
        <v>266</v>
      </c>
      <c r="BI24" s="12">
        <v>0.0</v>
      </c>
    </row>
    <row r="25" ht="15.0" customHeight="1">
      <c r="A25" s="32">
        <v>24.0</v>
      </c>
      <c r="B25" s="59">
        <v>46190.0</v>
      </c>
      <c r="C25" s="60" t="s">
        <v>316</v>
      </c>
      <c r="D25" s="61" t="s">
        <v>90</v>
      </c>
      <c r="E25" s="61" t="s">
        <v>91</v>
      </c>
      <c r="F25" s="61" t="s">
        <v>255</v>
      </c>
      <c r="G25" s="62">
        <v>0.8333333333321207</v>
      </c>
      <c r="H25" s="60" t="s">
        <v>259</v>
      </c>
      <c r="I25" s="63">
        <v>0.13317697291716699</v>
      </c>
      <c r="J25" s="63">
        <v>0.23780852100885044</v>
      </c>
      <c r="K25" s="63">
        <v>0.6290145060739826</v>
      </c>
      <c r="L25" s="64">
        <f>IF(Matchday!E27="","",Matchday!E27)</f>
        <v>11.5</v>
      </c>
      <c r="M25" s="64">
        <f>IF(Matchday!F27="","",Matchday!F27)</f>
        <v>5.5</v>
      </c>
      <c r="N25" s="64">
        <f>IF(Matchday!G27="","",Matchday!G27)</f>
        <v>1.37</v>
      </c>
      <c r="O25" s="65">
        <f t="shared" ref="O25:Q25" si="61">IF(L25="","",1/L25)</f>
        <v>0.08695652174</v>
      </c>
      <c r="P25" s="65">
        <f t="shared" si="61"/>
        <v>0.1818181818</v>
      </c>
      <c r="Q25" s="65">
        <f t="shared" si="61"/>
        <v>0.7299270073</v>
      </c>
      <c r="R25" s="65">
        <f t="shared" si="4"/>
        <v>0.9987017109</v>
      </c>
      <c r="S25" s="65">
        <f t="array" ref="S25">IF($R25="","",IF(Method!$B$56="proportional",O25/$R25,IF(Method!$B$56="power",IFERROR(INDEX(power_devig($L25,$M25,$N25),1,1),O25/$R25),IFERROR(INDEX(shin($L25,$M25,$N25),1,1),O25/$R25))))</f>
        <v>0.08706956321</v>
      </c>
      <c r="T25" s="65">
        <f t="array" ref="T25">IF($R25="","",IF(Method!$B$56="proportional",P25/$R25,IF(Method!$B$56="power",IFERROR(INDEX(power_devig($L25,$M25,$N25),2,1),P25/$R25),IFERROR(INDEX(shin($L25,$M25,$N25),2,1),P25/$R25))))</f>
        <v>0.1820545413</v>
      </c>
      <c r="U25" s="65">
        <f t="array" ref="U25">IF($R25="","",IF(Method!$B$56="proportional",Q25/$R25,IF(Method!$B$56="power",IFERROR(INDEX(power_devig($L25,$M25,$N25),3,1),Q25/$R25),IFERROR(INDEX(shin($L25,$M25,$N25),3,1),Q25/$R25))))</f>
        <v>0.7308758955</v>
      </c>
      <c r="V25" s="65">
        <f>IF(S25="","",Method!$B$4*IF(BC25="",I25,BC25)+(1-Method!$B$4)*S25/($S25+$T25+$U25))</f>
        <v>0.09691446704</v>
      </c>
      <c r="W25" s="65">
        <f>IF(T25="","",Method!$B$4*IF(BD25="",J25,BD25)+(1-Method!$B$4)*T25/($S25+$T25+$U25))</f>
        <v>0.2117115397</v>
      </c>
      <c r="X25" s="65">
        <f>IF(U25="","",Method!$B$4*IF(BE25="",K25,BE25)+(1-Method!$B$4)*U25/($S25+$T25+$U25))</f>
        <v>0.6913739933</v>
      </c>
      <c r="Y25" s="66">
        <f t="shared" ref="Y25:AA25" si="62">IF(V25="","",V25*L25-1)</f>
        <v>0.114516371</v>
      </c>
      <c r="Z25" s="66">
        <f t="shared" si="62"/>
        <v>0.1644134684</v>
      </c>
      <c r="AA25" s="66">
        <f t="shared" si="62"/>
        <v>-0.05281762924</v>
      </c>
      <c r="AB25" s="67">
        <f t="shared" si="6"/>
        <v>2</v>
      </c>
      <c r="AC25" s="67" t="str">
        <f t="shared" si="7"/>
        <v>D</v>
      </c>
      <c r="AD25" s="68" t="str">
        <f t="shared" si="8"/>
        <v>X  Draw</v>
      </c>
      <c r="AE25" s="35">
        <f t="shared" si="9"/>
        <v>5.5</v>
      </c>
      <c r="AF25" s="66">
        <f t="shared" si="10"/>
        <v>0.1644134684</v>
      </c>
      <c r="AG25" s="66">
        <f t="shared" si="11"/>
        <v>0.02965699845</v>
      </c>
      <c r="AH25" s="69" t="str">
        <f t="array" ref="AH25">IF(AB25="","· enter odds",IF(OR(AF25&gt;Method!$B$87,IFERROR(INDEX(BC25:BE25,1,AB25)/INDEX(S25:U25,1,AB25),0)&gt;Method!$B$88),"PASS",IF(AND(AF25&gt;=Method!$B$7,AG25&gt;=Method!$B$8),"BET","PASS")))</f>
        <v>BET</v>
      </c>
      <c r="AI25" s="70">
        <f>IF(AH25&lt;&gt;"BET",0,ROUND(MIN(Method!$B$6,Method!$B$5*AL25)*100,1))</f>
        <v>0.9</v>
      </c>
      <c r="AJ25" s="71">
        <f>IF(OR(AH25&lt;&gt;"BET",Method!$B$55=TRUE()),0,IF(AI25*Method!$B$10/100&lt;Method!$B$9,0,ROUND(AI25*Method!$B$10/100,0)))</f>
        <v>9</v>
      </c>
      <c r="AK25" s="65">
        <f t="shared" si="12"/>
        <v>0.2117115397</v>
      </c>
      <c r="AL25" s="65">
        <f t="shared" si="13"/>
        <v>0.0365363263</v>
      </c>
      <c r="AM25" s="66">
        <f t="shared" si="14"/>
        <v>0.1644374684</v>
      </c>
      <c r="AN25" s="72" t="str">
        <f>IF(Matchday!N27="","",Matchday!N27)</f>
        <v/>
      </c>
      <c r="AO25" s="64" t="str">
        <f>IF(Matchday!P27="","",Matchday!P27)</f>
        <v/>
      </c>
      <c r="AP25" s="73" t="str">
        <f>IF(Matchday!Q27="","",Matchday!Q27)</f>
        <v/>
      </c>
      <c r="AQ25" s="72" t="str">
        <f>IF(Matchday!R27="","",Matchday!R27)</f>
        <v>A</v>
      </c>
      <c r="AR25" s="74" t="str">
        <f t="shared" si="15"/>
        <v/>
      </c>
      <c r="AS25" s="74" t="str">
        <f t="shared" si="16"/>
        <v/>
      </c>
      <c r="AT25" s="33" t="str">
        <f>IFERROR(__xludf.DUMMYFUNCTION("IF(AB25="""",""Type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pauses."")),IF(AH25=""BET"",IF(AJ25=0,""Edge found but stake rounds under £""&amp;Method!$B$9&amp;"" — skip"",IF(AND(AE25&gt;=6,AG25&gt;=0.15),""🟡 WAIT — long-shot review: odds ""&amp;TEXT(AE25,""0.00"")&amp;"" + edge ""&amp;TEXT(AG25,""0.0%"")"&amp;"&amp;"" — verify sharp-book + team news + stake comfort before Placed=Y"",""Value found: EV ""&amp;TEXT(AF25,""0.0%"")&amp;"", edge ""&amp;TEXT(AG25,""0.0%""))),IF(OR(AF25&gt;Method!$B$87,IFERROR(INDEX(BC25:BE25,1,AB25)/INDEX(S25:U25,1,AB25),0)&gt;Method!$B$88),""🛑 Tail trap "&amp;"— auto-PASS · EV ""&amp;TEXT(AF25,""0.0%"")&amp;"" (cap ""&amp;TEXT(Method!$B$87,""0%"")&amp;"") · model/market ""&amp;TEXT(IFERROR(INDEX(BC25:BE25,1,AB25)/INDEX(S25:U25,1,AB25),0),""0.0"")&amp;""× (cap ""&amp;TEXT(Method!$B$88,""0.0"")&amp;""×)"",IF(AF25&lt;Method!$B$7,""Price too short —"&amp;" EV ""&amp;TEXT(AF25,""0.0%"")&amp;"" (need ""&amp;TEXT(Method!$B$7,""0.0%"")&amp;""+)"",""Model ≈ market — edge ""&amp;TEXT(AG25,""0.0%"")&amp;"" (need ""&amp;TEXT(Method!$B$8,""0.0%"")&amp;""+)"")))))"),"Value found: EV 16.4%, edge 3.0%")</f>
        <v>Value found: EV 16.4%, edge 3.0%</v>
      </c>
      <c r="AU25" s="33" t="str">
        <f t="shared" si="17"/>
        <v/>
      </c>
      <c r="AV25" s="32" t="str">
        <f>IF(Matchday!O27="","",Matchday!O27)</f>
        <v/>
      </c>
      <c r="AW25" s="75"/>
      <c r="AX25" s="75"/>
      <c r="AY25" s="75"/>
      <c r="AZ25" s="75" t="str">
        <f t="shared" si="18"/>
        <v>BET</v>
      </c>
      <c r="BA25" s="76">
        <f>IF(AX25&lt;&gt;"",AX25,IF(AH25&lt;&gt;"BET",0,IF(AI25*Method!$B$10/100&lt;Method!$B$9,0,ROUND(AI25*Method!$B$10/100,0))))</f>
        <v>9</v>
      </c>
      <c r="BB25" s="12">
        <v>-5.07</v>
      </c>
      <c r="BC25" s="12">
        <v>0.11519785988112574</v>
      </c>
      <c r="BD25" s="12">
        <v>0.26678882253697367</v>
      </c>
      <c r="BE25" s="12">
        <v>0.6180133175819006</v>
      </c>
      <c r="BF25" s="14" t="s">
        <v>321</v>
      </c>
      <c r="BG25" s="12">
        <v>2240.0</v>
      </c>
      <c r="BH25" s="14" t="s">
        <v>257</v>
      </c>
      <c r="BI25" s="12">
        <v>0.0</v>
      </c>
    </row>
    <row r="26" ht="15.0" customHeight="1">
      <c r="A26" s="32">
        <v>25.0</v>
      </c>
      <c r="B26" s="59">
        <v>46191.0</v>
      </c>
      <c r="C26" s="60" t="s">
        <v>112</v>
      </c>
      <c r="D26" s="61" t="s">
        <v>47</v>
      </c>
      <c r="E26" s="61" t="s">
        <v>45</v>
      </c>
      <c r="F26" s="61" t="s">
        <v>298</v>
      </c>
      <c r="G26" s="62">
        <v>0.5</v>
      </c>
      <c r="H26" s="62">
        <v>0.7083333333321207</v>
      </c>
      <c r="I26" s="63">
        <v>0.4951251817868924</v>
      </c>
      <c r="J26" s="63">
        <v>0.3022736782506097</v>
      </c>
      <c r="K26" s="63">
        <v>0.2026011399624981</v>
      </c>
      <c r="L26" s="64">
        <f>IF(Matchday!E28="","",Matchday!E28)</f>
        <v>1.9</v>
      </c>
      <c r="M26" s="64">
        <f>IF(Matchday!F28="","",Matchday!F28)</f>
        <v>3.55</v>
      </c>
      <c r="N26" s="64">
        <f>IF(Matchday!G28="","",Matchday!G28)</f>
        <v>4.55</v>
      </c>
      <c r="O26" s="65">
        <f t="shared" ref="O26:Q26" si="63">IF(L26="","",1/L26)</f>
        <v>0.5263157895</v>
      </c>
      <c r="P26" s="65">
        <f t="shared" si="63"/>
        <v>0.2816901408</v>
      </c>
      <c r="Q26" s="65">
        <f t="shared" si="63"/>
        <v>0.2197802198</v>
      </c>
      <c r="R26" s="65">
        <f t="shared" si="4"/>
        <v>1.02778615</v>
      </c>
      <c r="S26" s="65">
        <f t="array" ref="S26">IF($R26="","",IF(Method!$B$56="proportional",O26/$R26,IF(Method!$B$56="power",IFERROR(INDEX(power_devig($L26,$M26,$N26),1,1),O26/$R26),IFERROR(INDEX(shin($L26,$M26,$N26),1,1),O26/$R26))))</f>
        <v>0.5157923608</v>
      </c>
      <c r="T26" s="65">
        <f t="array" ref="T26">IF($R26="","",IF(Method!$B$56="proportional",P26/$R26,IF(Method!$B$56="power",IFERROR(INDEX(power_devig($L26,$M26,$N26),2,1),P26/$R26),IFERROR(INDEX(shin($L26,$M26,$N26),2,1),P26/$R26))))</f>
        <v>0.2728397702</v>
      </c>
      <c r="U26" s="65">
        <f t="array" ref="U26">IF($R26="","",IF(Method!$B$56="proportional",Q26/$R26,IF(Method!$B$56="power",IFERROR(INDEX(power_devig($L26,$M26,$N26),3,1),Q26/$R26),IFERROR(INDEX(shin($L26,$M26,$N26),3,1),Q26/$R26))))</f>
        <v>0.211367869</v>
      </c>
      <c r="V26" s="65">
        <f>IF(S26="","",Method!$B$4*IF(BC26="",I26,BC26)+(1-Method!$B$4)*S26/($S26+$T26+$U26))</f>
        <v>0.5147340453</v>
      </c>
      <c r="W26" s="65">
        <f>IF(T26="","",Method!$B$4*IF(BD26="",J26,BD26)+(1-Method!$B$4)*T26/($S26+$T26+$U26))</f>
        <v>0.2704328505</v>
      </c>
      <c r="X26" s="65">
        <f>IF(U26="","",Method!$B$4*IF(BE26="",K26,BE26)+(1-Method!$B$4)*U26/($S26+$T26+$U26))</f>
        <v>0.2148331042</v>
      </c>
      <c r="Y26" s="66">
        <f t="shared" ref="Y26:AA26" si="64">IF(V26="","",V26*L26-1)</f>
        <v>-0.02200531399</v>
      </c>
      <c r="Z26" s="66">
        <f t="shared" si="64"/>
        <v>-0.03996338063</v>
      </c>
      <c r="AA26" s="66">
        <f t="shared" si="64"/>
        <v>-0.02250937587</v>
      </c>
      <c r="AB26" s="67">
        <f t="shared" si="6"/>
        <v>1</v>
      </c>
      <c r="AC26" s="67" t="str">
        <f t="shared" si="7"/>
        <v>H</v>
      </c>
      <c r="AD26" s="68" t="str">
        <f t="shared" si="8"/>
        <v>1  Czechia</v>
      </c>
      <c r="AE26" s="35">
        <f t="shared" si="9"/>
        <v>1.9</v>
      </c>
      <c r="AF26" s="66">
        <f t="shared" si="10"/>
        <v>-0.02200531399</v>
      </c>
      <c r="AG26" s="66">
        <f t="shared" si="11"/>
        <v>-0.001058315553</v>
      </c>
      <c r="AH26" s="69" t="str">
        <f t="array" ref="AH26">IF(AB26="","· enter odds",IF(OR(AF26&gt;Method!$B$87,IFERROR(INDEX(BC26:BE26,1,AB26)/INDEX(S26:U26,1,AB26),0)&gt;Method!$B$88),"PASS",IF(AND(AF26&gt;=Method!$B$7,AG26&gt;=Method!$B$8),"BET","PASS")))</f>
        <v>PASS</v>
      </c>
      <c r="AI26" s="70">
        <f>IF(AH26&lt;&gt;"BET",0,ROUND(MIN(Method!$B$6,Method!$B$5*AL26)*100,1))</f>
        <v>0</v>
      </c>
      <c r="AJ26" s="71">
        <f>IF(OR(AH26&lt;&gt;"BET",Method!$B$55=TRUE()),0,IF(AI26*Method!$B$10/100&lt;Method!$B$9,0,ROUND(AI26*Method!$B$10/100,0)))</f>
        <v>0</v>
      </c>
      <c r="AK26" s="65">
        <f t="shared" si="12"/>
        <v>0.5147340453</v>
      </c>
      <c r="AL26" s="65" t="str">
        <f t="shared" si="13"/>
        <v/>
      </c>
      <c r="AM26" s="67" t="str">
        <f t="shared" si="14"/>
        <v/>
      </c>
      <c r="AN26" s="72" t="str">
        <f>IF(Matchday!N28="","",Matchday!N28)</f>
        <v/>
      </c>
      <c r="AO26" s="64" t="str">
        <f>IF(Matchday!P28="","",Matchday!P28)</f>
        <v/>
      </c>
      <c r="AP26" s="73" t="str">
        <f>IF(Matchday!Q28="","",Matchday!Q28)</f>
        <v/>
      </c>
      <c r="AQ26" s="72" t="str">
        <f>IF(Matchday!R28="","",Matchday!R28)</f>
        <v>D</v>
      </c>
      <c r="AR26" s="74" t="str">
        <f t="shared" si="15"/>
        <v/>
      </c>
      <c r="AS26" s="74" t="str">
        <f t="shared" si="16"/>
        <v/>
      </c>
      <c r="AT26" s="33" t="str">
        <f>IFERROR(__xludf.DUMMYFUNCTION("IF(AB26="""",""Type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pauses."")),IF(AH26=""BET"",IF(AJ26=0,""Edge found but stake rounds under £""&amp;Method!$B$9&amp;"" — skip"",IF(AND(AE26&gt;=6,AG26&gt;=0.15),""🟡 WAIT — long-shot review: odds ""&amp;TEXT(AE26,""0.00"")&amp;"" + edge ""&amp;TEXT(AG26,""0.0%"")"&amp;"&amp;"" — verify sharp-book + team news + stake comfort before Placed=Y"",""Value found: EV ""&amp;TEXT(AF26,""0.0%"")&amp;"", edge ""&amp;TEXT(AG26,""0.0%""))),IF(OR(AF26&gt;Method!$B$87,IFERROR(INDEX(BC26:BE26,1,AB26)/INDEX(S26:U26,1,AB26),0)&gt;Method!$B$88),""🛑 Tail trap "&amp;"— auto-PASS · EV ""&amp;TEXT(AF26,""0.0%"")&amp;"" (cap ""&amp;TEXT(Method!$B$87,""0%"")&amp;"") · model/market ""&amp;TEXT(IFERROR(INDEX(BC26:BE26,1,AB26)/INDEX(S26:U26,1,AB26),0),""0.0"")&amp;""× (cap ""&amp;TEXT(Method!$B$88,""0.0"")&amp;""×)"",IF(AF26&lt;Method!$B$7,""Price too short —"&amp;" EV ""&amp;TEXT(AF26,""0.0%"")&amp;"" (need ""&amp;TEXT(Method!$B$7,""0.0%"")&amp;""+)"",""Model ≈ market — edge ""&amp;TEXT(AG26,""0.0%"")&amp;"" (need ""&amp;TEXT(Method!$B$8,""0.0%"")&amp;""+)"")))))"),"Price too short — EV -2.2% (need 2.5%+)")</f>
        <v>Price too short — EV -2.2% (need 2.5%+)</v>
      </c>
      <c r="AU26" s="33" t="str">
        <f t="shared" si="17"/>
        <v/>
      </c>
      <c r="AV26" s="32" t="str">
        <f>IF(Matchday!O28="","",Matchday!O28)</f>
        <v/>
      </c>
      <c r="AW26" s="75"/>
      <c r="AX26" s="75"/>
      <c r="AY26" s="75"/>
      <c r="AZ26" s="75" t="str">
        <f t="shared" si="18"/>
        <v>PASS</v>
      </c>
      <c r="BA26" s="76">
        <f>IF(AX26&lt;&gt;"",AX26,IF(AH26&lt;&gt;"BET",0,IF(AI26*Method!$B$10/100&lt;Method!$B$9,0,ROUND(AI26*Method!$B$10/100,0))))</f>
        <v>0</v>
      </c>
      <c r="BB26" s="12">
        <v>-50.79</v>
      </c>
      <c r="BC26" s="12">
        <v>0.5127686021005957</v>
      </c>
      <c r="BD26" s="12">
        <v>0.26596285692994276</v>
      </c>
      <c r="BE26" s="12">
        <v>0.22126854096946155</v>
      </c>
      <c r="BF26" s="14" t="s">
        <v>322</v>
      </c>
      <c r="BG26" s="12">
        <v>320.0</v>
      </c>
      <c r="BH26" s="14" t="s">
        <v>300</v>
      </c>
      <c r="BI26" s="12">
        <v>2373.1</v>
      </c>
    </row>
    <row r="27" ht="15.0" customHeight="1">
      <c r="A27" s="32">
        <v>26.0</v>
      </c>
      <c r="B27" s="59">
        <v>46191.0</v>
      </c>
      <c r="C27" s="60" t="s">
        <v>263</v>
      </c>
      <c r="D27" s="61" t="s">
        <v>53</v>
      </c>
      <c r="E27" s="61" t="s">
        <v>49</v>
      </c>
      <c r="F27" s="61" t="s">
        <v>267</v>
      </c>
      <c r="G27" s="62">
        <v>0.625</v>
      </c>
      <c r="H27" s="62">
        <v>0.9583333333321207</v>
      </c>
      <c r="I27" s="63">
        <v>0.6767992974802521</v>
      </c>
      <c r="J27" s="63">
        <v>0.21804427887814223</v>
      </c>
      <c r="K27" s="63">
        <v>0.10515642364160563</v>
      </c>
      <c r="L27" s="64">
        <f>IF(Matchday!E29="","",Matchday!E29)</f>
        <v>1.58</v>
      </c>
      <c r="M27" s="64">
        <f>IF(Matchday!F29="","",Matchday!F29)</f>
        <v>4.2</v>
      </c>
      <c r="N27" s="64">
        <f>IF(Matchday!G29="","",Matchday!G29)</f>
        <v>6.5</v>
      </c>
      <c r="O27" s="65">
        <f t="shared" ref="O27:Q27" si="65">IF(L27="","",1/L27)</f>
        <v>0.6329113924</v>
      </c>
      <c r="P27" s="65">
        <f t="shared" si="65"/>
        <v>0.2380952381</v>
      </c>
      <c r="Q27" s="65">
        <f t="shared" si="65"/>
        <v>0.1538461538</v>
      </c>
      <c r="R27" s="65">
        <f t="shared" si="4"/>
        <v>1.024852784</v>
      </c>
      <c r="S27" s="65">
        <f t="array" ref="S27">IF($R27="","",IF(Method!$B$56="proportional",O27/$R27,IF(Method!$B$56="power",IFERROR(INDEX(power_devig($L27,$M27,$N27),1,1),O27/$R27),IFERROR(INDEX(shin($L27,$M27,$N27),1,1),O27/$R27))))</f>
        <v>0.6228379141</v>
      </c>
      <c r="T27" s="65">
        <f t="array" ref="T27">IF($R27="","",IF(Method!$B$56="proportional",P27/$R27,IF(Method!$B$56="power",IFERROR(INDEX(power_devig($L27,$M27,$N27),2,1),P27/$R27),IFERROR(INDEX(shin($L27,$M27,$N27),2,1),P27/$R27))))</f>
        <v>0.2304310191</v>
      </c>
      <c r="U27" s="65">
        <f t="array" ref="U27">IF($R27="","",IF(Method!$B$56="proportional",Q27/$R27,IF(Method!$B$56="power",IFERROR(INDEX(power_devig($L27,$M27,$N27),3,1),Q27/$R27),IFERROR(INDEX(shin($L27,$M27,$N27),3,1),Q27/$R27))))</f>
        <v>0.1467310667</v>
      </c>
      <c r="V27" s="65">
        <f>IF(S27="","",Method!$B$4*IF(BC27="",I27,BC27)+(1-Method!$B$4)*S27/($S27+$T27+$U27))</f>
        <v>0.6309298048</v>
      </c>
      <c r="W27" s="65">
        <f>IF(T27="","",Method!$B$4*IF(BD27="",J27,BD27)+(1-Method!$B$4)*T27/($S27+$T27+$U27))</f>
        <v>0.2358966481</v>
      </c>
      <c r="X27" s="65">
        <f>IF(U27="","",Method!$B$4*IF(BE27="",K27,BE27)+(1-Method!$B$4)*U27/($S27+$T27+$U27))</f>
        <v>0.1331735472</v>
      </c>
      <c r="Y27" s="66">
        <f t="shared" ref="Y27:AA27" si="66">IF(V27="","",V27*L27-1)</f>
        <v>-0.003130908438</v>
      </c>
      <c r="Z27" s="66">
        <f t="shared" si="66"/>
        <v>-0.00923407814</v>
      </c>
      <c r="AA27" s="66">
        <f t="shared" si="66"/>
        <v>-0.1343719435</v>
      </c>
      <c r="AB27" s="67">
        <f t="shared" si="6"/>
        <v>1</v>
      </c>
      <c r="AC27" s="67" t="str">
        <f t="shared" si="7"/>
        <v>H</v>
      </c>
      <c r="AD27" s="68" t="str">
        <f t="shared" si="8"/>
        <v>1  Switzerland</v>
      </c>
      <c r="AE27" s="35">
        <f t="shared" si="9"/>
        <v>1.58</v>
      </c>
      <c r="AF27" s="66">
        <f t="shared" si="10"/>
        <v>-0.003130908438</v>
      </c>
      <c r="AG27" s="66">
        <f t="shared" si="11"/>
        <v>0.008091890643</v>
      </c>
      <c r="AH27" s="69" t="str">
        <f t="array" ref="AH27">IF(AB27="","· enter odds",IF(OR(AF27&gt;Method!$B$87,IFERROR(INDEX(BC27:BE27,1,AB27)/INDEX(S27:U27,1,AB27),0)&gt;Method!$B$88),"PASS",IF(AND(AF27&gt;=Method!$B$7,AG27&gt;=Method!$B$8),"BET","PASS")))</f>
        <v>PASS</v>
      </c>
      <c r="AI27" s="70">
        <f>IF(AH27&lt;&gt;"BET",0,ROUND(MIN(Method!$B$6,Method!$B$5*AL27)*100,1))</f>
        <v>0</v>
      </c>
      <c r="AJ27" s="71">
        <f>IF(OR(AH27&lt;&gt;"BET",Method!$B$55=TRUE()),0,IF(AI27*Method!$B$10/100&lt;Method!$B$9,0,ROUND(AI27*Method!$B$10/100,0)))</f>
        <v>0</v>
      </c>
      <c r="AK27" s="65">
        <f t="shared" si="12"/>
        <v>0.6309298048</v>
      </c>
      <c r="AL27" s="65" t="str">
        <f t="shared" si="13"/>
        <v/>
      </c>
      <c r="AM27" s="67" t="str">
        <f t="shared" si="14"/>
        <v/>
      </c>
      <c r="AN27" s="72" t="str">
        <f>IF(Matchday!N29="","",Matchday!N29)</f>
        <v/>
      </c>
      <c r="AO27" s="64" t="str">
        <f>IF(Matchday!P29="","",Matchday!P29)</f>
        <v/>
      </c>
      <c r="AP27" s="73" t="str">
        <f>IF(Matchday!Q29="","",Matchday!Q29)</f>
        <v/>
      </c>
      <c r="AQ27" s="72" t="str">
        <f>IF(Matchday!R29="","",Matchday!R29)</f>
        <v>H</v>
      </c>
      <c r="AR27" s="74" t="str">
        <f t="shared" si="15"/>
        <v/>
      </c>
      <c r="AS27" s="74" t="str">
        <f t="shared" si="16"/>
        <v/>
      </c>
      <c r="AT27" s="33" t="str">
        <f>IFERROR(__xludf.DUMMYFUNCTION("IF(AB27="""",""Type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pauses."")),IF(AH27=""BET"",IF(AJ27=0,""Edge found but stake rounds under £""&amp;Method!$B$9&amp;"" — skip"",IF(AND(AE27&gt;=6,AG27&gt;=0.15),""🟡 WAIT — long-shot review: odds ""&amp;TEXT(AE27,""0.00"")&amp;"" + edge ""&amp;TEXT(AG27,""0.0%"")"&amp;"&amp;"" — verify sharp-book + team news + stake comfort before Placed=Y"",""Value found: EV ""&amp;TEXT(AF27,""0.0%"")&amp;"", edge ""&amp;TEXT(AG27,""0.0%""))),IF(OR(AF27&gt;Method!$B$87,IFERROR(INDEX(BC27:BE27,1,AB27)/INDEX(S27:U27,1,AB27),0)&gt;Method!$B$88),""🛑 Tail trap "&amp;"— auto-PASS · EV ""&amp;TEXT(AF27,""0.0%"")&amp;"" (cap ""&amp;TEXT(Method!$B$87,""0%"")&amp;"") · model/market ""&amp;TEXT(IFERROR(INDEX(BC27:BE27,1,AB27)/INDEX(S27:U27,1,AB27),0),""0.0"")&amp;""× (cap ""&amp;TEXT(Method!$B$88,""0.0"")&amp;""×)"",IF(AF27&lt;Method!$B$7,""Price too short —"&amp;" EV ""&amp;TEXT(AF27,""0.0%"")&amp;"" (need ""&amp;TEXT(Method!$B$7,""0.0%"")&amp;""+)"",""Model ≈ market — edge ""&amp;TEXT(AG27,""0.0%"")&amp;"" (need ""&amp;TEXT(Method!$B$8,""0.0%"")&amp;""+)"")))))"),"Price too short — EV -0.3% (need 2.5%+)")</f>
        <v>Price too short — EV -0.3% (need 2.5%+)</v>
      </c>
      <c r="AU27" s="33" t="str">
        <f t="shared" si="17"/>
        <v/>
      </c>
      <c r="AV27" s="32" t="str">
        <f>IF(Matchday!O29="","",Matchday!O29)</f>
        <v/>
      </c>
      <c r="AW27" s="75"/>
      <c r="AX27" s="75"/>
      <c r="AY27" s="75"/>
      <c r="AZ27" s="75" t="str">
        <f t="shared" si="18"/>
        <v>PASS</v>
      </c>
      <c r="BA27" s="76">
        <f>IF(AX27&lt;&gt;"",AX27,IF(AH27&lt;&gt;"BET",0,IF(AI27*Method!$B$10/100&lt;Method!$B$9,0,ROUND(AI27*Method!$B$10/100,0))))</f>
        <v>0</v>
      </c>
      <c r="BB27" s="12">
        <v>-36.58</v>
      </c>
      <c r="BC27" s="12">
        <v>0.6459576016938143</v>
      </c>
      <c r="BD27" s="12">
        <v>0.24604710177403746</v>
      </c>
      <c r="BE27" s="12">
        <v>0.1079952965321482</v>
      </c>
      <c r="BF27" s="14" t="s">
        <v>323</v>
      </c>
      <c r="BG27" s="12">
        <v>30.0</v>
      </c>
      <c r="BH27" s="14" t="s">
        <v>270</v>
      </c>
      <c r="BI27" s="12">
        <v>504.6</v>
      </c>
    </row>
    <row r="28" ht="15.0" customHeight="1">
      <c r="A28" s="32">
        <v>27.0</v>
      </c>
      <c r="B28" s="59">
        <v>46191.0</v>
      </c>
      <c r="C28" s="60" t="s">
        <v>263</v>
      </c>
      <c r="D28" s="61" t="s">
        <v>48</v>
      </c>
      <c r="E28" s="61" t="s">
        <v>52</v>
      </c>
      <c r="F28" s="61" t="s">
        <v>280</v>
      </c>
      <c r="G28" s="62">
        <v>0.75</v>
      </c>
      <c r="H28" s="60" t="s">
        <v>268</v>
      </c>
      <c r="I28" s="63">
        <v>0.7638768717939601</v>
      </c>
      <c r="J28" s="63">
        <v>0.18604421905373145</v>
      </c>
      <c r="K28" s="63">
        <v>0.05007890915230801</v>
      </c>
      <c r="L28" s="64">
        <f>IF(Matchday!E30="","",Matchday!E30)</f>
        <v>1.29</v>
      </c>
      <c r="M28" s="64">
        <f>IF(Matchday!F30="","",Matchday!F30)</f>
        <v>6.5</v>
      </c>
      <c r="N28" s="64">
        <f>IF(Matchday!G30="","",Matchday!G30)</f>
        <v>13.5</v>
      </c>
      <c r="O28" s="65">
        <f t="shared" ref="O28:Q28" si="67">IF(L28="","",1/L28)</f>
        <v>0.7751937984</v>
      </c>
      <c r="P28" s="65">
        <f t="shared" si="67"/>
        <v>0.1538461538</v>
      </c>
      <c r="Q28" s="65">
        <f t="shared" si="67"/>
        <v>0.07407407407</v>
      </c>
      <c r="R28" s="65">
        <f t="shared" si="4"/>
        <v>1.003114026</v>
      </c>
      <c r="S28" s="65">
        <f t="array" ref="S28">IF($R28="","",IF(Method!$B$56="proportional",O28/$R28,IF(Method!$B$56="power",IFERROR(INDEX(power_devig($L28,$M28,$N28),1,1),O28/$R28),IFERROR(INDEX(shin($L28,$M28,$N28),1,1),O28/$R28))))</f>
        <v>0.7738131291</v>
      </c>
      <c r="T28" s="65">
        <f t="array" ref="T28">IF($R28="","",IF(Method!$B$56="proportional",P28/$R28,IF(Method!$B$56="power",IFERROR(INDEX(power_devig($L28,$M28,$N28),2,1),P28/$R28),IFERROR(INDEX(shin($L28,$M28,$N28),2,1),P28/$R28))))</f>
        <v>0.1529475618</v>
      </c>
      <c r="U28" s="65">
        <f t="array" ref="U28">IF($R28="","",IF(Method!$B$56="proportional",Q28/$R28,IF(Method!$B$56="power",IFERROR(INDEX(power_devig($L28,$M28,$N28),3,1),Q28/$R28),IFERROR(INDEX(shin($L28,$M28,$N28),3,1),Q28/$R28))))</f>
        <v>0.07323930908</v>
      </c>
      <c r="V28" s="65">
        <f>IF(S28="","",Method!$B$4*IF(BC28="",I28,BC28)+(1-Method!$B$4)*S28/($S28+$T28+$U28))</f>
        <v>0.762002494</v>
      </c>
      <c r="W28" s="65">
        <f>IF(T28="","",Method!$B$4*IF(BD28="",J28,BD28)+(1-Method!$B$4)*T28/($S28+$T28+$U28))</f>
        <v>0.1730228816</v>
      </c>
      <c r="X28" s="65">
        <f>IF(U28="","",Method!$B$4*IF(BE28="",K28,BE28)+(1-Method!$B$4)*U28/($S28+$T28+$U28))</f>
        <v>0.06497462443</v>
      </c>
      <c r="Y28" s="66">
        <f t="shared" ref="Y28:AA28" si="68">IF(V28="","",V28*L28-1)</f>
        <v>-0.01701678271</v>
      </c>
      <c r="Z28" s="66">
        <f t="shared" si="68"/>
        <v>0.1246487301</v>
      </c>
      <c r="AA28" s="66">
        <f t="shared" si="68"/>
        <v>-0.1228425702</v>
      </c>
      <c r="AB28" s="67">
        <f t="shared" si="6"/>
        <v>2</v>
      </c>
      <c r="AC28" s="67" t="str">
        <f t="shared" si="7"/>
        <v>D</v>
      </c>
      <c r="AD28" s="68" t="str">
        <f t="shared" si="8"/>
        <v>X  Draw</v>
      </c>
      <c r="AE28" s="35">
        <f t="shared" si="9"/>
        <v>6.5</v>
      </c>
      <c r="AF28" s="66">
        <f t="shared" si="10"/>
        <v>0.1246487301</v>
      </c>
      <c r="AG28" s="66">
        <f t="shared" si="11"/>
        <v>0.02007531975</v>
      </c>
      <c r="AH28" s="69" t="str">
        <f t="array" ref="AH28">IF(AB28="","· enter odds",IF(OR(AF28&gt;Method!$B$87,IFERROR(INDEX(BC28:BE28,1,AB28)/INDEX(S28:U28,1,AB28),0)&gt;Method!$B$88),"PASS",IF(AND(AF28&gt;=Method!$B$7,AG28&gt;=Method!$B$8),"BET","PASS")))</f>
        <v>PASS</v>
      </c>
      <c r="AI28" s="70">
        <f>IF(AH28&lt;&gt;"BET",0,ROUND(MIN(Method!$B$6,Method!$B$5*AL28)*100,1))</f>
        <v>0</v>
      </c>
      <c r="AJ28" s="71">
        <f>IF(OR(AH28&lt;&gt;"BET",Method!$B$55=TRUE()),0,IF(AI28*Method!$B$10/100&lt;Method!$B$9,0,ROUND(AI28*Method!$B$10/100,0)))</f>
        <v>0</v>
      </c>
      <c r="AK28" s="65">
        <f t="shared" si="12"/>
        <v>0.1730228816</v>
      </c>
      <c r="AL28" s="65" t="str">
        <f t="shared" si="13"/>
        <v/>
      </c>
      <c r="AM28" s="67" t="str">
        <f t="shared" si="14"/>
        <v/>
      </c>
      <c r="AN28" s="72" t="str">
        <f>IF(Matchday!N30="","",Matchday!N30)</f>
        <v/>
      </c>
      <c r="AO28" s="64" t="str">
        <f>IF(Matchday!P30="","",Matchday!P30)</f>
        <v/>
      </c>
      <c r="AP28" s="73" t="str">
        <f>IF(Matchday!Q30="","",Matchday!Q30)</f>
        <v/>
      </c>
      <c r="AQ28" s="72" t="str">
        <f>IF(Matchday!R30="","",Matchday!R30)</f>
        <v>H</v>
      </c>
      <c r="AR28" s="74" t="str">
        <f t="shared" si="15"/>
        <v/>
      </c>
      <c r="AS28" s="74" t="str">
        <f t="shared" si="16"/>
        <v/>
      </c>
      <c r="AT28" s="33" t="str">
        <f>IFERROR(__xludf.DUMMYFUNCTION("IF(AB28="""",""Type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pauses."")),IF(AH28=""BET"",IF(AJ28=0,""Edge found but stake rounds under £""&amp;Method!$B$9&amp;"" — skip"",IF(AND(AE28&gt;=6,AG28&gt;=0.15),""🟡 WAIT — long-shot review: odds ""&amp;TEXT(AE28,""0.00"")&amp;"" + edge ""&amp;TEXT(AG28,""0.0%"")"&amp;"&amp;"" — verify sharp-book + team news + stake comfort before Placed=Y"",""Value found: EV ""&amp;TEXT(AF28,""0.0%"")&amp;"", edge ""&amp;TEXT(AG28,""0.0%""))),IF(OR(AF28&gt;Method!$B$87,IFERROR(INDEX(BC28:BE28,1,AB28)/INDEX(S28:U28,1,AB28),0)&gt;Method!$B$88),""🛑 Tail trap "&amp;"— auto-PASS · EV ""&amp;TEXT(AF28,""0.0%"")&amp;"" (cap ""&amp;TEXT(Method!$B$87,""0%"")&amp;"") · model/market ""&amp;TEXT(IFERROR(INDEX(BC28:BE28,1,AB28)/INDEX(S28:U28,1,AB28),0),""0.0"")&amp;""× (cap ""&amp;TEXT(Method!$B$88,""0.0"")&amp;""×)"",IF(AF28&lt;Method!$B$7,""Price too short —"&amp;" EV ""&amp;TEXT(AF28,""0.0%"")&amp;"" (need ""&amp;TEXT(Method!$B$7,""0.0%"")&amp;""+)"",""Model ≈ market — edge ""&amp;TEXT(AG28,""0.0%"")&amp;"" (need ""&amp;TEXT(Method!$B$8,""0.0%"")&amp;""+)"")))))"),"Model ≈ market — edge 2.0% (need 2.5%+)")</f>
        <v>Model ≈ market — edge 2.0% (need 2.5%+)</v>
      </c>
      <c r="AU28" s="33" t="str">
        <f t="shared" si="17"/>
        <v/>
      </c>
      <c r="AV28" s="32" t="str">
        <f>IF(Matchday!O30="","",Matchday!O30)</f>
        <v/>
      </c>
      <c r="AW28" s="75"/>
      <c r="AX28" s="75"/>
      <c r="AY28" s="75"/>
      <c r="AZ28" s="75" t="str">
        <f t="shared" si="18"/>
        <v>PASS</v>
      </c>
      <c r="BA28" s="76">
        <f>IF(AX28&lt;&gt;"",AX28,IF(AH28&lt;&gt;"BET",0,IF(AI28*Method!$B$10/100&lt;Method!$B$9,0,ROUND(AI28*Method!$B$10/100,0))))</f>
        <v>0</v>
      </c>
      <c r="BB28" s="12">
        <v>-44.06</v>
      </c>
      <c r="BC28" s="12">
        <v>0.7400684574125739</v>
      </c>
      <c r="BD28" s="12">
        <v>0.21030561823582383</v>
      </c>
      <c r="BE28" s="12">
        <v>0.049625924351602305</v>
      </c>
      <c r="BF28" s="14" t="s">
        <v>324</v>
      </c>
      <c r="BG28" s="12">
        <v>0.0</v>
      </c>
      <c r="BH28" s="14" t="s">
        <v>283</v>
      </c>
      <c r="BI28" s="12">
        <v>3356.8</v>
      </c>
    </row>
    <row r="29" ht="15.0" customHeight="1">
      <c r="A29" s="32">
        <v>28.0</v>
      </c>
      <c r="B29" s="59">
        <v>46191.0</v>
      </c>
      <c r="C29" s="60" t="s">
        <v>112</v>
      </c>
      <c r="D29" s="61" t="s">
        <v>44</v>
      </c>
      <c r="E29" s="61" t="s">
        <v>46</v>
      </c>
      <c r="F29" s="61" t="s">
        <v>258</v>
      </c>
      <c r="G29" s="62">
        <v>0.9583333333321207</v>
      </c>
      <c r="H29" s="60" t="s">
        <v>325</v>
      </c>
      <c r="I29" s="63">
        <v>0.589817179797183</v>
      </c>
      <c r="J29" s="63">
        <v>0.2624370417892651</v>
      </c>
      <c r="K29" s="63">
        <v>0.1477457784135518</v>
      </c>
      <c r="L29" s="64">
        <f>IF(Matchday!E31="","",Matchday!E31)</f>
        <v>2.13</v>
      </c>
      <c r="M29" s="64">
        <f>IF(Matchday!F31="","",Matchday!F31)</f>
        <v>3.3</v>
      </c>
      <c r="N29" s="64">
        <f>IF(Matchday!G31="","",Matchday!G31)</f>
        <v>4.2</v>
      </c>
      <c r="O29" s="65">
        <f t="shared" ref="O29:Q29" si="69">IF(L29="","",1/L29)</f>
        <v>0.4694835681</v>
      </c>
      <c r="P29" s="65">
        <f t="shared" si="69"/>
        <v>0.303030303</v>
      </c>
      <c r="Q29" s="65">
        <f t="shared" si="69"/>
        <v>0.2380952381</v>
      </c>
      <c r="R29" s="65">
        <f t="shared" si="4"/>
        <v>1.010609109</v>
      </c>
      <c r="S29" s="65">
        <f t="array" ref="S29">IF($R29="","",IF(Method!$B$56="proportional",O29/$R29,IF(Method!$B$56="power",IFERROR(INDEX(power_devig($L29,$M29,$N29),1,1),O29/$R29),IFERROR(INDEX(shin($L29,$M29,$N29),1,1),O29/$R29))))</f>
        <v>0.4655968843</v>
      </c>
      <c r="T29" s="65">
        <f t="array" ref="T29">IF($R29="","",IF(Method!$B$56="proportional",P29/$R29,IF(Method!$B$56="power",IFERROR(INDEX(power_devig($L29,$M29,$N29),2,1),P29/$R29),IFERROR(INDEX(shin($L29,$M29,$N29),2,1),P29/$R29))))</f>
        <v>0.2995826617</v>
      </c>
      <c r="U29" s="65">
        <f t="array" ref="U29">IF($R29="","",IF(Method!$B$56="proportional",Q29/$R29,IF(Method!$B$56="power",IFERROR(INDEX(power_devig($L29,$M29,$N29),3,1),Q29/$R29),IFERROR(INDEX(shin($L29,$M29,$N29),3,1),Q29/$R29))))</f>
        <v>0.234820454</v>
      </c>
      <c r="V29" s="65">
        <f>IF(S29="","",Method!$B$4*IF(BC29="",I29,BC29)+(1-Method!$B$4)*S29/($S29+$T29+$U29))</f>
        <v>0.501602094</v>
      </c>
      <c r="W29" s="65">
        <f>IF(T29="","",Method!$B$4*IF(BD29="",J29,BD29)+(1-Method!$B$4)*T29/($S29+$T29+$U29))</f>
        <v>0.2925827804</v>
      </c>
      <c r="X29" s="65">
        <f>IF(U29="","",Method!$B$4*IF(BE29="",K29,BE29)+(1-Method!$B$4)*U29/($S29+$T29+$U29))</f>
        <v>0.2058151256</v>
      </c>
      <c r="Y29" s="66">
        <f t="shared" ref="Y29:AA29" si="70">IF(V29="","",V29*L29-1)</f>
        <v>0.06841246017</v>
      </c>
      <c r="Z29" s="66">
        <f t="shared" si="70"/>
        <v>-0.03447682454</v>
      </c>
      <c r="AA29" s="66">
        <f t="shared" si="70"/>
        <v>-0.1355764726</v>
      </c>
      <c r="AB29" s="67">
        <f t="shared" si="6"/>
        <v>1</v>
      </c>
      <c r="AC29" s="67" t="str">
        <f t="shared" si="7"/>
        <v>H</v>
      </c>
      <c r="AD29" s="68" t="str">
        <f t="shared" si="8"/>
        <v>1  Mexico</v>
      </c>
      <c r="AE29" s="35">
        <f t="shared" si="9"/>
        <v>2.13</v>
      </c>
      <c r="AF29" s="66">
        <f t="shared" si="10"/>
        <v>0.06841246017</v>
      </c>
      <c r="AG29" s="66">
        <f t="shared" si="11"/>
        <v>0.03600520968</v>
      </c>
      <c r="AH29" s="69" t="str">
        <f t="array" ref="AH29">IF(AB29="","· enter odds",IF(OR(AF29&gt;Method!$B$87,IFERROR(INDEX(BC29:BE29,1,AB29)/INDEX(S29:U29,1,AB29),0)&gt;Method!$B$88),"PASS",IF(AND(AF29&gt;=Method!$B$7,AG29&gt;=Method!$B$8),"BET","PASS")))</f>
        <v>BET</v>
      </c>
      <c r="AI29" s="70">
        <f>IF(AH29&lt;&gt;"BET",0,ROUND(MIN(Method!$B$6,Method!$B$5*AL29)*100,1))</f>
        <v>1.5</v>
      </c>
      <c r="AJ29" s="71">
        <f>IF(OR(AH29&lt;&gt;"BET",Method!$B$55=TRUE()),0,IF(AI29*Method!$B$10/100&lt;Method!$B$9,0,ROUND(AI29*Method!$B$10/100,0)))</f>
        <v>15</v>
      </c>
      <c r="AK29" s="65">
        <f t="shared" si="12"/>
        <v>0.501602094</v>
      </c>
      <c r="AL29" s="65">
        <f t="shared" si="13"/>
        <v>0.06054200015</v>
      </c>
      <c r="AM29" s="66">
        <f t="shared" si="14"/>
        <v>0.06844046017</v>
      </c>
      <c r="AN29" s="72" t="str">
        <f>IF(Matchday!N31="","",Matchday!N31)</f>
        <v/>
      </c>
      <c r="AO29" s="64" t="str">
        <f>IF(Matchday!P31="","",Matchday!P31)</f>
        <v/>
      </c>
      <c r="AP29" s="73" t="str">
        <f>IF(Matchday!Q31="","",Matchday!Q31)</f>
        <v/>
      </c>
      <c r="AQ29" s="72" t="str">
        <f>IF(Matchday!R31="","",Matchday!R31)</f>
        <v>H</v>
      </c>
      <c r="AR29" s="74" t="str">
        <f t="shared" si="15"/>
        <v/>
      </c>
      <c r="AS29" s="74" t="str">
        <f t="shared" si="16"/>
        <v/>
      </c>
      <c r="AT29" s="33" t="str">
        <f>IFERROR(__xludf.DUMMYFUNCTION("IF(AB29="""",""Type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pauses."")),IF(AH29=""BET"",IF(AJ29=0,""Edge found but stake rounds under £""&amp;Method!$B$9&amp;"" — skip"",IF(AND(AE29&gt;=6,AG29&gt;=0.15),""🟡 WAIT — long-shot review: odds ""&amp;TEXT(AE29,""0.00"")&amp;"" + edge ""&amp;TEXT(AG29,""0.0%"")"&amp;"&amp;"" — verify sharp-book + team news + stake comfort before Placed=Y"",""Value found: EV ""&amp;TEXT(AF29,""0.0%"")&amp;"", edge ""&amp;TEXT(AG29,""0.0%""))),IF(OR(AF29&gt;Method!$B$87,IFERROR(INDEX(BC29:BE29,1,AB29)/INDEX(S29:U29,1,AB29),0)&gt;Method!$B$88),""🛑 Tail trap "&amp;"— auto-PASS · EV ""&amp;TEXT(AF29,""0.0%"")&amp;"" (cap ""&amp;TEXT(Method!$B$87,""0%"")&amp;"") · model/market ""&amp;TEXT(IFERROR(INDEX(BC29:BE29,1,AB29)/INDEX(S29:U29,1,AB29),0),""0.0"")&amp;""× (cap ""&amp;TEXT(Method!$B$88,""0.0"")&amp;""×)"",IF(AF29&lt;Method!$B$7,""Price too short —"&amp;" EV ""&amp;TEXT(AF29,""0.0%"")&amp;"" (need ""&amp;TEXT(Method!$B$7,""0.0%"")&amp;""+)"",""Model ≈ market — edge ""&amp;TEXT(AG29,""0.0%"")&amp;"" (need ""&amp;TEXT(Method!$B$8,""0.0%"")&amp;""+)"")))))"),"Value found: EV 6.8%, edge 3.6%")</f>
        <v>Value found: EV 6.8%, edge 3.6%</v>
      </c>
      <c r="AU29" s="33" t="str">
        <f t="shared" si="17"/>
        <v/>
      </c>
      <c r="AV29" s="32" t="str">
        <f>IF(Matchday!O31="","",Matchday!O31)</f>
        <v/>
      </c>
      <c r="AW29" s="75"/>
      <c r="AX29" s="75"/>
      <c r="AY29" s="75"/>
      <c r="AZ29" s="75" t="str">
        <f t="shared" si="18"/>
        <v>BET</v>
      </c>
      <c r="BA29" s="76">
        <f>IF(AX29&lt;&gt;"",AX29,IF(AH29&lt;&gt;"BET",0,IF(AI29*Method!$B$10/100&lt;Method!$B$9,0,ROUND(AI29*Method!$B$10/100,0))))</f>
        <v>15</v>
      </c>
      <c r="BB29" s="12">
        <v>3.08</v>
      </c>
      <c r="BC29" s="12">
        <v>0.5684689119450201</v>
      </c>
      <c r="BD29" s="12">
        <v>0.2795830009075931</v>
      </c>
      <c r="BE29" s="12">
        <v>0.15194808714738675</v>
      </c>
      <c r="BF29" s="14" t="s">
        <v>326</v>
      </c>
      <c r="BG29" s="12">
        <v>1560.0</v>
      </c>
      <c r="BH29" s="14" t="s">
        <v>262</v>
      </c>
      <c r="BI29" s="12">
        <v>475.9</v>
      </c>
    </row>
    <row r="30" ht="15.0" customHeight="1">
      <c r="A30" s="32">
        <v>29.0</v>
      </c>
      <c r="B30" s="59">
        <v>46192.0</v>
      </c>
      <c r="C30" s="60" t="s">
        <v>113</v>
      </c>
      <c r="D30" s="61" t="s">
        <v>50</v>
      </c>
      <c r="E30" s="61" t="s">
        <v>58</v>
      </c>
      <c r="F30" s="61" t="s">
        <v>302</v>
      </c>
      <c r="G30" s="62">
        <v>0.625</v>
      </c>
      <c r="H30" s="62">
        <v>0.9583333333321207</v>
      </c>
      <c r="I30" s="63">
        <v>0.47685607159768145</v>
      </c>
      <c r="J30" s="63">
        <v>0.28231276840695496</v>
      </c>
      <c r="K30" s="63">
        <v>0.24083115999536361</v>
      </c>
      <c r="L30" s="64">
        <f>IF(Matchday!E32="","",Matchday!E32)</f>
        <v>1.61</v>
      </c>
      <c r="M30" s="64">
        <f>IF(Matchday!F32="","",Matchday!F32)</f>
        <v>4.4</v>
      </c>
      <c r="N30" s="64">
        <f>IF(Matchday!G32="","",Matchday!G32)</f>
        <v>6.5</v>
      </c>
      <c r="O30" s="65">
        <f t="shared" ref="O30:Q30" si="71">IF(L30="","",1/L30)</f>
        <v>0.6211180124</v>
      </c>
      <c r="P30" s="65">
        <f t="shared" si="71"/>
        <v>0.2272727273</v>
      </c>
      <c r="Q30" s="65">
        <f t="shared" si="71"/>
        <v>0.1538461538</v>
      </c>
      <c r="R30" s="65">
        <f t="shared" si="4"/>
        <v>1.002236894</v>
      </c>
      <c r="S30" s="65">
        <f t="array" ref="S30">IF($R30="","",IF(Method!$B$56="proportional",O30/$R30,IF(Method!$B$56="power",IFERROR(INDEX(power_devig($L30,$M30,$N30),1,1),O30/$R30),IFERROR(INDEX(shin($L30,$M30,$N30),1,1),O30/$R30))))</f>
        <v>0.6202120331</v>
      </c>
      <c r="T30" s="65">
        <f t="array" ref="T30">IF($R30="","",IF(Method!$B$56="proportional",P30/$R30,IF(Method!$B$56="power",IFERROR(INDEX(power_devig($L30,$M30,$N30),2,1),P30/$R30),IFERROR(INDEX(shin($L30,$M30,$N30),2,1),P30/$R30))))</f>
        <v>0.2265866477</v>
      </c>
      <c r="U30" s="65">
        <f t="array" ref="U30">IF($R30="","",IF(Method!$B$56="proportional",Q30/$R30,IF(Method!$B$56="power",IFERROR(INDEX(power_devig($L30,$M30,$N30),3,1),Q30/$R30),IFERROR(INDEX(shin($L30,$M30,$N30),3,1),Q30/$R30))))</f>
        <v>0.1532013192</v>
      </c>
      <c r="V30" s="65">
        <f>IF(S30="","",Method!$B$4*IF(BC30="",I30,BC30)+(1-Method!$B$4)*S30/($S30+$T30+$U30))</f>
        <v>0.5697653489</v>
      </c>
      <c r="W30" s="65">
        <f>IF(T30="","",Method!$B$4*IF(BD30="",J30,BD30)+(1-Method!$B$4)*T30/($S30+$T30+$U30))</f>
        <v>0.241800631</v>
      </c>
      <c r="X30" s="65">
        <f>IF(U30="","",Method!$B$4*IF(BE30="",K30,BE30)+(1-Method!$B$4)*U30/($S30+$T30+$U30))</f>
        <v>0.1884340201</v>
      </c>
      <c r="Y30" s="66">
        <f t="shared" ref="Y30:AA30" si="72">IF(V30="","",V30*L30-1)</f>
        <v>-0.08267778822</v>
      </c>
      <c r="Z30" s="66">
        <f t="shared" si="72"/>
        <v>0.06392277637</v>
      </c>
      <c r="AA30" s="66">
        <f t="shared" si="72"/>
        <v>0.2248211305</v>
      </c>
      <c r="AB30" s="67">
        <f t="shared" si="6"/>
        <v>3</v>
      </c>
      <c r="AC30" s="67" t="str">
        <f t="shared" si="7"/>
        <v>A</v>
      </c>
      <c r="AD30" s="68" t="str">
        <f t="shared" si="8"/>
        <v>2  Australia</v>
      </c>
      <c r="AE30" s="35">
        <f t="shared" si="9"/>
        <v>6.5</v>
      </c>
      <c r="AF30" s="66">
        <f t="shared" si="10"/>
        <v>0.2248211305</v>
      </c>
      <c r="AG30" s="66">
        <f t="shared" si="11"/>
        <v>0.03523270083</v>
      </c>
      <c r="AH30" s="69" t="str">
        <f t="array" ref="AH30">IF(AB30="","· enter odds",IF(OR(AF30&gt;Method!$B$87,IFERROR(INDEX(BC30:BE30,1,AB30)/INDEX(S30:U30,1,AB30),0)&gt;Method!$B$88),"PASS",IF(AND(AF30&gt;=Method!$B$7,AG30&gt;=Method!$B$8),"BET","PASS")))</f>
        <v>BET</v>
      </c>
      <c r="AI30" s="70">
        <f>IF(AH30&lt;&gt;"BET",0,ROUND(MIN(Method!$B$6,Method!$B$5*AL30)*100,1))</f>
        <v>1</v>
      </c>
      <c r="AJ30" s="71">
        <f>IF(OR(AH30&lt;&gt;"BET",Method!$B$55=TRUE()),0,IF(AI30*Method!$B$10/100&lt;Method!$B$9,0,ROUND(AI30*Method!$B$10/100,0)))</f>
        <v>10</v>
      </c>
      <c r="AK30" s="65">
        <f t="shared" si="12"/>
        <v>0.1884340201</v>
      </c>
      <c r="AL30" s="65">
        <f t="shared" si="13"/>
        <v>0.04087656918</v>
      </c>
      <c r="AM30" s="66">
        <f t="shared" si="14"/>
        <v>0.2248501305</v>
      </c>
      <c r="AN30" s="72" t="str">
        <f>IF(Matchday!N32="","",Matchday!N32)</f>
        <v/>
      </c>
      <c r="AO30" s="64" t="str">
        <f>IF(Matchday!P32="","",Matchday!P32)</f>
        <v/>
      </c>
      <c r="AP30" s="73" t="str">
        <f>IF(Matchday!Q32="","",Matchday!Q32)</f>
        <v/>
      </c>
      <c r="AQ30" s="72" t="str">
        <f>IF(Matchday!R32="","",Matchday!R32)</f>
        <v>H</v>
      </c>
      <c r="AR30" s="74" t="str">
        <f t="shared" si="15"/>
        <v/>
      </c>
      <c r="AS30" s="74" t="str">
        <f t="shared" si="16"/>
        <v/>
      </c>
      <c r="AT30" s="33" t="str">
        <f>IFERROR(__xludf.DUMMYFUNCTION("IF(AB30="""",""Type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pauses."")),IF(AH30=""BET"",IF(AJ30=0,""Edge found but stake rounds under £""&amp;Method!$B$9&amp;"" — skip"",IF(AND(AE30&gt;=6,AG30&gt;=0.15),""🟡 WAIT — long-shot review: odds ""&amp;TEXT(AE30,""0.00"")&amp;"" + edge ""&amp;TEXT(AG30,""0.0%"")"&amp;"&amp;"" — verify sharp-book + team news + stake comfort before Placed=Y"",""Value found: EV ""&amp;TEXT(AF30,""0.0%"")&amp;"", edge ""&amp;TEXT(AG30,""0.0%""))),IF(OR(AF30&gt;Method!$B$87,IFERROR(INDEX(BC30:BE30,1,AB30)/INDEX(S30:U30,1,AB30),0)&gt;Method!$B$88),""🛑 Tail trap "&amp;"— auto-PASS · EV ""&amp;TEXT(AF30,""0.0%"")&amp;"" (cap ""&amp;TEXT(Method!$B$87,""0%"")&amp;"") · model/market ""&amp;TEXT(IFERROR(INDEX(BC30:BE30,1,AB30)/INDEX(S30:U30,1,AB30),0),""0.0"")&amp;""× (cap ""&amp;TEXT(Method!$B$88,""0.0"")&amp;""×)"",IF(AF30&lt;Method!$B$7,""Price too short —"&amp;" EV ""&amp;TEXT(AF30,""0.0%"")&amp;"" (need ""&amp;TEXT(Method!$B$7,""0.0%"")&amp;""+)"",""Model ≈ market — edge ""&amp;TEXT(AG30,""0.0%"")&amp;"" (need ""&amp;TEXT(Method!$B$8,""0.0%"")&amp;""+)"")))))"),"Value found: EV 22.5%, edge 3.5%")</f>
        <v>Value found: EV 22.5%, edge 3.5%</v>
      </c>
      <c r="AU30" s="33" t="str">
        <f t="shared" si="17"/>
        <v/>
      </c>
      <c r="AV30" s="32" t="str">
        <f>IF(Matchday!O32="","",Matchday!O32)</f>
        <v/>
      </c>
      <c r="AW30" s="75"/>
      <c r="AX30" s="75"/>
      <c r="AY30" s="75"/>
      <c r="AZ30" s="75" t="str">
        <f t="shared" si="18"/>
        <v>BET</v>
      </c>
      <c r="BA30" s="76">
        <f>IF(AX30&lt;&gt;"",AX30,IF(AH30&lt;&gt;"BET",0,IF(AI30*Method!$B$10/100&lt;Method!$B$9,0,ROUND(AI30*Method!$B$10/100,0))))</f>
        <v>10</v>
      </c>
      <c r="BB30" s="12">
        <v>-46.900000000000006</v>
      </c>
      <c r="BC30" s="12">
        <v>0.476078649810208</v>
      </c>
      <c r="BD30" s="12">
        <v>0.2700551714377238</v>
      </c>
      <c r="BE30" s="12">
        <v>0.25386617875206824</v>
      </c>
      <c r="BF30" s="14" t="s">
        <v>327</v>
      </c>
      <c r="BG30" s="12">
        <v>5.0</v>
      </c>
      <c r="BH30" s="14" t="s">
        <v>266</v>
      </c>
      <c r="BI30" s="12">
        <v>1553.1</v>
      </c>
    </row>
    <row r="31" ht="15.0" customHeight="1">
      <c r="A31" s="32">
        <v>30.0</v>
      </c>
      <c r="B31" s="59">
        <v>46192.0</v>
      </c>
      <c r="C31" s="60" t="s">
        <v>274</v>
      </c>
      <c r="D31" s="61" t="s">
        <v>57</v>
      </c>
      <c r="E31" s="61" t="s">
        <v>55</v>
      </c>
      <c r="F31" s="61" t="s">
        <v>277</v>
      </c>
      <c r="G31" s="62">
        <v>0.75</v>
      </c>
      <c r="H31" s="62">
        <v>0.9583333333321207</v>
      </c>
      <c r="I31" s="63">
        <v>0.19335465822740375</v>
      </c>
      <c r="J31" s="63">
        <v>0.28086568931572525</v>
      </c>
      <c r="K31" s="63">
        <v>0.525779652456871</v>
      </c>
      <c r="L31" s="64">
        <f>IF(Matchday!E33="","",Matchday!E33)</f>
        <v>5.8</v>
      </c>
      <c r="M31" s="64">
        <f>IF(Matchday!F33="","",Matchday!F33)</f>
        <v>3.8</v>
      </c>
      <c r="N31" s="64">
        <f>IF(Matchday!G33="","",Matchday!G33)</f>
        <v>1.72</v>
      </c>
      <c r="O31" s="65">
        <f t="shared" ref="O31:Q31" si="73">IF(L31="","",1/L31)</f>
        <v>0.1724137931</v>
      </c>
      <c r="P31" s="65">
        <f t="shared" si="73"/>
        <v>0.2631578947</v>
      </c>
      <c r="Q31" s="65">
        <f t="shared" si="73"/>
        <v>0.5813953488</v>
      </c>
      <c r="R31" s="65">
        <f t="shared" si="4"/>
        <v>1.016967037</v>
      </c>
      <c r="S31" s="65">
        <f t="array" ref="S31">IF($R31="","",IF(Method!$B$56="proportional",O31/$R31,IF(Method!$B$56="power",IFERROR(INDEX(power_devig($L31,$M31,$N31),1,1),O31/$R31),IFERROR(INDEX(shin($L31,$M31,$N31),1,1),O31/$R31))))</f>
        <v>0.1674651863</v>
      </c>
      <c r="T31" s="65">
        <f t="array" ref="T31">IF($R31="","",IF(Method!$B$56="proportional",P31/$R31,IF(Method!$B$56="power",IFERROR(INDEX(power_devig($L31,$M31,$N31),2,1),P31/$R31),IFERROR(INDEX(shin($L31,$M31,$N31),2,1),P31/$R31))))</f>
        <v>0.2578158267</v>
      </c>
      <c r="U31" s="65">
        <f t="array" ref="U31">IF($R31="","",IF(Method!$B$56="proportional",Q31/$R31,IF(Method!$B$56="power",IFERROR(INDEX(power_devig($L31,$M31,$N31),3,1),Q31/$R31),IFERROR(INDEX(shin($L31,$M31,$N31),3,1),Q31/$R31))))</f>
        <v>0.574718987</v>
      </c>
      <c r="V31" s="65">
        <f>IF(S31="","",Method!$B$4*IF(BC31="",I31,BC31)+(1-Method!$B$4)*S31/($S31+$T31+$U31))</f>
        <v>0.1717908876</v>
      </c>
      <c r="W31" s="65">
        <f>IF(T31="","",Method!$B$4*IF(BD31="",J31,BD31)+(1-Method!$B$4)*T31/($S31+$T31+$U31))</f>
        <v>0.2645469225</v>
      </c>
      <c r="X31" s="65">
        <f>IF(U31="","",Method!$B$4*IF(BE31="",K31,BE31)+(1-Method!$B$4)*U31/($S31+$T31+$U31))</f>
        <v>0.5636621899</v>
      </c>
      <c r="Y31" s="66">
        <f t="shared" ref="Y31:AA31" si="74">IF(V31="","",V31*L31-1)</f>
        <v>-0.003612851671</v>
      </c>
      <c r="Z31" s="66">
        <f t="shared" si="74"/>
        <v>0.005278305326</v>
      </c>
      <c r="AA31" s="66">
        <f t="shared" si="74"/>
        <v>-0.03050103337</v>
      </c>
      <c r="AB31" s="67">
        <f t="shared" si="6"/>
        <v>2</v>
      </c>
      <c r="AC31" s="67" t="str">
        <f t="shared" si="7"/>
        <v>D</v>
      </c>
      <c r="AD31" s="68" t="str">
        <f t="shared" si="8"/>
        <v>X  Draw</v>
      </c>
      <c r="AE31" s="35">
        <f t="shared" si="9"/>
        <v>3.8</v>
      </c>
      <c r="AF31" s="66">
        <f t="shared" si="10"/>
        <v>0.005278305326</v>
      </c>
      <c r="AG31" s="66">
        <f t="shared" si="11"/>
        <v>0.006731095758</v>
      </c>
      <c r="AH31" s="69" t="str">
        <f t="array" ref="AH31">IF(AB31="","· enter odds",IF(OR(AF31&gt;Method!$B$87,IFERROR(INDEX(BC31:BE31,1,AB31)/INDEX(S31:U31,1,AB31),0)&gt;Method!$B$88),"PASS",IF(AND(AF31&gt;=Method!$B$7,AG31&gt;=Method!$B$8),"BET","PASS")))</f>
        <v>PASS</v>
      </c>
      <c r="AI31" s="70">
        <f>IF(AH31&lt;&gt;"BET",0,ROUND(MIN(Method!$B$6,Method!$B$5*AL31)*100,1))</f>
        <v>0</v>
      </c>
      <c r="AJ31" s="71">
        <f>IF(OR(AH31&lt;&gt;"BET",Method!$B$55=TRUE()),0,IF(AI31*Method!$B$10/100&lt;Method!$B$9,0,ROUND(AI31*Method!$B$10/100,0)))</f>
        <v>0</v>
      </c>
      <c r="AK31" s="65">
        <f t="shared" si="12"/>
        <v>0.2645469225</v>
      </c>
      <c r="AL31" s="65" t="str">
        <f t="shared" si="13"/>
        <v/>
      </c>
      <c r="AM31" s="67" t="str">
        <f t="shared" si="14"/>
        <v/>
      </c>
      <c r="AN31" s="72" t="str">
        <f>IF(Matchday!N33="","",Matchday!N33)</f>
        <v/>
      </c>
      <c r="AO31" s="64" t="str">
        <f>IF(Matchday!P33="","",Matchday!P33)</f>
        <v/>
      </c>
      <c r="AP31" s="73" t="str">
        <f>IF(Matchday!Q33="","",Matchday!Q33)</f>
        <v/>
      </c>
      <c r="AQ31" s="72" t="str">
        <f>IF(Matchday!R33="","",Matchday!R33)</f>
        <v>A</v>
      </c>
      <c r="AR31" s="74" t="str">
        <f t="shared" si="15"/>
        <v/>
      </c>
      <c r="AS31" s="74" t="str">
        <f t="shared" si="16"/>
        <v/>
      </c>
      <c r="AT31" s="33" t="str">
        <f>IFERROR(__xludf.DUMMYFUNCTION("IF(AB31="""",""Type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pauses."")),IF(AH31=""BET"",IF(AJ31=0,""Edge found but stake rounds under £""&amp;Method!$B$9&amp;"" — skip"",IF(AND(AE31&gt;=6,AG31&gt;=0.15),""🟡 WAIT — long-shot review: odds ""&amp;TEXT(AE31,""0.00"")&amp;"" + edge ""&amp;TEXT(AG31,""0.0%"")"&amp;"&amp;"" — verify sharp-book + team news + stake comfort before Placed=Y"",""Value found: EV ""&amp;TEXT(AF31,""0.0%"")&amp;"", edge ""&amp;TEXT(AG31,""0.0%""))),IF(OR(AF31&gt;Method!$B$87,IFERROR(INDEX(BC31:BE31,1,AB31)/INDEX(S31:U31,1,AB31),0)&gt;Method!$B$88),""🛑 Tail trap "&amp;"— auto-PASS · EV ""&amp;TEXT(AF31,""0.0%"")&amp;"" (cap ""&amp;TEXT(Method!$B$87,""0%"")&amp;"") · model/market ""&amp;TEXT(IFERROR(INDEX(BC31:BE31,1,AB31)/INDEX(S31:U31,1,AB31),0),""0.0"")&amp;""× (cap ""&amp;TEXT(Method!$B$88,""0.0"")&amp;""×)"",IF(AF31&lt;Method!$B$7,""Price too short —"&amp;" EV ""&amp;TEXT(AF31,""0.0%"")&amp;"" (need ""&amp;TEXT(Method!$B$7,""0.0%"")&amp;""+)"",""Model ≈ market — edge ""&amp;TEXT(AG31,""0.0%"")&amp;"" (need ""&amp;TEXT(Method!$B$8,""0.0%"")&amp;""+)"")))))"),"Price too short — EV 0.5% (need 2.5%+)")</f>
        <v>Price too short — EV 0.5% (need 2.5%+)</v>
      </c>
      <c r="AU31" s="33" t="str">
        <f t="shared" si="17"/>
        <v/>
      </c>
      <c r="AV31" s="32" t="str">
        <f>IF(Matchday!O33="","",Matchday!O33)</f>
        <v/>
      </c>
      <c r="AW31" s="75"/>
      <c r="AX31" s="75"/>
      <c r="AY31" s="75"/>
      <c r="AZ31" s="75" t="str">
        <f t="shared" si="18"/>
        <v>PASS</v>
      </c>
      <c r="BA31" s="76">
        <f>IF(AX31&lt;&gt;"",AX31,IF(AH31&lt;&gt;"BET",0,IF(AI31*Method!$B$10/100&lt;Method!$B$9,0,ROUND(AI31*Method!$B$10/100,0))))</f>
        <v>0</v>
      </c>
      <c r="BB31" s="12">
        <v>-11.1</v>
      </c>
      <c r="BC31" s="12">
        <v>0.1798243329531699</v>
      </c>
      <c r="BD31" s="12">
        <v>0.27704752886231043</v>
      </c>
      <c r="BE31" s="12">
        <v>0.5431281381845197</v>
      </c>
      <c r="BF31" s="14" t="s">
        <v>328</v>
      </c>
      <c r="BG31" s="12">
        <v>40.0</v>
      </c>
      <c r="BH31" s="14" t="s">
        <v>279</v>
      </c>
      <c r="BI31" s="12">
        <v>0.0</v>
      </c>
    </row>
    <row r="32" ht="15.0" customHeight="1">
      <c r="A32" s="32">
        <v>31.0</v>
      </c>
      <c r="B32" s="59">
        <v>46192.0</v>
      </c>
      <c r="C32" s="60" t="s">
        <v>274</v>
      </c>
      <c r="D32" s="61" t="s">
        <v>54</v>
      </c>
      <c r="E32" s="61" t="s">
        <v>56</v>
      </c>
      <c r="F32" s="61" t="s">
        <v>292</v>
      </c>
      <c r="G32" s="62">
        <v>0.875</v>
      </c>
      <c r="H32" s="60" t="s">
        <v>268</v>
      </c>
      <c r="I32" s="63">
        <v>0.744840595800923</v>
      </c>
      <c r="J32" s="63">
        <v>0.17552239206369033</v>
      </c>
      <c r="K32" s="63">
        <v>0.07963701213538672</v>
      </c>
      <c r="L32" s="64">
        <f>IF(Matchday!E34="","",Matchday!E34)</f>
        <v>1.13</v>
      </c>
      <c r="M32" s="64">
        <f>IF(Matchday!F34="","",Matchday!F34)</f>
        <v>11.5</v>
      </c>
      <c r="N32" s="64">
        <f>IF(Matchday!G34="","",Matchday!G34)</f>
        <v>27</v>
      </c>
      <c r="O32" s="65">
        <f t="shared" ref="O32:Q32" si="75">IF(L32="","",1/L32)</f>
        <v>0.8849557522</v>
      </c>
      <c r="P32" s="65">
        <f t="shared" si="75"/>
        <v>0.08695652174</v>
      </c>
      <c r="Q32" s="65">
        <f t="shared" si="75"/>
        <v>0.03703703704</v>
      </c>
      <c r="R32" s="65">
        <f t="shared" si="4"/>
        <v>1.008949311</v>
      </c>
      <c r="S32" s="65">
        <f t="array" ref="S32">IF($R32="","",IF(Method!$B$56="proportional",O32/$R32,IF(Method!$B$56="power",IFERROR(INDEX(power_devig($L32,$M32,$N32),1,1),O32/$R32),IFERROR(INDEX(shin($L32,$M32,$N32),1,1),O32/$R32))))</f>
        <v>0.8807506942</v>
      </c>
      <c r="T32" s="65">
        <f t="array" ref="T32">IF($R32="","",IF(Method!$B$56="proportional",P32/$R32,IF(Method!$B$56="power",IFERROR(INDEX(power_devig($L32,$M32,$N32),2,1),P32/$R32),IFERROR(INDEX(shin($L32,$M32,$N32),2,1),P32/$R32))))</f>
        <v>0.08450994462</v>
      </c>
      <c r="U32" s="65">
        <f t="array" ref="U32">IF($R32="","",IF(Method!$B$56="proportional",Q32/$R32,IF(Method!$B$56="power",IFERROR(INDEX(power_devig($L32,$M32,$N32),3,1),Q32/$R32),IFERROR(INDEX(shin($L32,$M32,$N32),3,1),Q32/$R32))))</f>
        <v>0.03473936123</v>
      </c>
      <c r="V32" s="65">
        <f>IF(S32="","",Method!$B$4*IF(BC32="",I32,BC32)+(1-Method!$B$4)*S32/($S32+$T32+$U32))</f>
        <v>0.8238511081</v>
      </c>
      <c r="W32" s="65">
        <f>IF(T32="","",Method!$B$4*IF(BD32="",J32,BD32)+(1-Method!$B$4)*T32/($S32+$T32+$U32))</f>
        <v>0.1249245838</v>
      </c>
      <c r="X32" s="65">
        <f>IF(U32="","",Method!$B$4*IF(BE32="",K32,BE32)+(1-Method!$B$4)*U32/($S32+$T32+$U32))</f>
        <v>0.05122430805</v>
      </c>
      <c r="Y32" s="66">
        <f t="shared" ref="Y32:AA32" si="76">IF(V32="","",V32*L32-1)</f>
        <v>-0.06904824784</v>
      </c>
      <c r="Z32" s="66">
        <f t="shared" si="76"/>
        <v>0.4366327142</v>
      </c>
      <c r="AA32" s="66">
        <f t="shared" si="76"/>
        <v>0.3830563173</v>
      </c>
      <c r="AB32" s="67">
        <f t="shared" si="6"/>
        <v>2</v>
      </c>
      <c r="AC32" s="67" t="str">
        <f t="shared" si="7"/>
        <v>D</v>
      </c>
      <c r="AD32" s="68" t="str">
        <f t="shared" si="8"/>
        <v>X  Draw</v>
      </c>
      <c r="AE32" s="35">
        <f t="shared" si="9"/>
        <v>11.5</v>
      </c>
      <c r="AF32" s="66">
        <f t="shared" si="10"/>
        <v>0.4366327142</v>
      </c>
      <c r="AG32" s="66">
        <f t="shared" si="11"/>
        <v>0.04041463923</v>
      </c>
      <c r="AH32" s="69" t="str">
        <f t="array" ref="AH32">IF(AB32="","· enter odds",IF(OR(AF32&gt;Method!$B$87,IFERROR(INDEX(BC32:BE32,1,AB32)/INDEX(S32:U32,1,AB32),0)&gt;Method!$B$88),"PASS",IF(AND(AF32&gt;=Method!$B$7,AG32&gt;=Method!$B$8),"BET","PASS")))</f>
        <v>PASS</v>
      </c>
      <c r="AI32" s="70">
        <f>IF(AH32&lt;&gt;"BET",0,ROUND(MIN(Method!$B$6,Method!$B$5*AL32)*100,1))</f>
        <v>0</v>
      </c>
      <c r="AJ32" s="71">
        <f>IF(OR(AH32&lt;&gt;"BET",Method!$B$55=TRUE()),0,IF(AI32*Method!$B$10/100&lt;Method!$B$9,0,ROUND(AI32*Method!$B$10/100,0)))</f>
        <v>0</v>
      </c>
      <c r="AK32" s="65">
        <f t="shared" si="12"/>
        <v>0.1249245838</v>
      </c>
      <c r="AL32" s="65" t="str">
        <f t="shared" si="13"/>
        <v/>
      </c>
      <c r="AM32" s="67" t="str">
        <f t="shared" si="14"/>
        <v/>
      </c>
      <c r="AN32" s="72" t="str">
        <f>IF(Matchday!N34="","",Matchday!N34)</f>
        <v/>
      </c>
      <c r="AO32" s="64" t="str">
        <f>IF(Matchday!P34="","",Matchday!P34)</f>
        <v/>
      </c>
      <c r="AP32" s="73" t="str">
        <f>IF(Matchday!Q34="","",Matchday!Q34)</f>
        <v/>
      </c>
      <c r="AQ32" s="72" t="str">
        <f>IF(Matchday!R34="","",Matchday!R34)</f>
        <v>H</v>
      </c>
      <c r="AR32" s="74" t="str">
        <f t="shared" si="15"/>
        <v/>
      </c>
      <c r="AS32" s="74" t="str">
        <f t="shared" si="16"/>
        <v/>
      </c>
      <c r="AT32" s="33" t="str">
        <f>IFERROR(__xludf.DUMMYFUNCTION("IF(AB32="""",""Type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pauses."")),IF(AH32=""BET"",IF(AJ32=0,""Edge found but stake rounds under £""&amp;Method!$B$9&amp;"" — skip"",IF(AND(AE32&gt;=6,AG32&gt;=0.15),""🟡 WAIT — long-shot review: odds ""&amp;TEXT(AE32,""0.00"")&amp;"" + edge ""&amp;TEXT(AG32,""0.0%"")"&amp;"&amp;"" — verify sharp-book + team news + stake comfort before Placed=Y"",""Value found: EV ""&amp;TEXT(AF32,""0.0%"")&amp;"", edge ""&amp;TEXT(AG32,""0.0%""))),IF(OR(AF32&gt;Method!$B$87,IFERROR(INDEX(BC32:BE32,1,AB32)/INDEX(S32:U32,1,AB32),0)&gt;Method!$B$88),""🛑 Tail trap "&amp;"— auto-PASS · EV ""&amp;TEXT(AF32,""0.0%"")&amp;"" (cap ""&amp;TEXT(Method!$B$87,""0%"")&amp;"") · model/market ""&amp;TEXT(IFERROR(INDEX(BC32:BE32,1,AB32)/INDEX(S32:U32,1,AB32),0),""0.0"")&amp;""× (cap ""&amp;TEXT(Method!$B$88,""0.0"")&amp;""×)"",IF(AF32&lt;Method!$B$7,""Price too short —"&amp;" EV ""&amp;TEXT(AF32,""0.0%"")&amp;"" (need ""&amp;TEXT(Method!$B$7,""0.0%"")&amp;""+)"",""Model ≈ market — edge ""&amp;TEXT(AG32,""0.0%"")&amp;"" (need ""&amp;TEXT(Method!$B$8,""0.0%"")&amp;""+)"")))))"),"🛑 Tail trap — auto-PASS · EV 43.7% (cap 30%) · model/market 2.4× (cap 2.5×)")</f>
        <v>🛑 Tail trap — auto-PASS · EV 43.7% (cap 30%) · model/market 2.4× (cap 2.5×)</v>
      </c>
      <c r="AU32" s="33" t="str">
        <f t="shared" si="17"/>
        <v/>
      </c>
      <c r="AV32" s="32" t="str">
        <f>IF(Matchday!O34="","",Matchday!O34)</f>
        <v/>
      </c>
      <c r="AW32" s="75"/>
      <c r="AX32" s="75"/>
      <c r="AY32" s="75"/>
      <c r="AZ32" s="75" t="str">
        <f t="shared" si="18"/>
        <v>PASS</v>
      </c>
      <c r="BA32" s="76">
        <f>IF(AX32&lt;&gt;"",AX32,IF(AH32&lt;&gt;"BET",0,IF(AI32*Method!$B$10/100&lt;Method!$B$9,0,ROUND(AI32*Method!$B$10/100,0))))</f>
        <v>0</v>
      </c>
      <c r="BB32" s="12">
        <v>-23.71</v>
      </c>
      <c r="BC32" s="12">
        <v>0.7181804482909767</v>
      </c>
      <c r="BD32" s="12">
        <v>0.19998034241862442</v>
      </c>
      <c r="BE32" s="12">
        <v>0.0818392092903988</v>
      </c>
      <c r="BF32" s="14" t="s">
        <v>329</v>
      </c>
      <c r="BG32" s="12">
        <v>12.0</v>
      </c>
      <c r="BH32" s="14" t="s">
        <v>262</v>
      </c>
      <c r="BI32" s="12">
        <v>137.4</v>
      </c>
    </row>
    <row r="33" ht="15.0" customHeight="1">
      <c r="A33" s="32">
        <v>32.0</v>
      </c>
      <c r="B33" s="59">
        <v>46192.0</v>
      </c>
      <c r="C33" s="60" t="s">
        <v>113</v>
      </c>
      <c r="D33" s="61" t="s">
        <v>59</v>
      </c>
      <c r="E33" s="61" t="s">
        <v>51</v>
      </c>
      <c r="F33" s="61" t="s">
        <v>271</v>
      </c>
      <c r="G33" s="62">
        <v>0.875</v>
      </c>
      <c r="H33" s="60" t="s">
        <v>281</v>
      </c>
      <c r="I33" s="63">
        <v>0.44981567753591833</v>
      </c>
      <c r="J33" s="63">
        <v>0.2919806821776588</v>
      </c>
      <c r="K33" s="63">
        <v>0.25820364028642273</v>
      </c>
      <c r="L33" s="64">
        <f>IF(Matchday!E35="","",Matchday!E35)</f>
        <v>2.1</v>
      </c>
      <c r="M33" s="64">
        <f>IF(Matchday!F35="","",Matchday!F35)</f>
        <v>3.45</v>
      </c>
      <c r="N33" s="64">
        <f>IF(Matchday!G35="","",Matchday!G35)</f>
        <v>4</v>
      </c>
      <c r="O33" s="65">
        <f t="shared" ref="O33:Q33" si="77">IF(L33="","",1/L33)</f>
        <v>0.4761904762</v>
      </c>
      <c r="P33" s="65">
        <f t="shared" si="77"/>
        <v>0.2898550725</v>
      </c>
      <c r="Q33" s="65">
        <f t="shared" si="77"/>
        <v>0.25</v>
      </c>
      <c r="R33" s="65">
        <f t="shared" si="4"/>
        <v>1.016045549</v>
      </c>
      <c r="S33" s="65">
        <f t="array" ref="S33">IF($R33="","",IF(Method!$B$56="proportional",O33/$R33,IF(Method!$B$56="power",IFERROR(INDEX(power_devig($L33,$M33,$N33),1,1),O33/$R33),IFERROR(INDEX(shin($L33,$M33,$N33),1,1),O33/$R33))))</f>
        <v>0.4702938927</v>
      </c>
      <c r="T33" s="65">
        <f t="array" ref="T33">IF($R33="","",IF(Method!$B$56="proportional",P33/$R33,IF(Method!$B$56="power",IFERROR(INDEX(power_devig($L33,$M33,$N33),2,1),P33/$R33),IFERROR(INDEX(shin($L33,$M33,$N33),2,1),P33/$R33))))</f>
        <v>0.284700195</v>
      </c>
      <c r="U33" s="65">
        <f t="array" ref="U33">IF($R33="","",IF(Method!$B$56="proportional",Q33/$R33,IF(Method!$B$56="power",IFERROR(INDEX(power_devig($L33,$M33,$N33),3,1),Q33/$R33),IFERROR(INDEX(shin($L33,$M33,$N33),3,1),Q33/$R33))))</f>
        <v>0.2450059122</v>
      </c>
      <c r="V33" s="65">
        <f>IF(S33="","",Method!$B$4*IF(BC33="",I33,BC33)+(1-Method!$B$4)*S33/($S33+$T33+$U33))</f>
        <v>0.4652969753</v>
      </c>
      <c r="W33" s="65">
        <f>IF(T33="","",Method!$B$4*IF(BD33="",J33,BD33)+(1-Method!$B$4)*T33/($S33+$T33+$U33))</f>
        <v>0.2784002623</v>
      </c>
      <c r="X33" s="65">
        <f>IF(U33="","",Method!$B$4*IF(BE33="",K33,BE33)+(1-Method!$B$4)*U33/($S33+$T33+$U33))</f>
        <v>0.2563027624</v>
      </c>
      <c r="Y33" s="66">
        <f t="shared" ref="Y33:AA33" si="78">IF(V33="","",V33*L33-1)</f>
        <v>-0.02287635193</v>
      </c>
      <c r="Z33" s="66">
        <f t="shared" si="78"/>
        <v>-0.039519095</v>
      </c>
      <c r="AA33" s="66">
        <f t="shared" si="78"/>
        <v>0.02521104964</v>
      </c>
      <c r="AB33" s="67">
        <f t="shared" si="6"/>
        <v>3</v>
      </c>
      <c r="AC33" s="67" t="str">
        <f t="shared" si="7"/>
        <v>A</v>
      </c>
      <c r="AD33" s="68" t="str">
        <f t="shared" si="8"/>
        <v>2  Paraguay</v>
      </c>
      <c r="AE33" s="35">
        <f t="shared" si="9"/>
        <v>4</v>
      </c>
      <c r="AF33" s="66">
        <f t="shared" si="10"/>
        <v>0.02521104964</v>
      </c>
      <c r="AG33" s="66">
        <f t="shared" si="11"/>
        <v>0.01129685017</v>
      </c>
      <c r="AH33" s="69" t="str">
        <f t="array" ref="AH33">IF(AB33="","· enter odds",IF(OR(AF33&gt;Method!$B$87,IFERROR(INDEX(BC33:BE33,1,AB33)/INDEX(S33:U33,1,AB33),0)&gt;Method!$B$88),"PASS",IF(AND(AF33&gt;=Method!$B$7,AG33&gt;=Method!$B$8),"BET","PASS")))</f>
        <v>PASS</v>
      </c>
      <c r="AI33" s="70">
        <f>IF(AH33&lt;&gt;"BET",0,ROUND(MIN(Method!$B$6,Method!$B$5*AL33)*100,1))</f>
        <v>0</v>
      </c>
      <c r="AJ33" s="71">
        <f>IF(OR(AH33&lt;&gt;"BET",Method!$B$55=TRUE()),0,IF(AI33*Method!$B$10/100&lt;Method!$B$9,0,ROUND(AI33*Method!$B$10/100,0)))</f>
        <v>0</v>
      </c>
      <c r="AK33" s="65">
        <f t="shared" si="12"/>
        <v>0.2563027624</v>
      </c>
      <c r="AL33" s="65" t="str">
        <f t="shared" si="13"/>
        <v/>
      </c>
      <c r="AM33" s="67" t="str">
        <f t="shared" si="14"/>
        <v/>
      </c>
      <c r="AN33" s="72" t="str">
        <f>IF(Matchday!N35="","",Matchday!N35)</f>
        <v/>
      </c>
      <c r="AO33" s="64" t="str">
        <f>IF(Matchday!P35="","",Matchday!P35)</f>
        <v/>
      </c>
      <c r="AP33" s="73" t="str">
        <f>IF(Matchday!Q35="","",Matchday!Q35)</f>
        <v/>
      </c>
      <c r="AQ33" s="72" t="str">
        <f>IF(Matchday!R35="","",Matchday!R35)</f>
        <v>A</v>
      </c>
      <c r="AR33" s="74" t="str">
        <f t="shared" si="15"/>
        <v/>
      </c>
      <c r="AS33" s="74" t="str">
        <f t="shared" si="16"/>
        <v/>
      </c>
      <c r="AT33" s="33" t="str">
        <f>IFERROR(__xludf.DUMMYFUNCTION("IF(AB33="""",""Type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pauses."")),IF(AH33=""BET"",IF(AJ33=0,""Edge found but stake rounds under £""&amp;Method!$B$9&amp;"" — skip"",IF(AND(AE33&gt;=6,AG33&gt;=0.15),""🟡 WAIT — long-shot review: odds ""&amp;TEXT(AE33,""0.00"")&amp;"" + edge ""&amp;TEXT(AG33,""0.0%"")"&amp;"&amp;"" — verify sharp-book + team news + stake comfort before Placed=Y"",""Value found: EV ""&amp;TEXT(AF33,""0.0%"")&amp;"", edge ""&amp;TEXT(AG33,""0.0%""))),IF(OR(AF33&gt;Method!$B$87,IFERROR(INDEX(BC33:BE33,1,AB33)/INDEX(S33:U33,1,AB33),0)&gt;Method!$B$88),""🛑 Tail trap "&amp;"— auto-PASS · EV ""&amp;TEXT(AF33,""0.0%"")&amp;"" (cap ""&amp;TEXT(Method!$B$87,""0%"")&amp;"") · model/market ""&amp;TEXT(IFERROR(INDEX(BC33:BE33,1,AB33)/INDEX(S33:U33,1,AB33),0),""0.0"")&amp;""× (cap ""&amp;TEXT(Method!$B$88,""0.0"")&amp;""×)"",IF(AF33&lt;Method!$B$7,""Price too short —"&amp;" EV ""&amp;TEXT(AF33,""0.0%"")&amp;"" (need ""&amp;TEXT(Method!$B$7,""0.0%"")&amp;""+)"",""Model ≈ market — edge ""&amp;TEXT(AG33,""0.0%"")&amp;"" (need ""&amp;TEXT(Method!$B$8,""0.0%"")&amp;""+)"")))))"),"Model ≈ market — edge 1.1% (need 2.5%+)")</f>
        <v>Model ≈ market — edge 1.1% (need 2.5%+)</v>
      </c>
      <c r="AU33" s="33" t="str">
        <f t="shared" si="17"/>
        <v/>
      </c>
      <c r="AV33" s="32" t="str">
        <f>IF(Matchday!O35="","",Matchday!O35)</f>
        <v/>
      </c>
      <c r="AW33" s="75"/>
      <c r="AX33" s="75"/>
      <c r="AY33" s="75"/>
      <c r="AZ33" s="75" t="str">
        <f t="shared" si="18"/>
        <v>PASS</v>
      </c>
      <c r="BA33" s="76">
        <f>IF(AX33&lt;&gt;"",AX33,IF(AH33&lt;&gt;"BET",0,IF(AI33*Method!$B$10/100&lt;Method!$B$9,0,ROUND(AI33*Method!$B$10/100,0))))</f>
        <v>0</v>
      </c>
      <c r="BB33" s="12">
        <v>-30.77</v>
      </c>
      <c r="BC33" s="12">
        <v>0.4560169857113138</v>
      </c>
      <c r="BD33" s="12">
        <v>0.26670038728079243</v>
      </c>
      <c r="BE33" s="12">
        <v>0.2772826270078938</v>
      </c>
      <c r="BF33" s="14" t="s">
        <v>330</v>
      </c>
      <c r="BG33" s="12">
        <v>8.0</v>
      </c>
      <c r="BH33" s="14" t="s">
        <v>273</v>
      </c>
      <c r="BI33" s="12">
        <v>1323.5</v>
      </c>
    </row>
    <row r="34" ht="15.0" customHeight="1">
      <c r="A34" s="32">
        <v>33.0</v>
      </c>
      <c r="B34" s="59">
        <v>46193.0</v>
      </c>
      <c r="C34" s="60" t="s">
        <v>288</v>
      </c>
      <c r="D34" s="61" t="s">
        <v>62</v>
      </c>
      <c r="E34" s="61" t="s">
        <v>66</v>
      </c>
      <c r="F34" s="61" t="s">
        <v>285</v>
      </c>
      <c r="G34" s="62">
        <v>0.5416666666678793</v>
      </c>
      <c r="H34" s="62">
        <v>0.7916666666678793</v>
      </c>
      <c r="I34" s="63">
        <v>0.6838727870535757</v>
      </c>
      <c r="J34" s="63">
        <v>0.19696300263563682</v>
      </c>
      <c r="K34" s="63">
        <v>0.11916421031078746</v>
      </c>
      <c r="L34" s="64">
        <f>IF(Matchday!E36="","",Matchday!E36)</f>
        <v>1.73</v>
      </c>
      <c r="M34" s="64">
        <f>IF(Matchday!F36="","",Matchday!F36)</f>
        <v>4.1</v>
      </c>
      <c r="N34" s="64">
        <f>IF(Matchday!G36="","",Matchday!G36)</f>
        <v>5</v>
      </c>
      <c r="O34" s="65">
        <f t="shared" ref="O34:Q34" si="79">IF(L34="","",1/L34)</f>
        <v>0.5780346821</v>
      </c>
      <c r="P34" s="65">
        <f t="shared" si="79"/>
        <v>0.243902439</v>
      </c>
      <c r="Q34" s="65">
        <f t="shared" si="79"/>
        <v>0.2</v>
      </c>
      <c r="R34" s="65">
        <f t="shared" si="4"/>
        <v>1.021937121</v>
      </c>
      <c r="S34" s="65">
        <f t="array" ref="S34">IF($R34="","",IF(Method!$B$56="proportional",O34/$R34,IF(Method!$B$56="power",IFERROR(INDEX(power_devig($L34,$M34,$N34),1,1),O34/$R34),IFERROR(INDEX(shin($L34,$M34,$N34),1,1),O34/$R34))))</f>
        <v>0.5694336693</v>
      </c>
      <c r="T34" s="65">
        <f t="array" ref="T34">IF($R34="","",IF(Method!$B$56="proportional",P34/$R34,IF(Method!$B$56="power",IFERROR(INDEX(power_devig($L34,$M34,$N34),2,1),P34/$R34),IFERROR(INDEX(shin($L34,$M34,$N34),2,1),P34/$R34))))</f>
        <v>0.2371109347</v>
      </c>
      <c r="U34" s="65">
        <f t="array" ref="U34">IF($R34="","",IF(Method!$B$56="proportional",Q34/$R34,IF(Method!$B$56="power",IFERROR(INDEX(power_devig($L34,$M34,$N34),3,1),Q34/$R34),IFERROR(INDEX(shin($L34,$M34,$N34),3,1),Q34/$R34))))</f>
        <v>0.193455396</v>
      </c>
      <c r="V34" s="65">
        <f>IF(S34="","",Method!$B$4*IF(BC34="",I34,BC34)+(1-Method!$B$4)*S34/($S34+$T34+$U34))</f>
        <v>0.5991076353</v>
      </c>
      <c r="W34" s="65">
        <f>IF(T34="","",Method!$B$4*IF(BD34="",J34,BD34)+(1-Method!$B$4)*T34/($S34+$T34+$U34))</f>
        <v>0.232030018</v>
      </c>
      <c r="X34" s="65">
        <f>IF(U34="","",Method!$B$4*IF(BE34="",K34,BE34)+(1-Method!$B$4)*U34/($S34+$T34+$U34))</f>
        <v>0.1688623468</v>
      </c>
      <c r="Y34" s="66">
        <f t="shared" ref="Y34:AA34" si="80">IF(V34="","",V34*L34-1)</f>
        <v>0.03645620906</v>
      </c>
      <c r="Z34" s="66">
        <f t="shared" si="80"/>
        <v>-0.0486769264</v>
      </c>
      <c r="AA34" s="66">
        <f t="shared" si="80"/>
        <v>-0.1556882662</v>
      </c>
      <c r="AB34" s="67">
        <f t="shared" si="6"/>
        <v>1</v>
      </c>
      <c r="AC34" s="67" t="str">
        <f t="shared" si="7"/>
        <v>H</v>
      </c>
      <c r="AD34" s="68" t="str">
        <f t="shared" si="8"/>
        <v>1  Netherlands</v>
      </c>
      <c r="AE34" s="35">
        <f t="shared" si="9"/>
        <v>1.73</v>
      </c>
      <c r="AF34" s="66">
        <f t="shared" si="10"/>
        <v>0.03645620906</v>
      </c>
      <c r="AG34" s="66">
        <f t="shared" si="11"/>
        <v>0.02967396599</v>
      </c>
      <c r="AH34" s="69" t="str">
        <f t="array" ref="AH34">IF(AB34="","· enter odds",IF(OR(AF34&gt;Method!$B$87,IFERROR(INDEX(BC34:BE34,1,AB34)/INDEX(S34:U34,1,AB34),0)&gt;Method!$B$88),"PASS",IF(AND(AF34&gt;=Method!$B$7,AG34&gt;=Method!$B$8),"BET","PASS")))</f>
        <v>BET</v>
      </c>
      <c r="AI34" s="70">
        <f>IF(AH34&lt;&gt;"BET",0,ROUND(MIN(Method!$B$6,Method!$B$5*AL34)*100,1))</f>
        <v>1.2</v>
      </c>
      <c r="AJ34" s="71">
        <f>IF(OR(AH34&lt;&gt;"BET",Method!$B$55=TRUE()),0,IF(AI34*Method!$B$10/100&lt;Method!$B$9,0,ROUND(AI34*Method!$B$10/100,0)))</f>
        <v>12</v>
      </c>
      <c r="AK34" s="65">
        <f t="shared" si="12"/>
        <v>0.5991076353</v>
      </c>
      <c r="AL34" s="65">
        <f t="shared" si="13"/>
        <v>0.04994001241</v>
      </c>
      <c r="AM34" s="66">
        <f t="shared" si="14"/>
        <v>0.03648920906</v>
      </c>
      <c r="AN34" s="72" t="str">
        <f>IF(Matchday!N36="","",Matchday!N36)</f>
        <v/>
      </c>
      <c r="AO34" s="64" t="str">
        <f>IF(Matchday!P36="","",Matchday!P36)</f>
        <v/>
      </c>
      <c r="AP34" s="73" t="str">
        <f>IF(Matchday!Q36="","",Matchday!Q36)</f>
        <v/>
      </c>
      <c r="AQ34" s="72" t="str">
        <f>IF(Matchday!R36="","",Matchday!R36)</f>
        <v>H</v>
      </c>
      <c r="AR34" s="74" t="str">
        <f t="shared" si="15"/>
        <v/>
      </c>
      <c r="AS34" s="74" t="str">
        <f t="shared" si="16"/>
        <v/>
      </c>
      <c r="AT34" s="33" t="str">
        <f>IFERROR(__xludf.DUMMYFUNCTION("IF(AB34="""",""Type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pauses."")),IF(AH34=""BET"",IF(AJ34=0,""Edge found but stake rounds under £""&amp;Method!$B$9&amp;"" — skip"",IF(AND(AE34&gt;=6,AG34&gt;=0.15),""🟡 WAIT — long-shot review: odds ""&amp;TEXT(AE34,""0.00"")&amp;"" + edge ""&amp;TEXT(AG34,""0.0%"")"&amp;"&amp;"" — verify sharp-book + team news + stake comfort before Placed=Y"",""Value found: EV ""&amp;TEXT(AF34,""0.0%"")&amp;"", edge ""&amp;TEXT(AG34,""0.0%""))),IF(OR(AF34&gt;Method!$B$87,IFERROR(INDEX(BC34:BE34,1,AB34)/INDEX(S34:U34,1,AB34),0)&gt;Method!$B$88),""🛑 Tail trap "&amp;"— auto-PASS · EV ""&amp;TEXT(AF34,""0.0%"")&amp;"" (cap ""&amp;TEXT(Method!$B$87,""0%"")&amp;"") · model/market ""&amp;TEXT(IFERROR(INDEX(BC34:BE34,1,AB34)/INDEX(S34:U34,1,AB34),0),""0.0"")&amp;""× (cap ""&amp;TEXT(Method!$B$88,""0.0"")&amp;""×)"",IF(AF34&lt;Method!$B$7,""Price too short —"&amp;" EV ""&amp;TEXT(AF34,""0.0%"")&amp;"" (need ""&amp;TEXT(Method!$B$7,""0.0%"")&amp;""+)"",""Model ≈ market — edge ""&amp;TEXT(AG34,""0.0%"")&amp;"" (need ""&amp;TEXT(Method!$B$8,""0.0%"")&amp;""+)"")))))"),"Value found: EV 3.6%, edge 3.0%")</f>
        <v>Value found: EV 3.6%, edge 3.0%</v>
      </c>
      <c r="AU34" s="33" t="str">
        <f t="shared" si="17"/>
        <v/>
      </c>
      <c r="AV34" s="32" t="str">
        <f>IF(Matchday!O36="","",Matchday!O36)</f>
        <v/>
      </c>
      <c r="AW34" s="75"/>
      <c r="AX34" s="75"/>
      <c r="AY34" s="75"/>
      <c r="AZ34" s="75" t="str">
        <f t="shared" si="18"/>
        <v>BET</v>
      </c>
      <c r="BA34" s="76">
        <f>IF(AX34&lt;&gt;"",AX34,IF(AH34&lt;&gt;"BET",0,IF(AI34*Method!$B$10/100&lt;Method!$B$9,0,ROUND(AI34*Method!$B$10/100,0))))</f>
        <v>12</v>
      </c>
      <c r="BB34" s="12">
        <v>-7.920000000000001</v>
      </c>
      <c r="BC34" s="12">
        <v>0.6542164292732568</v>
      </c>
      <c r="BD34" s="12">
        <v>0.2225940297939334</v>
      </c>
      <c r="BE34" s="12">
        <v>0.12318954093280965</v>
      </c>
      <c r="BF34" s="14" t="s">
        <v>331</v>
      </c>
      <c r="BG34" s="12">
        <v>15.0</v>
      </c>
      <c r="BH34" s="14" t="s">
        <v>287</v>
      </c>
      <c r="BI34" s="12">
        <v>376.3</v>
      </c>
    </row>
    <row r="35" ht="15.0" customHeight="1">
      <c r="A35" s="32">
        <v>34.0</v>
      </c>
      <c r="B35" s="59">
        <v>46193.0</v>
      </c>
      <c r="C35" s="60" t="s">
        <v>284</v>
      </c>
      <c r="D35" s="61" t="s">
        <v>60</v>
      </c>
      <c r="E35" s="61" t="s">
        <v>64</v>
      </c>
      <c r="F35" s="61" t="s">
        <v>264</v>
      </c>
      <c r="G35" s="62">
        <v>0.6666666666678793</v>
      </c>
      <c r="H35" s="62">
        <v>0.875</v>
      </c>
      <c r="I35" s="63">
        <v>0.5643228782492324</v>
      </c>
      <c r="J35" s="63">
        <v>0.2683471519289594</v>
      </c>
      <c r="K35" s="63">
        <v>0.1673299698218081</v>
      </c>
      <c r="L35" s="64">
        <f>IF(Matchday!E37="","",Matchday!E37)</f>
        <v>1.54</v>
      </c>
      <c r="M35" s="64">
        <f>IF(Matchday!F37="","",Matchday!F37)</f>
        <v>4.75</v>
      </c>
      <c r="N35" s="64">
        <f>IF(Matchday!G37="","",Matchday!G37)</f>
        <v>7.1</v>
      </c>
      <c r="O35" s="65">
        <f t="shared" ref="O35:Q35" si="81">IF(L35="","",1/L35)</f>
        <v>0.6493506494</v>
      </c>
      <c r="P35" s="65">
        <f t="shared" si="81"/>
        <v>0.2105263158</v>
      </c>
      <c r="Q35" s="65">
        <f t="shared" si="81"/>
        <v>0.1408450704</v>
      </c>
      <c r="R35" s="65">
        <f t="shared" si="4"/>
        <v>1.000722036</v>
      </c>
      <c r="S35" s="65">
        <f t="array" ref="S35">IF($R35="","",IF(Method!$B$56="proportional",O35/$R35,IF(Method!$B$56="power",IFERROR(INDEX(power_devig($L35,$M35,$N35),1,1),O35/$R35),IFERROR(INDEX(shin($L35,$M35,$N35),1,1),O35/$R35))))</f>
        <v>0.6490529905</v>
      </c>
      <c r="T35" s="65">
        <f t="array" ref="T35">IF($R35="","",IF(Method!$B$56="proportional",P35/$R35,IF(Method!$B$56="power",IFERROR(INDEX(power_devig($L35,$M35,$N35),2,1),P35/$R35),IFERROR(INDEX(shin($L35,$M35,$N35),2,1),P35/$R35))))</f>
        <v>0.2103078267</v>
      </c>
      <c r="U35" s="65">
        <f t="array" ref="U35">IF($R35="","",IF(Method!$B$56="proportional",Q35/$R35,IF(Method!$B$56="power",IFERROR(INDEX(power_devig($L35,$M35,$N35),3,1),Q35/$R35),IFERROR(INDEX(shin($L35,$M35,$N35),3,1),Q35/$R35))))</f>
        <v>0.1406391828</v>
      </c>
      <c r="V35" s="65">
        <f>IF(S35="","",Method!$B$4*IF(BC35="",I35,BC35)+(1-Method!$B$4)*S35/($S35+$T35+$U35))</f>
        <v>0.6145406454</v>
      </c>
      <c r="W35" s="65">
        <f>IF(T35="","",Method!$B$4*IF(BD35="",J35,BD35)+(1-Method!$B$4)*T35/($S35+$T35+$U35))</f>
        <v>0.2334467529</v>
      </c>
      <c r="X35" s="65">
        <f>IF(U35="","",Method!$B$4*IF(BE35="",K35,BE35)+(1-Method!$B$4)*U35/($S35+$T35+$U35))</f>
        <v>0.1520126017</v>
      </c>
      <c r="Y35" s="66">
        <f t="shared" ref="Y35:AA35" si="82">IF(V35="","",V35*L35-1)</f>
        <v>-0.05360740615</v>
      </c>
      <c r="Z35" s="66">
        <f t="shared" si="82"/>
        <v>0.1088720763</v>
      </c>
      <c r="AA35" s="66">
        <f t="shared" si="82"/>
        <v>0.0792894723</v>
      </c>
      <c r="AB35" s="67">
        <f t="shared" si="6"/>
        <v>2</v>
      </c>
      <c r="AC35" s="67" t="str">
        <f t="shared" si="7"/>
        <v>D</v>
      </c>
      <c r="AD35" s="68" t="str">
        <f t="shared" si="8"/>
        <v>X  Draw</v>
      </c>
      <c r="AE35" s="35">
        <f t="shared" si="9"/>
        <v>4.75</v>
      </c>
      <c r="AF35" s="66">
        <f t="shared" si="10"/>
        <v>0.1088720763</v>
      </c>
      <c r="AG35" s="66">
        <f t="shared" si="11"/>
        <v>0.02313892622</v>
      </c>
      <c r="AH35" s="69" t="str">
        <f t="array" ref="AH35">IF(AB35="","· enter odds",IF(OR(AF35&gt;Method!$B$87,IFERROR(INDEX(BC35:BE35,1,AB35)/INDEX(S35:U35,1,AB35),0)&gt;Method!$B$88),"PASS",IF(AND(AF35&gt;=Method!$B$7,AG35&gt;=Method!$B$8),"BET","PASS")))</f>
        <v>PASS</v>
      </c>
      <c r="AI35" s="70">
        <f>IF(AH35&lt;&gt;"BET",0,ROUND(MIN(Method!$B$6,Method!$B$5*AL35)*100,1))</f>
        <v>0</v>
      </c>
      <c r="AJ35" s="71">
        <f>IF(OR(AH35&lt;&gt;"BET",Method!$B$55=TRUE()),0,IF(AI35*Method!$B$10/100&lt;Method!$B$9,0,ROUND(AI35*Method!$B$10/100,0)))</f>
        <v>0</v>
      </c>
      <c r="AK35" s="65">
        <f t="shared" si="12"/>
        <v>0.2334467529</v>
      </c>
      <c r="AL35" s="65" t="str">
        <f t="shared" si="13"/>
        <v/>
      </c>
      <c r="AM35" s="67" t="str">
        <f t="shared" si="14"/>
        <v/>
      </c>
      <c r="AN35" s="72" t="str">
        <f>IF(Matchday!N37="","",Matchday!N37)</f>
        <v/>
      </c>
      <c r="AO35" s="64" t="str">
        <f>IF(Matchday!P37="","",Matchday!P37)</f>
        <v/>
      </c>
      <c r="AP35" s="73" t="str">
        <f>IF(Matchday!Q37="","",Matchday!Q37)</f>
        <v/>
      </c>
      <c r="AQ35" s="72" t="str">
        <f>IF(Matchday!R37="","",Matchday!R37)</f>
        <v>H</v>
      </c>
      <c r="AR35" s="74" t="str">
        <f t="shared" si="15"/>
        <v/>
      </c>
      <c r="AS35" s="74" t="str">
        <f t="shared" si="16"/>
        <v/>
      </c>
      <c r="AT35" s="33" t="str">
        <f>IFERROR(__xludf.DUMMYFUNCTION("IF(AB35="""",""Type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pauses."")),IF(AH35=""BET"",IF(AJ35=0,""Edge found but stake rounds under £""&amp;Method!$B$9&amp;"" — skip"",IF(AND(AE35&gt;=6,AG35&gt;=0.15),""🟡 WAIT — long-shot review: odds ""&amp;TEXT(AE35,""0.00"")&amp;"" + edge ""&amp;TEXT(AG35,""0.0%"")"&amp;"&amp;"" — verify sharp-book + team news + stake comfort before Placed=Y"",""Value found: EV ""&amp;TEXT(AF35,""0.0%"")&amp;"", edge ""&amp;TEXT(AG35,""0.0%""))),IF(OR(AF35&gt;Method!$B$87,IFERROR(INDEX(BC35:BE35,1,AB35)/INDEX(S35:U35,1,AB35),0)&gt;Method!$B$88),""🛑 Tail trap "&amp;"— auto-PASS · EV ""&amp;TEXT(AF35,""0.0%"")&amp;"" (cap ""&amp;TEXT(Method!$B$87,""0%"")&amp;"") · model/market ""&amp;TEXT(IFERROR(INDEX(BC35:BE35,1,AB35)/INDEX(S35:U35,1,AB35),0),""0.0"")&amp;""× (cap ""&amp;TEXT(Method!$B$88,""0.0"")&amp;""×)"",IF(AF35&lt;Method!$B$7,""Price too short —"&amp;" EV ""&amp;TEXT(AF35,""0.0%"")&amp;"" (need ""&amp;TEXT(Method!$B$7,""0.0%"")&amp;""+)"",""Model ≈ market — edge ""&amp;TEXT(AG35,""0.0%"")&amp;"" (need ""&amp;TEXT(Method!$B$8,""0.0%"")&amp;""+)"")))))"),"Model ≈ market — edge 2.3% (need 2.5%+)")</f>
        <v>Model ≈ market — edge 2.3% (need 2.5%+)</v>
      </c>
      <c r="AU35" s="33" t="str">
        <f t="shared" si="17"/>
        <v/>
      </c>
      <c r="AV35" s="32" t="str">
        <f>IF(Matchday!O37="","",Matchday!O37)</f>
        <v/>
      </c>
      <c r="AW35" s="75"/>
      <c r="AX35" s="75"/>
      <c r="AY35" s="75"/>
      <c r="AZ35" s="75" t="str">
        <f t="shared" si="18"/>
        <v>PASS</v>
      </c>
      <c r="BA35" s="76">
        <f>IF(AX35&lt;&gt;"",AX35,IF(AH35&lt;&gt;"BET",0,IF(AI35*Method!$B$10/100&lt;Method!$B$9,0,ROUND(AI35*Method!$B$10/100,0))))</f>
        <v>0</v>
      </c>
      <c r="BB35" s="12">
        <v>-12.09</v>
      </c>
      <c r="BC35" s="12">
        <v>0.5504462900160388</v>
      </c>
      <c r="BD35" s="12">
        <v>0.27641904445572</v>
      </c>
      <c r="BE35" s="12">
        <v>0.17313466552824114</v>
      </c>
      <c r="BF35" s="14" t="s">
        <v>332</v>
      </c>
      <c r="BG35" s="12">
        <v>76.0</v>
      </c>
      <c r="BH35" s="14" t="s">
        <v>266</v>
      </c>
      <c r="BI35" s="12">
        <v>2099.8</v>
      </c>
    </row>
    <row r="36" ht="15.0" customHeight="1">
      <c r="A36" s="32">
        <v>35.0</v>
      </c>
      <c r="B36" s="59">
        <v>46193.0</v>
      </c>
      <c r="C36" s="60" t="s">
        <v>284</v>
      </c>
      <c r="D36" s="61" t="s">
        <v>65</v>
      </c>
      <c r="E36" s="61" t="s">
        <v>61</v>
      </c>
      <c r="F36" s="61" t="s">
        <v>312</v>
      </c>
      <c r="G36" s="62">
        <v>0.7916666666678793</v>
      </c>
      <c r="H36" s="60" t="s">
        <v>333</v>
      </c>
      <c r="I36" s="63">
        <v>0.7337038405684125</v>
      </c>
      <c r="J36" s="63">
        <v>0.18653806439200338</v>
      </c>
      <c r="K36" s="63">
        <v>0.07975809503958395</v>
      </c>
      <c r="L36" s="64">
        <f>IF(Matchday!E38="","",Matchday!E38)</f>
        <v>1.17</v>
      </c>
      <c r="M36" s="64">
        <f>IF(Matchday!F38="","",Matchday!F38)</f>
        <v>9.5</v>
      </c>
      <c r="N36" s="64">
        <f>IF(Matchday!G38="","",Matchday!G38)</f>
        <v>21</v>
      </c>
      <c r="O36" s="65">
        <f t="shared" ref="O36:Q36" si="83">IF(L36="","",1/L36)</f>
        <v>0.8547008547</v>
      </c>
      <c r="P36" s="65">
        <f t="shared" si="83"/>
        <v>0.1052631579</v>
      </c>
      <c r="Q36" s="65">
        <f t="shared" si="83"/>
        <v>0.04761904762</v>
      </c>
      <c r="R36" s="65">
        <f t="shared" si="4"/>
        <v>1.00758306</v>
      </c>
      <c r="S36" s="65">
        <f t="array" ref="S36">IF($R36="","",IF(Method!$B$56="proportional",O36/$R36,IF(Method!$B$56="power",IFERROR(INDEX(power_devig($L36,$M36,$N36),1,1),O36/$R36),IFERROR(INDEX(shin($L36,$M36,$N36),1,1),O36/$R36))))</f>
        <v>0.8511933481</v>
      </c>
      <c r="T36" s="65">
        <f t="array" ref="T36">IF($R36="","",IF(Method!$B$56="proportional",P36/$R36,IF(Method!$B$56="power",IFERROR(INDEX(power_devig($L36,$M36,$N36),2,1),P36/$R36),IFERROR(INDEX(shin($L36,$M36,$N36),2,1),P36/$R36))))</f>
        <v>0.10316126</v>
      </c>
      <c r="U36" s="65">
        <f t="array" ref="U36">IF($R36="","",IF(Method!$B$56="proportional",Q36/$R36,IF(Method!$B$56="power",IFERROR(INDEX(power_devig($L36,$M36,$N36),3,1),Q36/$R36),IFERROR(INDEX(shin($L36,$M36,$N36),3,1),Q36/$R36))))</f>
        <v>0.04564539194</v>
      </c>
      <c r="V36" s="65">
        <f>IF(S36="","",Method!$B$4*IF(BC36="",I36,BC36)+(1-Method!$B$4)*S36/($S36+$T36+$U36))</f>
        <v>0.8003832131</v>
      </c>
      <c r="W36" s="65">
        <f>IF(T36="","",Method!$B$4*IF(BD36="",J36,BD36)+(1-Method!$B$4)*T36/($S36+$T36+$U36))</f>
        <v>0.1413228355</v>
      </c>
      <c r="X36" s="65">
        <f>IF(U36="","",Method!$B$4*IF(BE36="",K36,BE36)+(1-Method!$B$4)*U36/($S36+$T36+$U36))</f>
        <v>0.0582939514</v>
      </c>
      <c r="Y36" s="66">
        <f t="shared" ref="Y36:AA36" si="84">IF(V36="","",V36*L36-1)</f>
        <v>-0.06355164064</v>
      </c>
      <c r="Z36" s="66">
        <f t="shared" si="84"/>
        <v>0.342566937</v>
      </c>
      <c r="AA36" s="66">
        <f t="shared" si="84"/>
        <v>0.2241729794</v>
      </c>
      <c r="AB36" s="67">
        <f t="shared" si="6"/>
        <v>2</v>
      </c>
      <c r="AC36" s="67" t="str">
        <f t="shared" si="7"/>
        <v>D</v>
      </c>
      <c r="AD36" s="68" t="str">
        <f t="shared" si="8"/>
        <v>X  Draw</v>
      </c>
      <c r="AE36" s="35">
        <f t="shared" si="9"/>
        <v>9.5</v>
      </c>
      <c r="AF36" s="66">
        <f t="shared" si="10"/>
        <v>0.342566937</v>
      </c>
      <c r="AG36" s="66">
        <f t="shared" si="11"/>
        <v>0.03816157551</v>
      </c>
      <c r="AH36" s="69" t="str">
        <f t="array" ref="AH36">IF(AB36="","· enter odds",IF(OR(AF36&gt;Method!$B$87,IFERROR(INDEX(BC36:BE36,1,AB36)/INDEX(S36:U36,1,AB36),0)&gt;Method!$B$88),"PASS",IF(AND(AF36&gt;=Method!$B$7,AG36&gt;=Method!$B$8),"BET","PASS")))</f>
        <v>PASS</v>
      </c>
      <c r="AI36" s="70">
        <f>IF(AH36&lt;&gt;"BET",0,ROUND(MIN(Method!$B$6,Method!$B$5*AL36)*100,1))</f>
        <v>0</v>
      </c>
      <c r="AJ36" s="71">
        <f>IF(OR(AH36&lt;&gt;"BET",Method!$B$55=TRUE()),0,IF(AI36*Method!$B$10/100&lt;Method!$B$9,0,ROUND(AI36*Method!$B$10/100,0)))</f>
        <v>0</v>
      </c>
      <c r="AK36" s="65">
        <f t="shared" si="12"/>
        <v>0.1413228355</v>
      </c>
      <c r="AL36" s="65" t="str">
        <f t="shared" si="13"/>
        <v/>
      </c>
      <c r="AM36" s="66" t="str">
        <f t="shared" si="14"/>
        <v/>
      </c>
      <c r="AN36" s="72" t="str">
        <f>IF(Matchday!N38="","",Matchday!N38)</f>
        <v/>
      </c>
      <c r="AO36" s="64" t="str">
        <f>IF(Matchday!P38="","",Matchday!P38)</f>
        <v/>
      </c>
      <c r="AP36" s="73" t="str">
        <f>IF(Matchday!Q38="","",Matchday!Q38)</f>
        <v/>
      </c>
      <c r="AQ36" s="72" t="str">
        <f>IF(Matchday!R38="","",Matchday!R38)</f>
        <v>D</v>
      </c>
      <c r="AR36" s="74" t="str">
        <f t="shared" si="15"/>
        <v/>
      </c>
      <c r="AS36" s="74" t="str">
        <f t="shared" si="16"/>
        <v/>
      </c>
      <c r="AT36" s="33" t="str">
        <f>IFERROR(__xludf.DUMMYFUNCTION("IF(AB36="""",""Type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pauses."")),IF(AH36=""BET"",IF(AJ36=0,""Edge found but stake rounds under £""&amp;Method!$B$9&amp;"" — skip"",IF(AND(AE36&gt;=6,AG36&gt;=0.15),""🟡 WAIT — long-shot review: odds ""&amp;TEXT(AE36,""0.00"")&amp;"" + edge ""&amp;TEXT(AG36,""0.0%"")"&amp;"&amp;"" — verify sharp-book + team news + stake comfort before Placed=Y"",""Value found: EV ""&amp;TEXT(AF36,""0.0%"")&amp;"", edge ""&amp;TEXT(AG36,""0.0%""))),IF(OR(AF36&gt;Method!$B$87,IFERROR(INDEX(BC36:BE36,1,AB36)/INDEX(S36:U36,1,AB36),0)&gt;Method!$B$88),""🛑 Tail trap "&amp;"— auto-PASS · EV ""&amp;TEXT(AF36,""0.0%"")&amp;"" (cap ""&amp;TEXT(Method!$B$87,""0%"")&amp;"") · model/market ""&amp;TEXT(IFERROR(INDEX(BC36:BE36,1,AB36)/INDEX(S36:U36,1,AB36),0),""0.0"")&amp;""× (cap ""&amp;TEXT(Method!$B$88,""0.0"")&amp;""×)"",IF(AF36&lt;Method!$B$7,""Price too short —"&amp;" EV ""&amp;TEXT(AF36,""0.0%"")&amp;"" (need ""&amp;TEXT(Method!$B$7,""0.0%"")&amp;""+)"",""Model ≈ market — edge ""&amp;TEXT(AG36,""0.0%"")&amp;"" (need ""&amp;TEXT(Method!$B$8,""0.0%"")&amp;""+)"")))))"),"🛑 Tail trap — auto-PASS · EV 34.3% (cap 30%) · model/market 2.1× (cap 2.5×)")</f>
        <v>🛑 Tail trap — auto-PASS · EV 34.3% (cap 30%) · model/market 2.1× (cap 2.5×)</v>
      </c>
      <c r="AU36" s="33" t="str">
        <f t="shared" si="17"/>
        <v/>
      </c>
      <c r="AV36" s="32" t="str">
        <f>IF(Matchday!O38="","",Matchday!O38)</f>
        <v/>
      </c>
      <c r="AW36" s="75"/>
      <c r="AX36" s="75"/>
      <c r="AY36" s="75"/>
      <c r="AZ36" s="75" t="str">
        <f t="shared" si="18"/>
        <v>PASS</v>
      </c>
      <c r="BA36" s="76">
        <f>IF(AX36&lt;&gt;"",AX36,IF(AH36&lt;&gt;"BET",0,IF(AI36*Method!$B$10/100&lt;Method!$B$9,0,ROUND(AI36*Method!$B$10/100,0))))</f>
        <v>0</v>
      </c>
      <c r="BB36" s="12">
        <v>-9.06</v>
      </c>
      <c r="BC36" s="12">
        <v>0.706021533892729</v>
      </c>
      <c r="BD36" s="12">
        <v>0.2121943328550841</v>
      </c>
      <c r="BE36" s="12">
        <v>0.0817841332521868</v>
      </c>
      <c r="BF36" s="14" t="s">
        <v>334</v>
      </c>
      <c r="BG36" s="12">
        <v>270.0</v>
      </c>
      <c r="BH36" s="14" t="s">
        <v>314</v>
      </c>
      <c r="BI36" s="12">
        <v>1657.4</v>
      </c>
    </row>
    <row r="37" ht="15.0" customHeight="1">
      <c r="A37" s="32">
        <v>36.0</v>
      </c>
      <c r="B37" s="59">
        <v>46193.0</v>
      </c>
      <c r="C37" s="60" t="s">
        <v>288</v>
      </c>
      <c r="D37" s="61" t="s">
        <v>67</v>
      </c>
      <c r="E37" s="61" t="s">
        <v>63</v>
      </c>
      <c r="F37" s="61" t="s">
        <v>295</v>
      </c>
      <c r="G37" s="62">
        <v>0.9166666666678793</v>
      </c>
      <c r="H37" s="60" t="s">
        <v>281</v>
      </c>
      <c r="I37" s="63">
        <v>0.1539247587209203</v>
      </c>
      <c r="J37" s="63">
        <v>0.2611087610171194</v>
      </c>
      <c r="K37" s="63">
        <v>0.5849664802619601</v>
      </c>
      <c r="L37" s="64">
        <f>IF(Matchday!E39="","",Matchday!E39)</f>
        <v>8.5</v>
      </c>
      <c r="M37" s="64">
        <f>IF(Matchday!F39="","",Matchday!F39)</f>
        <v>4.6</v>
      </c>
      <c r="N37" s="64">
        <f>IF(Matchday!G39="","",Matchday!G39)</f>
        <v>1.48</v>
      </c>
      <c r="O37" s="65">
        <f t="shared" ref="O37:Q37" si="85">IF(L37="","",1/L37)</f>
        <v>0.1176470588</v>
      </c>
      <c r="P37" s="65">
        <f t="shared" si="85"/>
        <v>0.2173913043</v>
      </c>
      <c r="Q37" s="65">
        <f t="shared" si="85"/>
        <v>0.6756756757</v>
      </c>
      <c r="R37" s="65">
        <f t="shared" si="4"/>
        <v>1.010714039</v>
      </c>
      <c r="S37" s="65">
        <f t="array" ref="S37">IF($R37="","",IF(Method!$B$56="proportional",O37/$R37,IF(Method!$B$56="power",IFERROR(INDEX(power_devig($L37,$M37,$N37),1,1),O37/$R37),IFERROR(INDEX(shin($L37,$M37,$N37),1,1),O37/$R37))))</f>
        <v>0.1146654478</v>
      </c>
      <c r="T37" s="65">
        <f t="array" ref="T37">IF($R37="","",IF(Method!$B$56="proportional",P37/$R37,IF(Method!$B$56="power",IFERROR(INDEX(power_devig($L37,$M37,$N37),2,1),P37/$R37),IFERROR(INDEX(shin($L37,$M37,$N37),2,1),P37/$R37))))</f>
        <v>0.214133192</v>
      </c>
      <c r="U37" s="65">
        <f t="array" ref="U37">IF($R37="","",IF(Method!$B$56="proportional",Q37/$R37,IF(Method!$B$56="power",IFERROR(INDEX(power_devig($L37,$M37,$N37),3,1),Q37/$R37),IFERROR(INDEX(shin($L37,$M37,$N37),3,1),Q37/$R37))))</f>
        <v>0.6712013602</v>
      </c>
      <c r="V37" s="65">
        <f>IF(S37="","",Method!$B$4*IF(BC37="",I37,BC37)+(1-Method!$B$4)*S37/($S37+$T37+$U37))</f>
        <v>0.1203706666</v>
      </c>
      <c r="W37" s="65">
        <f>IF(T37="","",Method!$B$4*IF(BD37="",J37,BD37)+(1-Method!$B$4)*T37/($S37+$T37+$U37))</f>
        <v>0.2384465495</v>
      </c>
      <c r="X37" s="65">
        <f>IF(U37="","",Method!$B$4*IF(BE37="",K37,BE37)+(1-Method!$B$4)*U37/($S37+$T37+$U37))</f>
        <v>0.6411827839</v>
      </c>
      <c r="Y37" s="66">
        <f t="shared" ref="Y37:AA37" si="86">IF(V37="","",V37*L37-1)</f>
        <v>0.02315066588</v>
      </c>
      <c r="Z37" s="66">
        <f t="shared" si="86"/>
        <v>0.09685412792</v>
      </c>
      <c r="AA37" s="66">
        <f t="shared" si="86"/>
        <v>-0.05104947986</v>
      </c>
      <c r="AB37" s="67">
        <f t="shared" si="6"/>
        <v>2</v>
      </c>
      <c r="AC37" s="67" t="str">
        <f t="shared" si="7"/>
        <v>D</v>
      </c>
      <c r="AD37" s="68" t="str">
        <f t="shared" si="8"/>
        <v>X  Draw</v>
      </c>
      <c r="AE37" s="35">
        <f t="shared" si="9"/>
        <v>4.6</v>
      </c>
      <c r="AF37" s="66">
        <f t="shared" si="10"/>
        <v>0.09685412792</v>
      </c>
      <c r="AG37" s="66">
        <f t="shared" si="11"/>
        <v>0.02431335753</v>
      </c>
      <c r="AH37" s="69" t="str">
        <f t="array" ref="AH37">IF(AB37="","· enter odds",IF(OR(AF37&gt;Method!$B$87,IFERROR(INDEX(BC37:BE37,1,AB37)/INDEX(S37:U37,1,AB37),0)&gt;Method!$B$88),"PASS",IF(AND(AF37&gt;=Method!$B$7,AG37&gt;=Method!$B$8),"BET","PASS")))</f>
        <v>PASS</v>
      </c>
      <c r="AI37" s="70">
        <f>IF(AH37&lt;&gt;"BET",0,ROUND(MIN(Method!$B$6,Method!$B$5*AL37)*100,1))</f>
        <v>0</v>
      </c>
      <c r="AJ37" s="71">
        <f>IF(OR(AH37&lt;&gt;"BET",Method!$B$55=TRUE()),0,IF(AI37*Method!$B$10/100&lt;Method!$B$9,0,ROUND(AI37*Method!$B$10/100,0)))</f>
        <v>0</v>
      </c>
      <c r="AK37" s="65">
        <f t="shared" si="12"/>
        <v>0.2384465495</v>
      </c>
      <c r="AL37" s="65" t="str">
        <f t="shared" si="13"/>
        <v/>
      </c>
      <c r="AM37" s="67" t="str">
        <f t="shared" si="14"/>
        <v/>
      </c>
      <c r="AN37" s="72" t="str">
        <f>IF(Matchday!N39="","",Matchday!N39)</f>
        <v/>
      </c>
      <c r="AO37" s="64" t="str">
        <f>IF(Matchday!P39="","",Matchday!P39)</f>
        <v/>
      </c>
      <c r="AP37" s="73" t="str">
        <f>IF(Matchday!Q39="","",Matchday!Q39)</f>
        <v/>
      </c>
      <c r="AQ37" s="72" t="str">
        <f>IF(Matchday!R39="","",Matchday!R39)</f>
        <v>A</v>
      </c>
      <c r="AR37" s="74" t="str">
        <f t="shared" si="15"/>
        <v/>
      </c>
      <c r="AS37" s="74" t="str">
        <f t="shared" si="16"/>
        <v/>
      </c>
      <c r="AT37" s="33" t="str">
        <f>IFERROR(__xludf.DUMMYFUNCTION("IF(AB37="""",""Type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pauses."")),IF(AH37=""BET"",IF(AJ37=0,""Edge found but stake rounds under £""&amp;Method!$B$9&amp;"" — skip"",IF(AND(AE37&gt;=6,AG37&gt;=0.15),""🟡 WAIT — long-shot review: odds ""&amp;TEXT(AE37,""0.00"")&amp;"" + edge ""&amp;TEXT(AG37,""0.0%"")"&amp;"&amp;"" — verify sharp-book + team news + stake comfort before Placed=Y"",""Value found: EV ""&amp;TEXT(AF37,""0.0%"")&amp;"", edge ""&amp;TEXT(AG37,""0.0%""))),IF(OR(AF37&gt;Method!$B$87,IFERROR(INDEX(BC37:BE37,1,AB37)/INDEX(S37:U37,1,AB37),0)&gt;Method!$B$88),""🛑 Tail trap "&amp;"— auto-PASS · EV ""&amp;TEXT(AF37,""0.0%"")&amp;"" (cap ""&amp;TEXT(Method!$B$87,""0%"")&amp;"") · model/market ""&amp;TEXT(IFERROR(INDEX(BC37:BE37,1,AB37)/INDEX(S37:U37,1,AB37),0),""0.0"")&amp;""× (cap ""&amp;TEXT(Method!$B$88,""0.0"")&amp;""×)"",IF(AF37&lt;Method!$B$7,""Price too short —"&amp;" EV ""&amp;TEXT(AF37,""0.0%"")&amp;"" (need ""&amp;TEXT(Method!$B$7,""0.0%"")&amp;""+)"",""Model ≈ market — edge ""&amp;TEXT(AG37,""0.0%"")&amp;"" (need ""&amp;TEXT(Method!$B$8,""0.0%"")&amp;""+)"")))))"),"Model ≈ market — edge 2.4% (need 2.5%+)")</f>
        <v>Model ≈ market — edge 2.4% (need 2.5%+)</v>
      </c>
      <c r="AU37" s="33" t="str">
        <f t="shared" si="17"/>
        <v/>
      </c>
      <c r="AV37" s="32" t="str">
        <f>IF(Matchday!O39="","",Matchday!O39)</f>
        <v/>
      </c>
      <c r="AW37" s="75"/>
      <c r="AX37" s="75"/>
      <c r="AY37" s="75"/>
      <c r="AZ37" s="75" t="str">
        <f t="shared" si="18"/>
        <v>PASS</v>
      </c>
      <c r="BA37" s="76">
        <f>IF(AX37&lt;&gt;"",AX37,IF(AH37&lt;&gt;"BET",0,IF(AI37*Method!$B$10/100&lt;Method!$B$9,0,ROUND(AI37*Method!$B$10/100,0))))</f>
        <v>0</v>
      </c>
      <c r="BB37" s="12">
        <v>-64.1</v>
      </c>
      <c r="BC37" s="12">
        <v>0.1309660729482753</v>
      </c>
      <c r="BD37" s="12">
        <v>0.28359992781198884</v>
      </c>
      <c r="BE37" s="12">
        <v>0.5854339992397358</v>
      </c>
      <c r="BF37" s="14" t="s">
        <v>335</v>
      </c>
      <c r="BG37" s="12">
        <v>540.0</v>
      </c>
      <c r="BH37" s="14" t="s">
        <v>297</v>
      </c>
      <c r="BI37" s="12">
        <v>0.0</v>
      </c>
    </row>
    <row r="38" ht="15.0" customHeight="1">
      <c r="A38" s="32">
        <v>37.0</v>
      </c>
      <c r="B38" s="59">
        <v>46194.0</v>
      </c>
      <c r="C38" s="60" t="s">
        <v>111</v>
      </c>
      <c r="D38" s="61" t="s">
        <v>68</v>
      </c>
      <c r="E38" s="61" t="s">
        <v>72</v>
      </c>
      <c r="F38" s="61" t="s">
        <v>298</v>
      </c>
      <c r="G38" s="62">
        <v>0.5</v>
      </c>
      <c r="H38" s="62">
        <v>0.7083333333321207</v>
      </c>
      <c r="I38" s="63">
        <v>0.8431885708339474</v>
      </c>
      <c r="J38" s="63">
        <v>0.1123189385089975</v>
      </c>
      <c r="K38" s="63">
        <v>0.044492490657055316</v>
      </c>
      <c r="L38" s="64">
        <f>IF(Matchday!E40="","",Matchday!E40)</f>
        <v>1.11</v>
      </c>
      <c r="M38" s="64">
        <f>IF(Matchday!F40="","",Matchday!F40)</f>
        <v>13</v>
      </c>
      <c r="N38" s="64">
        <f>IF(Matchday!G40="","",Matchday!G40)</f>
        <v>27</v>
      </c>
      <c r="O38" s="65">
        <f t="shared" ref="O38:Q38" si="87">IF(L38="","",1/L38)</f>
        <v>0.9009009009</v>
      </c>
      <c r="P38" s="65">
        <f t="shared" si="87"/>
        <v>0.07692307692</v>
      </c>
      <c r="Q38" s="65">
        <f t="shared" si="87"/>
        <v>0.03703703704</v>
      </c>
      <c r="R38" s="65">
        <f t="shared" si="4"/>
        <v>1.014861015</v>
      </c>
      <c r="S38" s="65">
        <f t="array" ref="S38">IF($R38="","",IF(Method!$B$56="proportional",O38/$R38,IF(Method!$B$56="power",IFERROR(INDEX(power_devig($L38,$M38,$N38),1,1),O38/$R38),IFERROR(INDEX(shin($L38,$M38,$N38),1,1),O38/$R38))))</f>
        <v>0.8938734097</v>
      </c>
      <c r="T38" s="65">
        <f t="array" ref="T38">IF($R38="","",IF(Method!$B$56="proportional",P38/$R38,IF(Method!$B$56="power",IFERROR(INDEX(power_devig($L38,$M38,$N38),2,1),P38/$R38),IFERROR(INDEX(shin($L38,$M38,$N38),2,1),P38/$R38))))</f>
        <v>0.0728838956</v>
      </c>
      <c r="U38" s="65">
        <f t="array" ref="U38">IF($R38="","",IF(Method!$B$56="proportional",Q38/$R38,IF(Method!$B$56="power",IFERROR(INDEX(power_devig($L38,$M38,$N38),3,1),Q38/$R38),IFERROR(INDEX(shin($L38,$M38,$N38),3,1),Q38/$R38))))</f>
        <v>0.03324269469</v>
      </c>
      <c r="V38" s="65">
        <f>IF(S38="","",Method!$B$4*IF(BC38="",I38,BC38)+(1-Method!$B$4)*S38/($S38+$T38+$U38))</f>
        <v>0.8719452492</v>
      </c>
      <c r="W38" s="65">
        <f>IF(T38="","",Method!$B$4*IF(BD38="",J38,BD38)+(1-Method!$B$4)*T38/($S38+$T38+$U38))</f>
        <v>0.08990914088</v>
      </c>
      <c r="X38" s="65">
        <f>IF(U38="","",Method!$B$4*IF(BE38="",K38,BE38)+(1-Method!$B$4)*U38/($S38+$T38+$U38))</f>
        <v>0.03814560995</v>
      </c>
      <c r="Y38" s="66">
        <f t="shared" ref="Y38:AA38" si="88">IF(V38="","",V38*L38-1)</f>
        <v>-0.03214077342</v>
      </c>
      <c r="Z38" s="66">
        <f t="shared" si="88"/>
        <v>0.1688188314</v>
      </c>
      <c r="AA38" s="66">
        <f t="shared" si="88"/>
        <v>0.02993146869</v>
      </c>
      <c r="AB38" s="67">
        <f t="shared" si="6"/>
        <v>2</v>
      </c>
      <c r="AC38" s="67" t="str">
        <f t="shared" si="7"/>
        <v>D</v>
      </c>
      <c r="AD38" s="68" t="str">
        <f t="shared" si="8"/>
        <v>X  Draw</v>
      </c>
      <c r="AE38" s="35">
        <f t="shared" si="9"/>
        <v>13</v>
      </c>
      <c r="AF38" s="66">
        <f t="shared" si="10"/>
        <v>0.1688188314</v>
      </c>
      <c r="AG38" s="66">
        <f t="shared" si="11"/>
        <v>0.01702524527</v>
      </c>
      <c r="AH38" s="69" t="str">
        <f t="array" ref="AH38">IF(AB38="","· enter odds",IF(OR(AF38&gt;Method!$B$87,IFERROR(INDEX(BC38:BE38,1,AB38)/INDEX(S38:U38,1,AB38),0)&gt;Method!$B$88),"PASS",IF(AND(AF38&gt;=Method!$B$7,AG38&gt;=Method!$B$8),"BET","PASS")))</f>
        <v>PASS</v>
      </c>
      <c r="AI38" s="70">
        <f>IF(AH38&lt;&gt;"BET",0,ROUND(MIN(Method!$B$6,Method!$B$5*AL38)*100,1))</f>
        <v>0</v>
      </c>
      <c r="AJ38" s="71">
        <f>IF(OR(AH38&lt;&gt;"BET",Method!$B$55=TRUE()),0,IF(AI38*Method!$B$10/100&lt;Method!$B$9,0,ROUND(AI38*Method!$B$10/100,0)))</f>
        <v>0</v>
      </c>
      <c r="AK38" s="65">
        <f t="shared" si="12"/>
        <v>0.08990914088</v>
      </c>
      <c r="AL38" s="65" t="str">
        <f t="shared" si="13"/>
        <v/>
      </c>
      <c r="AM38" s="67" t="str">
        <f t="shared" si="14"/>
        <v/>
      </c>
      <c r="AN38" s="72" t="str">
        <f>IF(Matchday!N40="","",Matchday!N40)</f>
        <v/>
      </c>
      <c r="AO38" s="64" t="str">
        <f>IF(Matchday!P40="","",Matchday!P40)</f>
        <v/>
      </c>
      <c r="AP38" s="73" t="str">
        <f>IF(Matchday!Q40="","",Matchday!Q40)</f>
        <v/>
      </c>
      <c r="AQ38" s="72" t="str">
        <f>IF(Matchday!R40="","",Matchday!R40)</f>
        <v>H</v>
      </c>
      <c r="AR38" s="74" t="str">
        <f t="shared" si="15"/>
        <v/>
      </c>
      <c r="AS38" s="74" t="str">
        <f t="shared" si="16"/>
        <v/>
      </c>
      <c r="AT38" s="33" t="str">
        <f>IFERROR(__xludf.DUMMYFUNCTION("IF(AB38="""",""Type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pauses."")),IF(AH38=""BET"",IF(AJ38=0,""Edge found but stake rounds under £""&amp;Method!$B$9&amp;"" — skip"",IF(AND(AE38&gt;=6,AG38&gt;=0.15),""🟡 WAIT — long-shot review: odds ""&amp;TEXT(AE38,""0.00"")&amp;"" + edge ""&amp;TEXT(AG38,""0.0%"")"&amp;"&amp;"" — verify sharp-book + team news + stake comfort before Placed=Y"",""Value found: EV ""&amp;TEXT(AF38,""0.0%"")&amp;"", edge ""&amp;TEXT(AG38,""0.0%""))),IF(OR(AF38&gt;Method!$B$87,IFERROR(INDEX(BC38:BE38,1,AB38)/INDEX(S38:U38,1,AB38),0)&gt;Method!$B$88),""🛑 Tail trap "&amp;"— auto-PASS · EV ""&amp;TEXT(AF38,""0.0%"")&amp;"" (cap ""&amp;TEXT(Method!$B$87,""0%"")&amp;"") · model/market ""&amp;TEXT(IFERROR(INDEX(BC38:BE38,1,AB38)/INDEX(S38:U38,1,AB38),0),""0.0"")&amp;""× (cap ""&amp;TEXT(Method!$B$88,""0.0"")&amp;""×)"",IF(AF38&lt;Method!$B$7,""Price too short —"&amp;" EV ""&amp;TEXT(AF38,""0.0%"")&amp;"" (need ""&amp;TEXT(Method!$B$7,""0.0%"")&amp;""+)"",""Model ≈ market — edge ""&amp;TEXT(AG38,""0.0%"")&amp;"" (need ""&amp;TEXT(Method!$B$8,""0.0%"")&amp;""+)"")))))"),"Model ≈ market — edge 1.7% (need 2.5%+)")</f>
        <v>Model ≈ market — edge 1.7% (need 2.5%+)</v>
      </c>
      <c r="AU38" s="33" t="str">
        <f t="shared" si="17"/>
        <v/>
      </c>
      <c r="AV38" s="32" t="str">
        <f>IF(Matchday!O40="","",Matchday!O40)</f>
        <v/>
      </c>
      <c r="AW38" s="75"/>
      <c r="AX38" s="75"/>
      <c r="AY38" s="75"/>
      <c r="AZ38" s="75" t="str">
        <f t="shared" si="18"/>
        <v>PASS</v>
      </c>
      <c r="BA38" s="76">
        <f>IF(AX38&lt;&gt;"",AX38,IF(AH38&lt;&gt;"BET",0,IF(AI38*Method!$B$10/100&lt;Method!$B$9,0,ROUND(AI38*Method!$B$10/100,0))))</f>
        <v>0</v>
      </c>
      <c r="BB38" s="12">
        <v>8.99</v>
      </c>
      <c r="BC38" s="12">
        <v>0.8312215224659181</v>
      </c>
      <c r="BD38" s="12">
        <v>0.12152745352608779</v>
      </c>
      <c r="BE38" s="12">
        <v>0.047251024007994157</v>
      </c>
      <c r="BF38" s="14" t="s">
        <v>336</v>
      </c>
      <c r="BG38" s="12">
        <v>320.0</v>
      </c>
      <c r="BH38" s="14" t="s">
        <v>300</v>
      </c>
      <c r="BI38" s="12">
        <v>0.0</v>
      </c>
    </row>
    <row r="39" ht="15.0" customHeight="1">
      <c r="A39" s="32">
        <v>38.0</v>
      </c>
      <c r="B39" s="59">
        <v>46194.0</v>
      </c>
      <c r="C39" s="60" t="s">
        <v>301</v>
      </c>
      <c r="D39" s="61" t="s">
        <v>70</v>
      </c>
      <c r="E39" s="61" t="s">
        <v>74</v>
      </c>
      <c r="F39" s="61" t="s">
        <v>267</v>
      </c>
      <c r="G39" s="62">
        <v>0.625</v>
      </c>
      <c r="H39" s="62">
        <v>0.9583333333321207</v>
      </c>
      <c r="I39" s="63">
        <v>0.44751194646144343</v>
      </c>
      <c r="J39" s="63">
        <v>0.28563657342260756</v>
      </c>
      <c r="K39" s="63">
        <v>0.26685148011594895</v>
      </c>
      <c r="L39" s="64">
        <f>IF(Matchday!E41="","",Matchday!E41)</f>
        <v>1.44</v>
      </c>
      <c r="M39" s="64">
        <f>IF(Matchday!F41="","",Matchday!F41)</f>
        <v>4.75</v>
      </c>
      <c r="N39" s="64">
        <f>IF(Matchday!G41="","",Matchday!G41)</f>
        <v>8.5</v>
      </c>
      <c r="O39" s="65">
        <f t="shared" ref="O39:Q39" si="89">IF(L39="","",1/L39)</f>
        <v>0.6944444444</v>
      </c>
      <c r="P39" s="65">
        <f t="shared" si="89"/>
        <v>0.2105263158</v>
      </c>
      <c r="Q39" s="65">
        <f t="shared" si="89"/>
        <v>0.1176470588</v>
      </c>
      <c r="R39" s="65">
        <f t="shared" si="4"/>
        <v>1.022617819</v>
      </c>
      <c r="S39" s="65">
        <f t="array" ref="S39">IF($R39="","",IF(Method!$B$56="proportional",O39/$R39,IF(Method!$B$56="power",IFERROR(INDEX(power_devig($L39,$M39,$N39),1,1),O39/$R39),IFERROR(INDEX(shin($L39,$M39,$N39),1,1),O39/$R39))))</f>
        <v>0.6849269783</v>
      </c>
      <c r="T39" s="65">
        <f t="array" ref="T39">IF($R39="","",IF(Method!$B$56="proportional",P39/$R39,IF(Method!$B$56="power",IFERROR(INDEX(power_devig($L39,$M39,$N39),2,1),P39/$R39),IFERROR(INDEX(shin($L39,$M39,$N39),2,1),P39/$R39))))</f>
        <v>0.2036925644</v>
      </c>
      <c r="U39" s="65">
        <f t="array" ref="U39">IF($R39="","",IF(Method!$B$56="proportional",Q39/$R39,IF(Method!$B$56="power",IFERROR(INDEX(power_devig($L39,$M39,$N39),3,1),Q39/$R39),IFERROR(INDEX(shin($L39,$M39,$N39),3,1),Q39/$R39))))</f>
        <v>0.1113804572</v>
      </c>
      <c r="V39" s="65">
        <f>IF(S39="","",Method!$B$4*IF(BC39="",I39,BC39)+(1-Method!$B$4)*S39/($S39+$T39+$U39))</f>
        <v>0.6019353503</v>
      </c>
      <c r="W39" s="65">
        <f>IF(T39="","",Method!$B$4*IF(BD39="",J39,BD39)+(1-Method!$B$4)*T39/($S39+$T39+$U39))</f>
        <v>0.2260990999</v>
      </c>
      <c r="X39" s="65">
        <f>IF(U39="","",Method!$B$4*IF(BE39="",K39,BE39)+(1-Method!$B$4)*U39/($S39+$T39+$U39))</f>
        <v>0.1719655498</v>
      </c>
      <c r="Y39" s="66">
        <f t="shared" ref="Y39:AA39" si="90">IF(V39="","",V39*L39-1)</f>
        <v>-0.1332130956</v>
      </c>
      <c r="Z39" s="66">
        <f t="shared" si="90"/>
        <v>0.07397072473</v>
      </c>
      <c r="AA39" s="66">
        <f t="shared" si="90"/>
        <v>0.4617071733</v>
      </c>
      <c r="AB39" s="67">
        <f t="shared" si="6"/>
        <v>3</v>
      </c>
      <c r="AC39" s="67" t="str">
        <f t="shared" si="7"/>
        <v>A</v>
      </c>
      <c r="AD39" s="68" t="str">
        <f t="shared" si="8"/>
        <v>2  Iran</v>
      </c>
      <c r="AE39" s="35">
        <f t="shared" si="9"/>
        <v>8.5</v>
      </c>
      <c r="AF39" s="66">
        <f t="shared" si="10"/>
        <v>0.4617071733</v>
      </c>
      <c r="AG39" s="66">
        <f t="shared" si="11"/>
        <v>0.06058509257</v>
      </c>
      <c r="AH39" s="69" t="str">
        <f t="array" ref="AH39">IF(AB39="","· enter odds",IF(OR(AF39&gt;Method!$B$87,IFERROR(INDEX(BC39:BE39,1,AB39)/INDEX(S39:U39,1,AB39),0)&gt;Method!$B$88),"PASS",IF(AND(AF39&gt;=Method!$B$7,AG39&gt;=Method!$B$8),"BET","PASS")))</f>
        <v>PASS</v>
      </c>
      <c r="AI39" s="70">
        <f>IF(AH39&lt;&gt;"BET",0,ROUND(MIN(Method!$B$6,Method!$B$5*AL39)*100,1))</f>
        <v>0</v>
      </c>
      <c r="AJ39" s="71">
        <f>IF(OR(AH39&lt;&gt;"BET",Method!$B$55=TRUE()),0,IF(AI39*Method!$B$10/100&lt;Method!$B$9,0,ROUND(AI39*Method!$B$10/100,0)))</f>
        <v>0</v>
      </c>
      <c r="AK39" s="65">
        <f t="shared" si="12"/>
        <v>0.1719655498</v>
      </c>
      <c r="AL39" s="65" t="str">
        <f t="shared" si="13"/>
        <v/>
      </c>
      <c r="AM39" s="67" t="str">
        <f t="shared" si="14"/>
        <v/>
      </c>
      <c r="AN39" s="72" t="str">
        <f>IF(Matchday!N41="","",Matchday!N41)</f>
        <v/>
      </c>
      <c r="AO39" s="64" t="str">
        <f>IF(Matchday!P41="","",Matchday!P41)</f>
        <v/>
      </c>
      <c r="AP39" s="73" t="str">
        <f>IF(Matchday!Q41="","",Matchday!Q41)</f>
        <v/>
      </c>
      <c r="AQ39" s="72" t="str">
        <f>IF(Matchday!R41="","",Matchday!R41)</f>
        <v>D</v>
      </c>
      <c r="AR39" s="74" t="str">
        <f t="shared" si="15"/>
        <v/>
      </c>
      <c r="AS39" s="74" t="str">
        <f t="shared" si="16"/>
        <v/>
      </c>
      <c r="AT39" s="33" t="str">
        <f>IFERROR(__xludf.DUMMYFUNCTION("IF(AB39="""",""Type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pauses."")),IF(AH39=""BET"",IF(AJ39=0,""Edge found but stake rounds under £""&amp;Method!$B$9&amp;"" — skip"",IF(AND(AE39&gt;=6,AG39&gt;=0.15),""🟡 WAIT — long-shot review: odds ""&amp;TEXT(AE39,""0.00"")&amp;"" + edge ""&amp;TEXT(AG39,""0.0%"")"&amp;"&amp;"" — verify sharp-book + team news + stake comfort before Placed=Y"",""Value found: EV ""&amp;TEXT(AF39,""0.0%"")&amp;"", edge ""&amp;TEXT(AG39,""0.0%""))),IF(OR(AF39&gt;Method!$B$87,IFERROR(INDEX(BC39:BE39,1,AB39)/INDEX(S39:U39,1,AB39),0)&gt;Method!$B$88),""🛑 Tail trap "&amp;"— auto-PASS · EV ""&amp;TEXT(AF39,""0.0%"")&amp;"" (cap ""&amp;TEXT(Method!$B$87,""0%"")&amp;"") · model/market ""&amp;TEXT(IFERROR(INDEX(BC39:BE39,1,AB39)/INDEX(S39:U39,1,AB39),0),""0.0"")&amp;""× (cap ""&amp;TEXT(Method!$B$88,""0.0"")&amp;""×)"",IF(AF39&lt;Method!$B$7,""Price too short —"&amp;" EV ""&amp;TEXT(AF39,""0.0%"")&amp;"" (need ""&amp;TEXT(Method!$B$7,""0.0%"")&amp;""+)"",""Model ≈ market — edge ""&amp;TEXT(AG39,""0.0%"")&amp;"" (need ""&amp;TEXT(Method!$B$8,""0.0%"")&amp;""+)"")))))"),"🛑 Tail trap — auto-PASS · EV 46.2% (cap 30%) · model/market 2.6× (cap 2.5×)")</f>
        <v>🛑 Tail trap — auto-PASS · EV 46.2% (cap 30%) · model/market 2.6× (cap 2.5×)</v>
      </c>
      <c r="AU39" s="33" t="str">
        <f t="shared" si="17"/>
        <v/>
      </c>
      <c r="AV39" s="32" t="str">
        <f>IF(Matchday!O41="","",Matchday!O41)</f>
        <v/>
      </c>
      <c r="AW39" s="75"/>
      <c r="AX39" s="75"/>
      <c r="AY39" s="75"/>
      <c r="AZ39" s="75" t="str">
        <f t="shared" si="18"/>
        <v>PASS</v>
      </c>
      <c r="BA39" s="76">
        <f>IF(AX39&lt;&gt;"",AX39,IF(AH39&lt;&gt;"BET",0,IF(AI39*Method!$B$10/100&lt;Method!$B$9,0,ROUND(AI39*Method!$B$10/100,0))))</f>
        <v>0</v>
      </c>
      <c r="BB39" s="12">
        <v>-19.66</v>
      </c>
      <c r="BC39" s="12">
        <v>0.44780804098117083</v>
      </c>
      <c r="BD39" s="12">
        <v>0.26771123730246316</v>
      </c>
      <c r="BE39" s="12">
        <v>0.28448072171636607</v>
      </c>
      <c r="BF39" s="14" t="s">
        <v>337</v>
      </c>
      <c r="BG39" s="12">
        <v>30.0</v>
      </c>
      <c r="BH39" s="14" t="s">
        <v>270</v>
      </c>
      <c r="BI39" s="12">
        <v>1553.1</v>
      </c>
    </row>
    <row r="40" ht="15.0" customHeight="1">
      <c r="A40" s="32">
        <v>39.0</v>
      </c>
      <c r="B40" s="59">
        <v>46194.0</v>
      </c>
      <c r="C40" s="60" t="s">
        <v>111</v>
      </c>
      <c r="D40" s="61" t="s">
        <v>73</v>
      </c>
      <c r="E40" s="61" t="s">
        <v>69</v>
      </c>
      <c r="F40" s="61" t="s">
        <v>304</v>
      </c>
      <c r="G40" s="62">
        <v>0.75</v>
      </c>
      <c r="H40" s="62">
        <v>0.9583333333321207</v>
      </c>
      <c r="I40" s="63">
        <v>0.6007009165610797</v>
      </c>
      <c r="J40" s="63">
        <v>0.25719174727869565</v>
      </c>
      <c r="K40" s="63">
        <v>0.1421073361602246</v>
      </c>
      <c r="L40" s="64">
        <f>IF(Matchday!E42="","",Matchday!E42)</f>
        <v>1.41</v>
      </c>
      <c r="M40" s="64">
        <f>IF(Matchday!F42="","",Matchday!F42)</f>
        <v>5</v>
      </c>
      <c r="N40" s="64">
        <f>IF(Matchday!G42="","",Matchday!G42)</f>
        <v>10</v>
      </c>
      <c r="O40" s="65">
        <f t="shared" ref="O40:Q40" si="91">IF(L40="","",1/L40)</f>
        <v>0.7092198582</v>
      </c>
      <c r="P40" s="65">
        <f t="shared" si="91"/>
        <v>0.2</v>
      </c>
      <c r="Q40" s="65">
        <f t="shared" si="91"/>
        <v>0.1</v>
      </c>
      <c r="R40" s="65">
        <f t="shared" si="4"/>
        <v>1.009219858</v>
      </c>
      <c r="S40" s="65">
        <f t="array" ref="S40">IF($R40="","",IF(Method!$B$56="proportional",O40/$R40,IF(Method!$B$56="power",IFERROR(INDEX(power_devig($L40,$M40,$N40),1,1),O40/$R40),IFERROR(INDEX(shin($L40,$M40,$N40),1,1),O40/$R40))))</f>
        <v>0.7052908768</v>
      </c>
      <c r="T40" s="65">
        <f t="array" ref="T40">IF($R40="","",IF(Method!$B$56="proportional",P40/$R40,IF(Method!$B$56="power",IFERROR(INDEX(power_devig($L40,$M40,$N40),2,1),P40/$R40),IFERROR(INDEX(shin($L40,$M40,$N40),2,1),P40/$R40))))</f>
        <v>0.1972344996</v>
      </c>
      <c r="U40" s="65">
        <f t="array" ref="U40">IF($R40="","",IF(Method!$B$56="proportional",Q40/$R40,IF(Method!$B$56="power",IFERROR(INDEX(power_devig($L40,$M40,$N40),3,1),Q40/$R40),IFERROR(INDEX(shin($L40,$M40,$N40),3,1),Q40/$R40))))</f>
        <v>0.09747462361</v>
      </c>
      <c r="V40" s="65">
        <f>IF(S40="","",Method!$B$4*IF(BC40="",I40,BC40)+(1-Method!$B$4)*S40/($S40+$T40+$U40))</f>
        <v>0.6591332219</v>
      </c>
      <c r="W40" s="65">
        <f>IF(T40="","",Method!$B$4*IF(BD40="",J40,BD40)+(1-Method!$B$4)*T40/($S40+$T40+$U40))</f>
        <v>0.2267189214</v>
      </c>
      <c r="X40" s="65">
        <f>IF(U40="","",Method!$B$4*IF(BE40="",K40,BE40)+(1-Method!$B$4)*U40/($S40+$T40+$U40))</f>
        <v>0.1141478567</v>
      </c>
      <c r="Y40" s="66">
        <f t="shared" ref="Y40:AA40" si="92">IF(V40="","",V40*L40-1)</f>
        <v>-0.07062215713</v>
      </c>
      <c r="Z40" s="66">
        <f t="shared" si="92"/>
        <v>0.1335946072</v>
      </c>
      <c r="AA40" s="66">
        <f t="shared" si="92"/>
        <v>0.1414785667</v>
      </c>
      <c r="AB40" s="67">
        <f t="shared" si="6"/>
        <v>3</v>
      </c>
      <c r="AC40" s="67" t="str">
        <f t="shared" si="7"/>
        <v>A</v>
      </c>
      <c r="AD40" s="68" t="str">
        <f t="shared" si="8"/>
        <v>2  Cape Verde</v>
      </c>
      <c r="AE40" s="35">
        <f t="shared" si="9"/>
        <v>10</v>
      </c>
      <c r="AF40" s="66">
        <f t="shared" si="10"/>
        <v>0.1414785667</v>
      </c>
      <c r="AG40" s="66">
        <f t="shared" si="11"/>
        <v>0.01667323306</v>
      </c>
      <c r="AH40" s="69" t="str">
        <f t="array" ref="AH40">IF(AB40="","· enter odds",IF(OR(AF40&gt;Method!$B$87,IFERROR(INDEX(BC40:BE40,1,AB40)/INDEX(S40:U40,1,AB40),0)&gt;Method!$B$88),"PASS",IF(AND(AF40&gt;=Method!$B$7,AG40&gt;=Method!$B$8),"BET","PASS")))</f>
        <v>PASS</v>
      </c>
      <c r="AI40" s="70">
        <f>IF(AH40&lt;&gt;"BET",0,ROUND(MIN(Method!$B$6,Method!$B$5*AL40)*100,1))</f>
        <v>0</v>
      </c>
      <c r="AJ40" s="71">
        <f>IF(OR(AH40&lt;&gt;"BET",Method!$B$55=TRUE()),0,IF(AI40*Method!$B$10/100&lt;Method!$B$9,0,ROUND(AI40*Method!$B$10/100,0)))</f>
        <v>0</v>
      </c>
      <c r="AK40" s="65">
        <f t="shared" si="12"/>
        <v>0.1141478567</v>
      </c>
      <c r="AL40" s="65" t="str">
        <f t="shared" si="13"/>
        <v/>
      </c>
      <c r="AM40" s="67" t="str">
        <f t="shared" si="14"/>
        <v/>
      </c>
      <c r="AN40" s="72" t="str">
        <f>IF(Matchday!N42="","",Matchday!N42)</f>
        <v/>
      </c>
      <c r="AO40" s="64" t="str">
        <f>IF(Matchday!P42="","",Matchday!P42)</f>
        <v/>
      </c>
      <c r="AP40" s="73" t="str">
        <f>IF(Matchday!Q42="","",Matchday!Q42)</f>
        <v/>
      </c>
      <c r="AQ40" s="72" t="str">
        <f>IF(Matchday!R42="","",Matchday!R42)</f>
        <v>D</v>
      </c>
      <c r="AR40" s="74" t="str">
        <f t="shared" si="15"/>
        <v/>
      </c>
      <c r="AS40" s="74" t="str">
        <f t="shared" si="16"/>
        <v/>
      </c>
      <c r="AT40" s="33" t="str">
        <f>IFERROR(__xludf.DUMMYFUNCTION("IF(AB40="""",""Type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pauses."")),IF(AH40=""BET"",IF(AJ40=0,""Edge found but stake rounds under £""&amp;Method!$B$9&amp;"" — skip"",IF(AND(AE40&gt;=6,AG40&gt;=0.15),""🟡 WAIT — long-shot review: odds ""&amp;TEXT(AE40,""0.00"")&amp;"" + edge ""&amp;TEXT(AG40,""0.0%"")"&amp;"&amp;"" — verify sharp-book + team news + stake comfort before Placed=Y"",""Value found: EV ""&amp;TEXT(AF40,""0.0%"")&amp;"", edge ""&amp;TEXT(AG40,""0.0%""))),IF(OR(AF40&gt;Method!$B$87,IFERROR(INDEX(BC40:BE40,1,AB40)/INDEX(S40:U40,1,AB40),0)&gt;Method!$B$88),""🛑 Tail trap "&amp;"— auto-PASS · EV ""&amp;TEXT(AF40,""0.0%"")&amp;"" (cap ""&amp;TEXT(Method!$B$87,""0%"")&amp;"") · model/market ""&amp;TEXT(IFERROR(INDEX(BC40:BE40,1,AB40)/INDEX(S40:U40,1,AB40),0),""0.0"")&amp;""× (cap ""&amp;TEXT(Method!$B$88,""0.0"")&amp;""×)"",IF(AF40&lt;Method!$B$7,""Price too short —"&amp;" EV ""&amp;TEXT(AF40,""0.0%"")&amp;"" (need ""&amp;TEXT(Method!$B$7,""0.0%"")&amp;""+)"",""Model ≈ market — edge ""&amp;TEXT(AG40,""0.0%"")&amp;"" (need ""&amp;TEXT(Method!$B$8,""0.0%"")&amp;""+)"")))))"),"Model ≈ market — edge 1.7% (need 2.5%+)")</f>
        <v>Model ≈ market — edge 1.7% (need 2.5%+)</v>
      </c>
      <c r="AU40" s="33" t="str">
        <f t="shared" si="17"/>
        <v/>
      </c>
      <c r="AV40" s="32" t="str">
        <f>IF(Matchday!O42="","",Matchday!O42)</f>
        <v/>
      </c>
      <c r="AW40" s="75"/>
      <c r="AX40" s="75"/>
      <c r="AY40" s="75"/>
      <c r="AZ40" s="75" t="str">
        <f t="shared" si="18"/>
        <v>PASS</v>
      </c>
      <c r="BA40" s="76">
        <f>IF(AX40&lt;&gt;"",AX40,IF(AH40&lt;&gt;"BET",0,IF(AI40*Method!$B$10/100&lt;Method!$B$9,0,ROUND(AI40*Method!$B$10/100,0))))</f>
        <v>0</v>
      </c>
      <c r="BB40" s="12">
        <v>-38.08</v>
      </c>
      <c r="BC40" s="12">
        <v>0.5734118628601249</v>
      </c>
      <c r="BD40" s="12">
        <v>0.28147570478957556</v>
      </c>
      <c r="BE40" s="12">
        <v>0.14511243235029955</v>
      </c>
      <c r="BF40" s="14" t="s">
        <v>338</v>
      </c>
      <c r="BG40" s="12">
        <v>2.0</v>
      </c>
      <c r="BH40" s="14" t="s">
        <v>306</v>
      </c>
      <c r="BI40" s="12">
        <v>0.0</v>
      </c>
    </row>
    <row r="41" ht="15.0" customHeight="1">
      <c r="A41" s="32">
        <v>40.0</v>
      </c>
      <c r="B41" s="59">
        <v>46194.0</v>
      </c>
      <c r="C41" s="60" t="s">
        <v>301</v>
      </c>
      <c r="D41" s="61" t="s">
        <v>75</v>
      </c>
      <c r="E41" s="61" t="s">
        <v>71</v>
      </c>
      <c r="F41" s="61" t="s">
        <v>280</v>
      </c>
      <c r="G41" s="62">
        <v>0.875</v>
      </c>
      <c r="H41" s="60" t="s">
        <v>281</v>
      </c>
      <c r="I41" s="63">
        <v>0.2727234286905349</v>
      </c>
      <c r="J41" s="63">
        <v>0.29301522825301507</v>
      </c>
      <c r="K41" s="63">
        <v>0.43426134305645</v>
      </c>
      <c r="L41" s="64">
        <f>IF(Matchday!E43="","",Matchday!E43)</f>
        <v>6</v>
      </c>
      <c r="M41" s="64">
        <f>IF(Matchday!F43="","",Matchday!F43)</f>
        <v>4</v>
      </c>
      <c r="N41" s="64">
        <f>IF(Matchday!G43="","",Matchday!G43)</f>
        <v>1.67</v>
      </c>
      <c r="O41" s="65">
        <f t="shared" ref="O41:Q41" si="93">IF(L41="","",1/L41)</f>
        <v>0.1666666667</v>
      </c>
      <c r="P41" s="65">
        <f t="shared" si="93"/>
        <v>0.25</v>
      </c>
      <c r="Q41" s="65">
        <f t="shared" si="93"/>
        <v>0.5988023952</v>
      </c>
      <c r="R41" s="65">
        <f t="shared" si="4"/>
        <v>1.015469062</v>
      </c>
      <c r="S41" s="65">
        <f t="array" ref="S41">IF($R41="","",IF(Method!$B$56="proportional",O41/$R41,IF(Method!$B$56="power",IFERROR(INDEX(power_devig($L41,$M41,$N41),1,1),O41/$R41),IFERROR(INDEX(shin($L41,$M41,$N41),1,1),O41/$R41))))</f>
        <v>0.1621751164</v>
      </c>
      <c r="T41" s="65">
        <f t="array" ref="T41">IF($R41="","",IF(Method!$B$56="proportional",P41/$R41,IF(Method!$B$56="power",IFERROR(INDEX(power_devig($L41,$M41,$N41),2,1),P41/$R41),IFERROR(INDEX(shin($L41,$M41,$N41),2,1),P41/$R41))))</f>
        <v>0.2451785382</v>
      </c>
      <c r="U41" s="65">
        <f t="array" ref="U41">IF($R41="","",IF(Method!$B$56="proportional",Q41/$R41,IF(Method!$B$56="power",IFERROR(INDEX(power_devig($L41,$M41,$N41),3,1),Q41/$R41),IFERROR(INDEX(shin($L41,$M41,$N41),3,1),Q41/$R41))))</f>
        <v>0.5926463454</v>
      </c>
      <c r="V41" s="65">
        <f>IF(S41="","",Method!$B$4*IF(BC41="",I41,BC41)+(1-Method!$B$4)*S41/($S41+$T41+$U41))</f>
        <v>0.2016351711</v>
      </c>
      <c r="W41" s="65">
        <f>IF(T41="","",Method!$B$4*IF(BD41="",J41,BD41)+(1-Method!$B$4)*T41/($S41+$T41+$U41))</f>
        <v>0.2549226394</v>
      </c>
      <c r="X41" s="65">
        <f>IF(U41="","",Method!$B$4*IF(BE41="",K41,BE41)+(1-Method!$B$4)*U41/($S41+$T41+$U41))</f>
        <v>0.5434421895</v>
      </c>
      <c r="Y41" s="66">
        <f t="shared" ref="Y41:AA41" si="94">IF(V41="","",V41*L41-1)</f>
        <v>0.2098110266</v>
      </c>
      <c r="Z41" s="66">
        <f t="shared" si="94"/>
        <v>0.01969055771</v>
      </c>
      <c r="AA41" s="66">
        <f t="shared" si="94"/>
        <v>-0.09245154358</v>
      </c>
      <c r="AB41" s="67">
        <f t="shared" si="6"/>
        <v>1</v>
      </c>
      <c r="AC41" s="67" t="str">
        <f t="shared" si="7"/>
        <v>H</v>
      </c>
      <c r="AD41" s="68" t="str">
        <f t="shared" si="8"/>
        <v>1  New Zealand</v>
      </c>
      <c r="AE41" s="35">
        <f t="shared" si="9"/>
        <v>6</v>
      </c>
      <c r="AF41" s="66">
        <f t="shared" si="10"/>
        <v>0.2098110266</v>
      </c>
      <c r="AG41" s="66">
        <f t="shared" si="11"/>
        <v>0.03946005473</v>
      </c>
      <c r="AH41" s="69" t="str">
        <f t="array" ref="AH41">IF(AB41="","· enter odds",IF(OR(AF41&gt;Method!$B$87,IFERROR(INDEX(BC41:BE41,1,AB41)/INDEX(S41:U41,1,AB41),0)&gt;Method!$B$88),"PASS",IF(AND(AF41&gt;=Method!$B$7,AG41&gt;=Method!$B$8),"BET","PASS")))</f>
        <v>BET</v>
      </c>
      <c r="AI41" s="70">
        <f>IF(AH41&lt;&gt;"BET",0,ROUND(MIN(Method!$B$6,Method!$B$5*AL41)*100,1))</f>
        <v>1</v>
      </c>
      <c r="AJ41" s="71">
        <f>IF(OR(AH41&lt;&gt;"BET",Method!$B$55=TRUE()),0,IF(AI41*Method!$B$10/100&lt;Method!$B$9,0,ROUND(AI41*Method!$B$10/100,0)))</f>
        <v>10</v>
      </c>
      <c r="AK41" s="65">
        <f t="shared" si="12"/>
        <v>0.2016351711</v>
      </c>
      <c r="AL41" s="65">
        <f t="shared" si="13"/>
        <v>0.04196220532</v>
      </c>
      <c r="AM41" s="66">
        <f t="shared" si="14"/>
        <v>0.2098510266</v>
      </c>
      <c r="AN41" s="72" t="str">
        <f>IF(Matchday!N43="","",Matchday!N43)</f>
        <v/>
      </c>
      <c r="AO41" s="64" t="str">
        <f>IF(Matchday!P43="","",Matchday!P43)</f>
        <v/>
      </c>
      <c r="AP41" s="73" t="str">
        <f>IF(Matchday!Q43="","",Matchday!Q43)</f>
        <v/>
      </c>
      <c r="AQ41" s="72" t="str">
        <f>IF(Matchday!R43="","",Matchday!R43)</f>
        <v>A</v>
      </c>
      <c r="AR41" s="74" t="str">
        <f t="shared" si="15"/>
        <v/>
      </c>
      <c r="AS41" s="74" t="str">
        <f t="shared" si="16"/>
        <v/>
      </c>
      <c r="AT41" s="33" t="str">
        <f>IFERROR(__xludf.DUMMYFUNCTION("IF(AB41="""",""Type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pauses."")),IF(AH41=""BET"",IF(AJ41=0,""Edge found but stake rounds under £""&amp;Method!$B$9&amp;"" — skip"",IF(AND(AE41&gt;=6,AG41&gt;=0.15),""🟡 WAIT — long-shot review: odds ""&amp;TEXT(AE41,""0.00"")&amp;"" + edge ""&amp;TEXT(AG41,""0.0%"")"&amp;"&amp;"" — verify sharp-book + team news + stake comfort before Placed=Y"",""Value found: EV ""&amp;TEXT(AF41,""0.0%"")&amp;"", edge ""&amp;TEXT(AG41,""0.0%""))),IF(OR(AF41&gt;Method!$B$87,IFERROR(INDEX(BC41:BE41,1,AB41)/INDEX(S41:U41,1,AB41),0)&gt;Method!$B$88),""🛑 Tail trap "&amp;"— auto-PASS · EV ""&amp;TEXT(AF41,""0.0%"")&amp;"" (cap ""&amp;TEXT(Method!$B$87,""0%"")&amp;"") · model/market ""&amp;TEXT(IFERROR(INDEX(BC41:BE41,1,AB41)/INDEX(S41:U41,1,AB41),0),""0.0"")&amp;""× (cap ""&amp;TEXT(Method!$B$88,""0.0"")&amp;""×)"",IF(AF41&lt;Method!$B$7,""Price too short —"&amp;" EV ""&amp;TEXT(AF41,""0.0%"")&amp;"" (need ""&amp;TEXT(Method!$B$7,""0.0%"")&amp;""+)"",""Model ≈ market — edge ""&amp;TEXT(AG41,""0.0%"")&amp;"" (need ""&amp;TEXT(Method!$B$8,""0.0%"")&amp;""+)"")))))"),"Value found: EV 21.0%, edge 3.9%")</f>
        <v>Value found: EV 21.0%, edge 3.9%</v>
      </c>
      <c r="AU41" s="33" t="str">
        <f t="shared" si="17"/>
        <v/>
      </c>
      <c r="AV41" s="32" t="str">
        <f>IF(Matchday!O43="","",Matchday!O43)</f>
        <v/>
      </c>
      <c r="AW41" s="75"/>
      <c r="AX41" s="75"/>
      <c r="AY41" s="75"/>
      <c r="AZ41" s="75" t="str">
        <f t="shared" si="18"/>
        <v>BET</v>
      </c>
      <c r="BA41" s="76">
        <f>IF(AX41&lt;&gt;"",AX41,IF(AH41&lt;&gt;"BET",0,IF(AI41*Method!$B$10/100&lt;Method!$B$9,0,ROUND(AI41*Method!$B$10/100,0))))</f>
        <v>10</v>
      </c>
      <c r="BB41" s="12">
        <v>-31.09</v>
      </c>
      <c r="BC41" s="12">
        <v>0.27491812988918396</v>
      </c>
      <c r="BD41" s="12">
        <v>0.27301882745171957</v>
      </c>
      <c r="BE41" s="12">
        <v>0.4520630426590965</v>
      </c>
      <c r="BF41" s="14" t="s">
        <v>339</v>
      </c>
      <c r="BG41" s="12">
        <v>0.0</v>
      </c>
      <c r="BH41" s="14" t="s">
        <v>283</v>
      </c>
      <c r="BI41" s="12">
        <v>1748.5</v>
      </c>
    </row>
    <row r="42" ht="15.0" customHeight="1">
      <c r="A42" s="32">
        <v>41.0</v>
      </c>
      <c r="B42" s="59">
        <v>46195.0</v>
      </c>
      <c r="C42" s="60" t="s">
        <v>311</v>
      </c>
      <c r="D42" s="61" t="s">
        <v>80</v>
      </c>
      <c r="E42" s="61" t="s">
        <v>82</v>
      </c>
      <c r="F42" s="61" t="s">
        <v>289</v>
      </c>
      <c r="G42" s="62">
        <v>0.5416666666678793</v>
      </c>
      <c r="H42" s="62">
        <v>0.7916666666678793</v>
      </c>
      <c r="I42" s="63">
        <v>0.7481621808746131</v>
      </c>
      <c r="J42" s="63">
        <v>0.17768369046203886</v>
      </c>
      <c r="K42" s="63">
        <v>0.07415412866334821</v>
      </c>
      <c r="L42" s="64">
        <f>IF(Matchday!E44="","",Matchday!E44)</f>
        <v>1.47</v>
      </c>
      <c r="M42" s="64">
        <f>IF(Matchday!F44="","",Matchday!F44)</f>
        <v>4.5</v>
      </c>
      <c r="N42" s="64">
        <f>IF(Matchday!G44="","",Matchday!G44)</f>
        <v>8</v>
      </c>
      <c r="O42" s="65">
        <f t="shared" ref="O42:Q42" si="95">IF(L42="","",1/L42)</f>
        <v>0.6802721088</v>
      </c>
      <c r="P42" s="65">
        <f t="shared" si="95"/>
        <v>0.2222222222</v>
      </c>
      <c r="Q42" s="65">
        <f t="shared" si="95"/>
        <v>0.125</v>
      </c>
      <c r="R42" s="65">
        <f t="shared" si="4"/>
        <v>1.027494331</v>
      </c>
      <c r="S42" s="65">
        <f t="array" ref="S42">IF($R42="","",IF(Method!$B$56="proportional",O42/$R42,IF(Method!$B$56="power",IFERROR(INDEX(power_devig($L42,$M42,$N42),1,1),O42/$R42),IFERROR(INDEX(shin($L42,$M42,$N42),1,1),O42/$R42))))</f>
        <v>0.6688147046</v>
      </c>
      <c r="T42" s="65">
        <f t="array" ref="T42">IF($R42="","",IF(Method!$B$56="proportional",P42/$R42,IF(Method!$B$56="power",IFERROR(INDEX(power_devig($L42,$M42,$N42),2,1),P42/$R42),IFERROR(INDEX(shin($L42,$M42,$N42),2,1),P42/$R42))))</f>
        <v>0.2138416887</v>
      </c>
      <c r="U42" s="65">
        <f t="array" ref="U42">IF($R42="","",IF(Method!$B$56="proportional",Q42/$R42,IF(Method!$B$56="power",IFERROR(INDEX(power_devig($L42,$M42,$N42),3,1),Q42/$R42),IFERROR(INDEX(shin($L42,$M42,$N42),3,1),Q42/$R42))))</f>
        <v>0.1173436066</v>
      </c>
      <c r="V42" s="65">
        <f>IF(S42="","",Method!$B$4*IF(BC42="",I42,BC42)+(1-Method!$B$4)*S42/($S42+$T42+$U42))</f>
        <v>0.6872633254</v>
      </c>
      <c r="W42" s="65">
        <f>IF(T42="","",Method!$B$4*IF(BD42="",J42,BD42)+(1-Method!$B$4)*T42/($S42+$T42+$U42))</f>
        <v>0.2098775692</v>
      </c>
      <c r="X42" s="65">
        <f>IF(U42="","",Method!$B$4*IF(BE42="",K42,BE42)+(1-Method!$B$4)*U42/($S42+$T42+$U42))</f>
        <v>0.1028591055</v>
      </c>
      <c r="Y42" s="66">
        <f t="shared" ref="Y42:AA42" si="96">IF(V42="","",V42*L42-1)</f>
        <v>0.0102770883</v>
      </c>
      <c r="Z42" s="66">
        <f t="shared" si="96"/>
        <v>-0.05555093873</v>
      </c>
      <c r="AA42" s="66">
        <f t="shared" si="96"/>
        <v>-0.1771271564</v>
      </c>
      <c r="AB42" s="67">
        <f t="shared" si="6"/>
        <v>1</v>
      </c>
      <c r="AC42" s="67" t="str">
        <f t="shared" si="7"/>
        <v>H</v>
      </c>
      <c r="AD42" s="68" t="str">
        <f t="shared" si="8"/>
        <v>1  Argentina</v>
      </c>
      <c r="AE42" s="35">
        <f t="shared" si="9"/>
        <v>1.47</v>
      </c>
      <c r="AF42" s="66">
        <f t="shared" si="10"/>
        <v>0.0102770883</v>
      </c>
      <c r="AG42" s="66">
        <f t="shared" si="11"/>
        <v>0.01844862073</v>
      </c>
      <c r="AH42" s="69" t="str">
        <f t="array" ref="AH42">IF(AB42="","· enter odds",IF(OR(AF42&gt;Method!$B$87,IFERROR(INDEX(BC42:BE42,1,AB42)/INDEX(S42:U42,1,AB42),0)&gt;Method!$B$88),"PASS",IF(AND(AF42&gt;=Method!$B$7,AG42&gt;=Method!$B$8),"BET","PASS")))</f>
        <v>PASS</v>
      </c>
      <c r="AI42" s="70">
        <f>IF(AH42&lt;&gt;"BET",0,ROUND(MIN(Method!$B$6,Method!$B$5*AL42)*100,1))</f>
        <v>0</v>
      </c>
      <c r="AJ42" s="71">
        <f>IF(OR(AH42&lt;&gt;"BET",Method!$B$55=TRUE()),0,IF(AI42*Method!$B$10/100&lt;Method!$B$9,0,ROUND(AI42*Method!$B$10/100,0)))</f>
        <v>0</v>
      </c>
      <c r="AK42" s="65">
        <f t="shared" si="12"/>
        <v>0.6872633254</v>
      </c>
      <c r="AL42" s="65" t="str">
        <f t="shared" si="13"/>
        <v/>
      </c>
      <c r="AM42" s="67" t="str">
        <f t="shared" si="14"/>
        <v/>
      </c>
      <c r="AN42" s="72" t="str">
        <f>IF(Matchday!N44="","",Matchday!N44)</f>
        <v/>
      </c>
      <c r="AO42" s="64" t="str">
        <f>IF(Matchday!P44="","",Matchday!P44)</f>
        <v/>
      </c>
      <c r="AP42" s="73" t="str">
        <f>IF(Matchday!Q44="","",Matchday!Q44)</f>
        <v/>
      </c>
      <c r="AQ42" s="72" t="str">
        <f>IF(Matchday!R44="","",Matchday!R44)</f>
        <v>H</v>
      </c>
      <c r="AR42" s="74" t="str">
        <f t="shared" si="15"/>
        <v/>
      </c>
      <c r="AS42" s="74" t="str">
        <f t="shared" si="16"/>
        <v/>
      </c>
      <c r="AT42" s="33" t="str">
        <f>IFERROR(__xludf.DUMMYFUNCTION("IF(AB42="""",""Type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pauses."")),IF(AH42=""BET"",IF(AJ42=0,""Edge found but stake rounds under £""&amp;Method!$B$9&amp;"" — skip"",IF(AND(AE42&gt;=6,AG42&gt;=0.15),""🟡 WAIT — long-shot review: odds ""&amp;TEXT(AE42,""0.00"")&amp;"" + edge ""&amp;TEXT(AG42,""0.0%"")"&amp;"&amp;"" — verify sharp-book + team news + stake comfort before Placed=Y"",""Value found: EV ""&amp;TEXT(AF42,""0.0%"")&amp;"", edge ""&amp;TEXT(AG42,""0.0%""))),IF(OR(AF42&gt;Method!$B$87,IFERROR(INDEX(BC42:BE42,1,AB42)/INDEX(S42:U42,1,AB42),0)&gt;Method!$B$88),""🛑 Tail trap "&amp;"— auto-PASS · EV ""&amp;TEXT(AF42,""0.0%"")&amp;"" (cap ""&amp;TEXT(Method!$B$87,""0%"")&amp;"") · model/market ""&amp;TEXT(IFERROR(INDEX(BC42:BE42,1,AB42)/INDEX(S42:U42,1,AB42),0),""0.0"")&amp;""× (cap ""&amp;TEXT(Method!$B$88,""0.0"")&amp;""×)"",IF(AF42&lt;Method!$B$7,""Price too short —"&amp;" EV ""&amp;TEXT(AF42,""0.0%"")&amp;"" (need ""&amp;TEXT(Method!$B$7,""0.0%"")&amp;""+)"",""Model ≈ market — edge ""&amp;TEXT(AG42,""0.0%"")&amp;"" (need ""&amp;TEXT(Method!$B$8,""0.0%"")&amp;""+)"")))))"),"Price too short — EV 1.0% (need 2.5%+)")</f>
        <v>Price too short — EV 1.0% (need 2.5%+)</v>
      </c>
      <c r="AU42" s="33" t="str">
        <f t="shared" si="17"/>
        <v/>
      </c>
      <c r="AV42" s="32" t="str">
        <f>IF(Matchday!O44="","",Matchday!O44)</f>
        <v/>
      </c>
      <c r="AW42" s="75"/>
      <c r="AX42" s="75"/>
      <c r="AY42" s="75"/>
      <c r="AZ42" s="75" t="str">
        <f t="shared" si="18"/>
        <v>PASS</v>
      </c>
      <c r="BA42" s="76">
        <f>IF(AX42&lt;&gt;"",AX42,IF(AH42&lt;&gt;"BET",0,IF(AI42*Method!$B$10/100&lt;Method!$B$9,0,ROUND(AI42*Method!$B$10/100,0))))</f>
        <v>0</v>
      </c>
      <c r="BB42" s="12">
        <v>3.9000000000000004</v>
      </c>
      <c r="BC42" s="12">
        <v>0.7215250495812512</v>
      </c>
      <c r="BD42" s="12">
        <v>0.20251563289365299</v>
      </c>
      <c r="BE42" s="12">
        <v>0.0759593175250959</v>
      </c>
      <c r="BF42" s="14" t="s">
        <v>340</v>
      </c>
      <c r="BG42" s="12">
        <v>175.0</v>
      </c>
      <c r="BH42" s="14" t="s">
        <v>291</v>
      </c>
      <c r="BI42" s="12">
        <v>739.0</v>
      </c>
    </row>
    <row r="43" ht="15.0" customHeight="1">
      <c r="A43" s="32">
        <v>42.0</v>
      </c>
      <c r="B43" s="59">
        <v>46195.0</v>
      </c>
      <c r="C43" s="60" t="s">
        <v>308</v>
      </c>
      <c r="D43" s="61" t="s">
        <v>76</v>
      </c>
      <c r="E43" s="61" t="s">
        <v>78</v>
      </c>
      <c r="F43" s="61" t="s">
        <v>292</v>
      </c>
      <c r="G43" s="62">
        <v>0.7083333333321207</v>
      </c>
      <c r="H43" s="62">
        <v>0.9166666666678793</v>
      </c>
      <c r="I43" s="63">
        <v>0.7388935069573656</v>
      </c>
      <c r="J43" s="63">
        <v>0.17180893384486776</v>
      </c>
      <c r="K43" s="63">
        <v>0.08929755919776672</v>
      </c>
      <c r="L43" s="64">
        <f>IF(Matchday!E45="","",Matchday!E45)</f>
        <v>1.09</v>
      </c>
      <c r="M43" s="64">
        <f>IF(Matchday!F45="","",Matchday!F45)</f>
        <v>14</v>
      </c>
      <c r="N43" s="64">
        <f>IF(Matchday!G45="","",Matchday!G45)</f>
        <v>36</v>
      </c>
      <c r="O43" s="65">
        <f t="shared" ref="O43:Q43" si="97">IF(L43="","",1/L43)</f>
        <v>0.9174311927</v>
      </c>
      <c r="P43" s="65">
        <f t="shared" si="97"/>
        <v>0.07142857143</v>
      </c>
      <c r="Q43" s="65">
        <f t="shared" si="97"/>
        <v>0.02777777778</v>
      </c>
      <c r="R43" s="65">
        <f t="shared" si="4"/>
        <v>1.016637542</v>
      </c>
      <c r="S43" s="65">
        <f t="array" ref="S43">IF($R43="","",IF(Method!$B$56="proportional",O43/$R43,IF(Method!$B$56="power",IFERROR(INDEX(power_devig($L43,$M43,$N43),1,1),O43/$R43),IFERROR(INDEX(shin($L43,$M43,$N43),1,1),O43/$R43))))</f>
        <v>0.9094983073</v>
      </c>
      <c r="T43" s="65">
        <f t="array" ref="T43">IF($R43="","",IF(Method!$B$56="proportional",P43/$R43,IF(Method!$B$56="power",IFERROR(INDEX(power_devig($L43,$M43,$N43),2,1),P43/$R43),IFERROR(INDEX(shin($L43,$M43,$N43),2,1),P43/$R43))))</f>
        <v>0.06688600717</v>
      </c>
      <c r="U43" s="65">
        <f t="array" ref="U43">IF($R43="","",IF(Method!$B$56="proportional",Q43/$R43,IF(Method!$B$56="power",IFERROR(INDEX(power_devig($L43,$M43,$N43),3,1),Q43/$R43),IFERROR(INDEX(shin($L43,$M43,$N43),3,1),Q43/$R43))))</f>
        <v>0.02361568557</v>
      </c>
      <c r="V43" s="65">
        <f>IF(S43="","",Method!$B$4*IF(BC43="",I43,BC43)+(1-Method!$B$4)*S43/($S43+$T43+$U43))</f>
        <v>0.8404460241</v>
      </c>
      <c r="W43" s="65">
        <f>IF(T43="","",Method!$B$4*IF(BD43="",J43,BD43)+(1-Method!$B$4)*T43/($S43+$T43+$U43))</f>
        <v>0.1119389385</v>
      </c>
      <c r="X43" s="65">
        <f>IF(U43="","",Method!$B$4*IF(BE43="",K43,BE43)+(1-Method!$B$4)*U43/($S43+$T43+$U43))</f>
        <v>0.04761503737</v>
      </c>
      <c r="Y43" s="66">
        <f t="shared" ref="Y43:AA43" si="98">IF(V43="","",V43*L43-1)</f>
        <v>-0.08391383368</v>
      </c>
      <c r="Z43" s="66">
        <f t="shared" si="98"/>
        <v>0.5671451388</v>
      </c>
      <c r="AA43" s="66">
        <f t="shared" si="98"/>
        <v>0.7141413452</v>
      </c>
      <c r="AB43" s="67">
        <f t="shared" si="6"/>
        <v>3</v>
      </c>
      <c r="AC43" s="67" t="str">
        <f t="shared" si="7"/>
        <v>A</v>
      </c>
      <c r="AD43" s="68" t="str">
        <f t="shared" si="8"/>
        <v>2  Iraq</v>
      </c>
      <c r="AE43" s="35">
        <f t="shared" si="9"/>
        <v>36</v>
      </c>
      <c r="AF43" s="66">
        <f t="shared" si="10"/>
        <v>0.7141413452</v>
      </c>
      <c r="AG43" s="66">
        <f t="shared" si="11"/>
        <v>0.0239993518</v>
      </c>
      <c r="AH43" s="69" t="str">
        <f t="array" ref="AH43">IF(AB43="","· enter odds",IF(OR(AF43&gt;Method!$B$87,IFERROR(INDEX(BC43:BE43,1,AB43)/INDEX(S43:U43,1,AB43),0)&gt;Method!$B$88),"PASS",IF(AND(AF43&gt;=Method!$B$7,AG43&gt;=Method!$B$8),"BET","PASS")))</f>
        <v>PASS</v>
      </c>
      <c r="AI43" s="70">
        <f>IF(AH43&lt;&gt;"BET",0,ROUND(MIN(Method!$B$6,Method!$B$5*AL43)*100,1))</f>
        <v>0</v>
      </c>
      <c r="AJ43" s="71">
        <f>IF(OR(AH43&lt;&gt;"BET",Method!$B$55=TRUE()),0,IF(AI43*Method!$B$10/100&lt;Method!$B$9,0,ROUND(AI43*Method!$B$10/100,0)))</f>
        <v>0</v>
      </c>
      <c r="AK43" s="65">
        <f t="shared" si="12"/>
        <v>0.04761503737</v>
      </c>
      <c r="AL43" s="65" t="str">
        <f t="shared" si="13"/>
        <v/>
      </c>
      <c r="AM43" s="67" t="str">
        <f t="shared" si="14"/>
        <v/>
      </c>
      <c r="AN43" s="72" t="str">
        <f>IF(Matchday!N45="","",Matchday!N45)</f>
        <v/>
      </c>
      <c r="AO43" s="64" t="str">
        <f>IF(Matchday!P45="","",Matchday!P45)</f>
        <v/>
      </c>
      <c r="AP43" s="73" t="str">
        <f>IF(Matchday!Q45="","",Matchday!Q45)</f>
        <v/>
      </c>
      <c r="AQ43" s="72" t="str">
        <f>IF(Matchday!R45="","",Matchday!R45)</f>
        <v>H</v>
      </c>
      <c r="AR43" s="74" t="str">
        <f t="shared" si="15"/>
        <v/>
      </c>
      <c r="AS43" s="74" t="str">
        <f t="shared" si="16"/>
        <v/>
      </c>
      <c r="AT43" s="33" t="str">
        <f>IFERROR(__xludf.DUMMYFUNCTION("IF(AB43="""",""Type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pauses."")),IF(AH43=""BET"",IF(AJ43=0,""Edge found but stake rounds under £""&amp;Method!$B$9&amp;"" — skip"",IF(AND(AE43&gt;=6,AG43&gt;=0.15),""🟡 WAIT — long-shot review: odds ""&amp;TEXT(AE43,""0.00"")&amp;"" + edge ""&amp;TEXT(AG43,""0.0%"")"&amp;"&amp;"" — verify sharp-book + team news + stake comfort before Placed=Y"",""Value found: EV ""&amp;TEXT(AF43,""0.0%"")&amp;"", edge ""&amp;TEXT(AG43,""0.0%""))),IF(OR(AF43&gt;Method!$B$87,IFERROR(INDEX(BC43:BE43,1,AB43)/INDEX(S43:U43,1,AB43),0)&gt;Method!$B$88),""🛑 Tail trap "&amp;"— auto-PASS · EV ""&amp;TEXT(AF43,""0.0%"")&amp;"" (cap ""&amp;TEXT(Method!$B$87,""0%"")&amp;"") · model/market ""&amp;TEXT(IFERROR(INDEX(BC43:BE43,1,AB43)/INDEX(S43:U43,1,AB43),0),""0.0"")&amp;""× (cap ""&amp;TEXT(Method!$B$88,""0.0"")&amp;""×)"",IF(AF43&lt;Method!$B$7,""Price too short —"&amp;" EV ""&amp;TEXT(AF43,""0.0%"")&amp;"" (need ""&amp;TEXT(Method!$B$7,""0.0%"")&amp;""+)"",""Model ≈ market — edge ""&amp;TEXT(AG43,""0.0%"")&amp;"" (need ""&amp;TEXT(Method!$B$8,""0.0%"")&amp;""+)"")))))"),"🛑 Tail trap — auto-PASS · EV 71.4% (cap 30%) · model/market 3.9× (cap 2.5×)")</f>
        <v>🛑 Tail trap — auto-PASS · EV 71.4% (cap 30%) · model/market 3.9× (cap 2.5×)</v>
      </c>
      <c r="AU43" s="33" t="str">
        <f t="shared" si="17"/>
        <v/>
      </c>
      <c r="AV43" s="32" t="str">
        <f>IF(Matchday!O45="","",Matchday!O45)</f>
        <v/>
      </c>
      <c r="AW43" s="75"/>
      <c r="AX43" s="75"/>
      <c r="AY43" s="75"/>
      <c r="AZ43" s="75" t="str">
        <f t="shared" si="18"/>
        <v>PASS</v>
      </c>
      <c r="BA43" s="76">
        <f>IF(AX43&lt;&gt;"",AX43,IF(AH43&lt;&gt;"BET",0,IF(AI43*Method!$B$10/100&lt;Method!$B$9,0,ROUND(AI43*Method!$B$10/100,0))))</f>
        <v>0</v>
      </c>
      <c r="BB43" s="12">
        <v>2.6400000000000006</v>
      </c>
      <c r="BC43" s="12">
        <v>0.7122060698004019</v>
      </c>
      <c r="BD43" s="12">
        <v>0.19560866807051244</v>
      </c>
      <c r="BE43" s="12">
        <v>0.0921852621290856</v>
      </c>
      <c r="BF43" s="14" t="s">
        <v>341</v>
      </c>
      <c r="BG43" s="12">
        <v>12.0</v>
      </c>
      <c r="BH43" s="14" t="s">
        <v>262</v>
      </c>
      <c r="BI43" s="12">
        <v>137.4</v>
      </c>
    </row>
    <row r="44" ht="15.0" customHeight="1">
      <c r="A44" s="32">
        <v>43.0</v>
      </c>
      <c r="B44" s="59">
        <v>46195.0</v>
      </c>
      <c r="C44" s="60" t="s">
        <v>308</v>
      </c>
      <c r="D44" s="61" t="s">
        <v>79</v>
      </c>
      <c r="E44" s="61" t="s">
        <v>77</v>
      </c>
      <c r="F44" s="61" t="s">
        <v>275</v>
      </c>
      <c r="G44" s="62">
        <v>0.8333333333321207</v>
      </c>
      <c r="H44" s="60" t="s">
        <v>333</v>
      </c>
      <c r="I44" s="63">
        <v>0.4954115332071723</v>
      </c>
      <c r="J44" s="63">
        <v>0.27412296431328154</v>
      </c>
      <c r="K44" s="63">
        <v>0.23046550247954636</v>
      </c>
      <c r="L44" s="64">
        <f>IF(Matchday!E46="","",Matchday!E46)</f>
        <v>2.5</v>
      </c>
      <c r="M44" s="64">
        <f>IF(Matchday!F46="","",Matchday!F46)</f>
        <v>3.5</v>
      </c>
      <c r="N44" s="64">
        <f>IF(Matchday!G46="","",Matchday!G46)</f>
        <v>3.05</v>
      </c>
      <c r="O44" s="65">
        <f t="shared" ref="O44:Q44" si="99">IF(L44="","",1/L44)</f>
        <v>0.4</v>
      </c>
      <c r="P44" s="65">
        <f t="shared" si="99"/>
        <v>0.2857142857</v>
      </c>
      <c r="Q44" s="65">
        <f t="shared" si="99"/>
        <v>0.3278688525</v>
      </c>
      <c r="R44" s="65">
        <f t="shared" si="4"/>
        <v>1.013583138</v>
      </c>
      <c r="S44" s="65">
        <f t="array" ref="S44">IF($R44="","",IF(Method!$B$56="proportional",O44/$R44,IF(Method!$B$56="power",IFERROR(INDEX(power_devig($L44,$M44,$N44),1,1),O44/$R44),IFERROR(INDEX(shin($L44,$M44,$N44),1,1),O44/$R44))))</f>
        <v>0.3952621837</v>
      </c>
      <c r="T44" s="65">
        <f t="array" ref="T44">IF($R44="","",IF(Method!$B$56="proportional",P44/$R44,IF(Method!$B$56="power",IFERROR(INDEX(power_devig($L44,$M44,$N44),2,1),P44/$R44),IFERROR(INDEX(shin($L44,$M44,$N44),2,1),P44/$R44))))</f>
        <v>0.2813631829</v>
      </c>
      <c r="U44" s="65">
        <f t="array" ref="U44">IF($R44="","",IF(Method!$B$56="proportional",Q44/$R44,IF(Method!$B$56="power",IFERROR(INDEX(power_devig($L44,$M44,$N44),3,1),Q44/$R44),IFERROR(INDEX(shin($L44,$M44,$N44),3,1),Q44/$R44))))</f>
        <v>0.3233746335</v>
      </c>
      <c r="V44" s="65">
        <f>IF(S44="","",Method!$B$4*IF(BC44="",I44,BC44)+(1-Method!$B$4)*S44/($S44+$T44+$U44))</f>
        <v>0.4276485684</v>
      </c>
      <c r="W44" s="65">
        <f>IF(T44="","",Method!$B$4*IF(BD44="",J44,BD44)+(1-Method!$B$4)*T44/($S44+$T44+$U44))</f>
        <v>0.2782303074</v>
      </c>
      <c r="X44" s="65">
        <f>IF(U44="","",Method!$B$4*IF(BE44="",K44,BE44)+(1-Method!$B$4)*U44/($S44+$T44+$U44))</f>
        <v>0.2941211242</v>
      </c>
      <c r="Y44" s="66">
        <f t="shared" ref="Y44:AA44" si="100">IF(V44="","",V44*L44-1)</f>
        <v>0.06912142088</v>
      </c>
      <c r="Z44" s="66">
        <f t="shared" si="100"/>
        <v>-0.02619392408</v>
      </c>
      <c r="AA44" s="66">
        <f t="shared" si="100"/>
        <v>-0.1029305711</v>
      </c>
      <c r="AB44" s="67">
        <f t="shared" si="6"/>
        <v>1</v>
      </c>
      <c r="AC44" s="67" t="str">
        <f t="shared" si="7"/>
        <v>H</v>
      </c>
      <c r="AD44" s="68" t="str">
        <f t="shared" si="8"/>
        <v>1  Norway</v>
      </c>
      <c r="AE44" s="35">
        <f t="shared" si="9"/>
        <v>2.5</v>
      </c>
      <c r="AF44" s="66">
        <f t="shared" si="10"/>
        <v>0.06912142088</v>
      </c>
      <c r="AG44" s="66">
        <f t="shared" si="11"/>
        <v>0.03238638466</v>
      </c>
      <c r="AH44" s="69" t="str">
        <f t="array" ref="AH44">IF(AB44="","· enter odds",IF(OR(AF44&gt;Method!$B$87,IFERROR(INDEX(BC44:BE44,1,AB44)/INDEX(S44:U44,1,AB44),0)&gt;Method!$B$88),"PASS",IF(AND(AF44&gt;=Method!$B$7,AG44&gt;=Method!$B$8),"BET","PASS")))</f>
        <v>BET</v>
      </c>
      <c r="AI44" s="70">
        <f>IF(AH44&lt;&gt;"BET",0,ROUND(MIN(Method!$B$6,Method!$B$5*AL44)*100,1))</f>
        <v>1.2</v>
      </c>
      <c r="AJ44" s="71">
        <f>IF(OR(AH44&lt;&gt;"BET",Method!$B$55=TRUE()),0,IF(AI44*Method!$B$10/100&lt;Method!$B$9,0,ROUND(AI44*Method!$B$10/100,0)))</f>
        <v>12</v>
      </c>
      <c r="AK44" s="65">
        <f t="shared" si="12"/>
        <v>0.4276485684</v>
      </c>
      <c r="AL44" s="65">
        <f t="shared" si="13"/>
        <v>0.04608094726</v>
      </c>
      <c r="AM44" s="66">
        <f t="shared" si="14"/>
        <v>0.06916442088</v>
      </c>
      <c r="AN44" s="72" t="str">
        <f>IF(Matchday!N46="","",Matchday!N46)</f>
        <v/>
      </c>
      <c r="AO44" s="64" t="str">
        <f>IF(Matchday!P46="","",Matchday!P46)</f>
        <v/>
      </c>
      <c r="AP44" s="73" t="str">
        <f>IF(Matchday!Q46="","",Matchday!Q46)</f>
        <v/>
      </c>
      <c r="AQ44" s="72" t="str">
        <f>IF(Matchday!R46="","",Matchday!R46)</f>
        <v>H</v>
      </c>
      <c r="AR44" s="74" t="str">
        <f t="shared" si="15"/>
        <v/>
      </c>
      <c r="AS44" s="74" t="str">
        <f t="shared" si="16"/>
        <v/>
      </c>
      <c r="AT44" s="33" t="str">
        <f>IFERROR(__xludf.DUMMYFUNCTION("IF(AB44="""",""Type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pauses."")),IF(AH44=""BET"",IF(AJ44=0,""Edge found but stake rounds under £""&amp;Method!$B$9&amp;"" — skip"",IF(AND(AE44&gt;=6,AG44&gt;=0.15),""🟡 WAIT — long-shot review: odds ""&amp;TEXT(AE44,""0.00"")&amp;"" + edge ""&amp;TEXT(AG44,""0.0%"")"&amp;"&amp;"" — verify sharp-book + team news + stake comfort before Placed=Y"",""Value found: EV ""&amp;TEXT(AF44,""0.0%"")&amp;"", edge ""&amp;TEXT(AG44,""0.0%""))),IF(OR(AF44&gt;Method!$B$87,IFERROR(INDEX(BC44:BE44,1,AB44)/INDEX(S44:U44,1,AB44),0)&gt;Method!$B$88),""🛑 Tail trap "&amp;"— auto-PASS · EV ""&amp;TEXT(AF44,""0.0%"")&amp;"" (cap ""&amp;TEXT(Method!$B$87,""0%"")&amp;"") · model/market ""&amp;TEXT(IFERROR(INDEX(BC44:BE44,1,AB44)/INDEX(S44:U44,1,AB44),0),""0.0"")&amp;""× (cap ""&amp;TEXT(Method!$B$88,""0.0"")&amp;""×)"",IF(AF44&lt;Method!$B$7,""Price too short —"&amp;" EV ""&amp;TEXT(AF44,""0.0%"")&amp;"" (need ""&amp;TEXT(Method!$B$7,""0.0%"")&amp;""+)"",""Model ≈ market — edge ""&amp;TEXT(AG44,""0.0%"")&amp;"" (need ""&amp;TEXT(Method!$B$8,""0.0%"")&amp;""+)"")))))"),"Value found: EV 6.9%, edge 3.2%")</f>
        <v>Value found: EV 6.9%, edge 3.2%</v>
      </c>
      <c r="AU44" s="33" t="str">
        <f t="shared" si="17"/>
        <v/>
      </c>
      <c r="AV44" s="32" t="str">
        <f>IF(Matchday!O46="","",Matchday!O46)</f>
        <v/>
      </c>
      <c r="AW44" s="75"/>
      <c r="AX44" s="75"/>
      <c r="AY44" s="75"/>
      <c r="AZ44" s="75" t="str">
        <f t="shared" si="18"/>
        <v>BET</v>
      </c>
      <c r="BA44" s="76">
        <f>IF(AX44&lt;&gt;"",AX44,IF(AH44&lt;&gt;"BET",0,IF(AI44*Method!$B$10/100&lt;Method!$B$9,0,ROUND(AI44*Method!$B$10/100,0))))</f>
        <v>12</v>
      </c>
      <c r="BB44" s="12">
        <v>-27.4</v>
      </c>
      <c r="BC44" s="12">
        <v>0.4877947112855618</v>
      </c>
      <c r="BD44" s="12">
        <v>0.27241211015351124</v>
      </c>
      <c r="BE44" s="12">
        <v>0.23979317856092686</v>
      </c>
      <c r="BF44" s="14" t="s">
        <v>342</v>
      </c>
      <c r="BG44" s="12">
        <v>7.0</v>
      </c>
      <c r="BH44" s="14" t="s">
        <v>262</v>
      </c>
      <c r="BI44" s="12">
        <v>273.9</v>
      </c>
    </row>
    <row r="45" ht="15.0" customHeight="1">
      <c r="A45" s="32">
        <v>44.0</v>
      </c>
      <c r="B45" s="59">
        <v>46195.0</v>
      </c>
      <c r="C45" s="60" t="s">
        <v>311</v>
      </c>
      <c r="D45" s="61" t="s">
        <v>83</v>
      </c>
      <c r="E45" s="61" t="s">
        <v>81</v>
      </c>
      <c r="F45" s="61" t="s">
        <v>271</v>
      </c>
      <c r="G45" s="62">
        <v>0.9583333333321207</v>
      </c>
      <c r="H45" s="60" t="s">
        <v>343</v>
      </c>
      <c r="I45" s="63">
        <v>0.2719501657154189</v>
      </c>
      <c r="J45" s="63">
        <v>0.2802704188706502</v>
      </c>
      <c r="K45" s="63">
        <v>0.44777941541393107</v>
      </c>
      <c r="L45" s="64">
        <f>IF(Matchday!E47="","",Matchday!E47)</f>
        <v>7.5</v>
      </c>
      <c r="M45" s="64">
        <f>IF(Matchday!F47="","",Matchday!F47)</f>
        <v>3.5</v>
      </c>
      <c r="N45" s="64">
        <f>IF(Matchday!G47="","",Matchday!G47)</f>
        <v>1.53</v>
      </c>
      <c r="O45" s="65">
        <f t="shared" ref="O45:Q45" si="101">IF(L45="","",1/L45)</f>
        <v>0.1333333333</v>
      </c>
      <c r="P45" s="65">
        <f t="shared" si="101"/>
        <v>0.2857142857</v>
      </c>
      <c r="Q45" s="65">
        <f t="shared" si="101"/>
        <v>0.6535947712</v>
      </c>
      <c r="R45" s="65">
        <f t="shared" si="4"/>
        <v>1.07264239</v>
      </c>
      <c r="S45" s="65">
        <f t="array" ref="S45">IF($R45="","",IF(Method!$B$56="proportional",O45/$R45,IF(Method!$B$56="power",IFERROR(INDEX(power_devig($L45,$M45,$N45),1,1),O45/$R45),IFERROR(INDEX(shin($L45,$M45,$N45),1,1),O45/$R45))))</f>
        <v>0.1133345779</v>
      </c>
      <c r="T45" s="65">
        <f t="array" ref="T45">IF($R45="","",IF(Method!$B$56="proportional",P45/$R45,IF(Method!$B$56="power",IFERROR(INDEX(power_devig($L45,$M45,$N45),2,1),P45/$R45),IFERROR(INDEX(shin($L45,$M45,$N45),2,1),P45/$R45))))</f>
        <v>0.2625256423</v>
      </c>
      <c r="U45" s="65">
        <f t="array" ref="U45">IF($R45="","",IF(Method!$B$56="proportional",Q45/$R45,IF(Method!$B$56="power",IFERROR(INDEX(power_devig($L45,$M45,$N45),3,1),Q45/$R45),IFERROR(INDEX(shin($L45,$M45,$N45),3,1),Q45/$R45))))</f>
        <v>0.6241397797</v>
      </c>
      <c r="V45" s="65">
        <f>IF(S45="","",Method!$B$4*IF(BC45="",I45,BC45)+(1-Method!$B$4)*S45/($S45+$T45+$U45))</f>
        <v>0.1680293801</v>
      </c>
      <c r="W45" s="65">
        <f>IF(T45="","",Method!$B$4*IF(BD45="",J45,BD45)+(1-Method!$B$4)*T45/($S45+$T45+$U45))</f>
        <v>0.2678589832</v>
      </c>
      <c r="X45" s="65">
        <f>IF(U45="","",Method!$B$4*IF(BE45="",K45,BE45)+(1-Method!$B$4)*U45/($S45+$T45+$U45))</f>
        <v>0.5641116367</v>
      </c>
      <c r="Y45" s="66">
        <f t="shared" ref="Y45:AA45" si="102">IF(V45="","",V45*L45-1)</f>
        <v>0.2602203505</v>
      </c>
      <c r="Z45" s="66">
        <f t="shared" si="102"/>
        <v>-0.06249355881</v>
      </c>
      <c r="AA45" s="66">
        <f t="shared" si="102"/>
        <v>-0.1369091958</v>
      </c>
      <c r="AB45" s="67">
        <f t="shared" si="6"/>
        <v>1</v>
      </c>
      <c r="AC45" s="67" t="str">
        <f t="shared" si="7"/>
        <v>H</v>
      </c>
      <c r="AD45" s="68" t="str">
        <f t="shared" si="8"/>
        <v>1  Jordan</v>
      </c>
      <c r="AE45" s="35">
        <f t="shared" si="9"/>
        <v>7.5</v>
      </c>
      <c r="AF45" s="66">
        <f t="shared" si="10"/>
        <v>0.2602203505</v>
      </c>
      <c r="AG45" s="66">
        <f t="shared" si="11"/>
        <v>0.05469480213</v>
      </c>
      <c r="AH45" s="69" t="str">
        <f t="array" ref="AH45">IF(AB45="","· enter odds",IF(OR(AF45&gt;Method!$B$87,IFERROR(INDEX(BC45:BE45,1,AB45)/INDEX(S45:U45,1,AB45),0)&gt;Method!$B$88),"PASS",IF(AND(AF45&gt;=Method!$B$7,AG45&gt;=Method!$B$8),"BET","PASS")))</f>
        <v>BET</v>
      </c>
      <c r="AI45" s="70">
        <f>IF(AH45&lt;&gt;"BET",0,ROUND(MIN(Method!$B$6,Method!$B$5*AL45)*100,1))</f>
        <v>1</v>
      </c>
      <c r="AJ45" s="71">
        <f>IF(OR(AH45&lt;&gt;"BET",Method!$B$55=TRUE()),0,IF(AI45*Method!$B$10/100&lt;Method!$B$9,0,ROUND(AI45*Method!$B$10/100,0)))</f>
        <v>10</v>
      </c>
      <c r="AK45" s="65">
        <f t="shared" si="12"/>
        <v>0.1680293801</v>
      </c>
      <c r="AL45" s="65">
        <f t="shared" si="13"/>
        <v>0.04003390008</v>
      </c>
      <c r="AM45" s="66">
        <f t="shared" si="14"/>
        <v>0.2602643505</v>
      </c>
      <c r="AN45" s="72" t="str">
        <f>IF(Matchday!N47="","",Matchday!N47)</f>
        <v/>
      </c>
      <c r="AO45" s="64" t="str">
        <f>IF(Matchday!P47="","",Matchday!P47)</f>
        <v/>
      </c>
      <c r="AP45" s="73" t="str">
        <f>IF(Matchday!Q47="","",Matchday!Q47)</f>
        <v/>
      </c>
      <c r="AQ45" s="72" t="str">
        <f>IF(Matchday!R47="","",Matchday!R47)</f>
        <v>A</v>
      </c>
      <c r="AR45" s="74" t="str">
        <f t="shared" si="15"/>
        <v/>
      </c>
      <c r="AS45" s="74" t="str">
        <f t="shared" si="16"/>
        <v/>
      </c>
      <c r="AT45" s="33" t="str">
        <f>IFERROR(__xludf.DUMMYFUNCTION("IF(AB45="""",""Type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pauses."")),IF(AH45=""BET"",IF(AJ45=0,""Edge found but stake rounds under £""&amp;Method!$B$9&amp;"" — skip"",IF(AND(AE45&gt;=6,AG45&gt;=0.15),""🟡 WAIT — long-shot review: odds ""&amp;TEXT(AE45,""0.00"")&amp;"" + edge ""&amp;TEXT(AG45,""0.0%"")"&amp;"&amp;"" — verify sharp-book + team news + stake comfort before Placed=Y"",""Value found: EV ""&amp;TEXT(AF45,""0.0%"")&amp;"", edge ""&amp;TEXT(AG45,""0.0%""))),IF(OR(AF45&gt;Method!$B$87,IFERROR(INDEX(BC45:BE45,1,AB45)/INDEX(S45:U45,1,AB45),0)&gt;Method!$B$88),""🛑 Tail trap "&amp;"— auto-PASS · EV ""&amp;TEXT(AF45,""0.0%"")&amp;"" (cap ""&amp;TEXT(Method!$B$87,""0%"")&amp;"") · model/market ""&amp;TEXT(IFERROR(INDEX(BC45:BE45,1,AB45)/INDEX(S45:U45,1,AB45),0),""0.0"")&amp;""× (cap ""&amp;TEXT(Method!$B$88,""0.0"")&amp;""×)"",IF(AF45&lt;Method!$B$7,""Price too short —"&amp;" EV ""&amp;TEXT(AF45,""0.0%"")&amp;"" (need ""&amp;TEXT(Method!$B$7,""0.0%"")&amp;""+)"",""Model ≈ market — edge ""&amp;TEXT(AG45,""0.0%"")&amp;"" (need ""&amp;TEXT(Method!$B$8,""0.0%"")&amp;""+)"")))))"),"Value found: EV 26.0%, edge 5.5%")</f>
        <v>Value found: EV 26.0%, edge 5.5%</v>
      </c>
      <c r="AU45" s="33" t="str">
        <f t="shared" si="17"/>
        <v/>
      </c>
      <c r="AV45" s="32" t="str">
        <f>IF(Matchday!O47="","",Matchday!O47)</f>
        <v/>
      </c>
      <c r="AW45" s="75"/>
      <c r="AX45" s="75"/>
      <c r="AY45" s="75"/>
      <c r="AZ45" s="75" t="str">
        <f t="shared" si="18"/>
        <v>BET</v>
      </c>
      <c r="BA45" s="76">
        <f>IF(AX45&lt;&gt;"",AX45,IF(AH45&lt;&gt;"BET",0,IF(AI45*Method!$B$10/100&lt;Method!$B$9,0,ROUND(AI45*Method!$B$10/100,0))))</f>
        <v>10</v>
      </c>
      <c r="BB45" s="12">
        <v>-31.98</v>
      </c>
      <c r="BC45" s="12">
        <v>0.2696054411608872</v>
      </c>
      <c r="BD45" s="12">
        <v>0.2777637591212907</v>
      </c>
      <c r="BE45" s="12">
        <v>0.45263079971782205</v>
      </c>
      <c r="BF45" s="14" t="s">
        <v>344</v>
      </c>
      <c r="BG45" s="12">
        <v>8.0</v>
      </c>
      <c r="BH45" s="14" t="s">
        <v>273</v>
      </c>
      <c r="BI45" s="12">
        <v>0.0</v>
      </c>
    </row>
    <row r="46" ht="15.0" customHeight="1">
      <c r="A46" s="32">
        <v>45.0</v>
      </c>
      <c r="B46" s="59">
        <v>46196.0</v>
      </c>
      <c r="C46" s="60" t="s">
        <v>316</v>
      </c>
      <c r="D46" s="61" t="s">
        <v>84</v>
      </c>
      <c r="E46" s="61" t="s">
        <v>90</v>
      </c>
      <c r="F46" s="61" t="s">
        <v>285</v>
      </c>
      <c r="G46" s="62">
        <v>0.5416666666678793</v>
      </c>
      <c r="H46" s="62">
        <v>0.7916666666678793</v>
      </c>
      <c r="I46" s="63">
        <v>0.5894516327164494</v>
      </c>
      <c r="J46" s="63">
        <v>0.25099209141724116</v>
      </c>
      <c r="K46" s="63">
        <v>0.15955627586630927</v>
      </c>
      <c r="L46" s="64">
        <f>IF(Matchday!E48="","",Matchday!E48)</f>
        <v>1.17</v>
      </c>
      <c r="M46" s="64">
        <f>IF(Matchday!F48="","",Matchday!F48)</f>
        <v>9</v>
      </c>
      <c r="N46" s="64">
        <f>IF(Matchday!G48="","",Matchday!G48)</f>
        <v>23</v>
      </c>
      <c r="O46" s="65">
        <f t="shared" ref="O46:Q46" si="103">IF(L46="","",1/L46)</f>
        <v>0.8547008547</v>
      </c>
      <c r="P46" s="65">
        <f t="shared" si="103"/>
        <v>0.1111111111</v>
      </c>
      <c r="Q46" s="65">
        <f t="shared" si="103"/>
        <v>0.04347826087</v>
      </c>
      <c r="R46" s="65">
        <f t="shared" si="4"/>
        <v>1.009290227</v>
      </c>
      <c r="S46" s="65">
        <f t="array" ref="S46">IF($R46="","",IF(Method!$B$56="proportional",O46/$R46,IF(Method!$B$56="power",IFERROR(INDEX(power_devig($L46,$M46,$N46),1,1),O46/$R46),IFERROR(INDEX(shin($L46,$M46,$N46),1,1),O46/$R46))))</f>
        <v>0.8504056496</v>
      </c>
      <c r="T46" s="65">
        <f t="array" ref="T46">IF($R46="","",IF(Method!$B$56="proportional",P46/$R46,IF(Method!$B$56="power",IFERROR(INDEX(power_devig($L46,$M46,$N46),2,1),P46/$R46),IFERROR(INDEX(shin($L46,$M46,$N46),2,1),P46/$R46))))</f>
        <v>0.1085175685</v>
      </c>
      <c r="U46" s="65">
        <f t="array" ref="U46">IF($R46="","",IF(Method!$B$56="proportional",Q46/$R46,IF(Method!$B$56="power",IFERROR(INDEX(power_devig($L46,$M46,$N46),3,1),Q46/$R46),IFERROR(INDEX(shin($L46,$M46,$N46),3,1),Q46/$R46))))</f>
        <v>0.04107678188</v>
      </c>
      <c r="V46" s="65">
        <f>IF(S46="","",Method!$B$4*IF(BC46="",I46,BC46)+(1-Method!$B$4)*S46/($S46+$T46+$U46))</f>
        <v>0.7489392481</v>
      </c>
      <c r="W46" s="65">
        <f>IF(T46="","",Method!$B$4*IF(BD46="",J46,BD46)+(1-Method!$B$4)*T46/($S46+$T46+$U46))</f>
        <v>0.1676073355</v>
      </c>
      <c r="X46" s="65">
        <f>IF(U46="","",Method!$B$4*IF(BE46="",K46,BE46)+(1-Method!$B$4)*U46/($S46+$T46+$U46))</f>
        <v>0.08345341633</v>
      </c>
      <c r="Y46" s="66">
        <f t="shared" ref="Y46:AA46" si="104">IF(V46="","",V46*L46-1)</f>
        <v>-0.1237410797</v>
      </c>
      <c r="Z46" s="66">
        <f t="shared" si="104"/>
        <v>0.5084660199</v>
      </c>
      <c r="AA46" s="66">
        <f t="shared" si="104"/>
        <v>0.9194285756</v>
      </c>
      <c r="AB46" s="67">
        <f t="shared" si="6"/>
        <v>3</v>
      </c>
      <c r="AC46" s="67" t="str">
        <f t="shared" si="7"/>
        <v>A</v>
      </c>
      <c r="AD46" s="68" t="str">
        <f t="shared" si="8"/>
        <v>2  Uzbekistan</v>
      </c>
      <c r="AE46" s="35">
        <f t="shared" si="9"/>
        <v>23</v>
      </c>
      <c r="AF46" s="66">
        <f t="shared" si="10"/>
        <v>0.9194285756</v>
      </c>
      <c r="AG46" s="66">
        <f t="shared" si="11"/>
        <v>0.04237663445</v>
      </c>
      <c r="AH46" s="69" t="str">
        <f t="array" ref="AH46">IF(AB46="","· enter odds",IF(OR(AF46&gt;Method!$B$87,IFERROR(INDEX(BC46:BE46,1,AB46)/INDEX(S46:U46,1,AB46),0)&gt;Method!$B$88),"PASS",IF(AND(AF46&gt;=Method!$B$7,AG46&gt;=Method!$B$8),"BET","PASS")))</f>
        <v>PASS</v>
      </c>
      <c r="AI46" s="70">
        <f>IF(AH46&lt;&gt;"BET",0,ROUND(MIN(Method!$B$6,Method!$B$5*AL46)*100,1))</f>
        <v>0</v>
      </c>
      <c r="AJ46" s="71">
        <f>IF(OR(AH46&lt;&gt;"BET",Method!$B$55=TRUE()),0,IF(AI46*Method!$B$10/100&lt;Method!$B$9,0,ROUND(AI46*Method!$B$10/100,0)))</f>
        <v>0</v>
      </c>
      <c r="AK46" s="65">
        <f t="shared" si="12"/>
        <v>0.08345341633</v>
      </c>
      <c r="AL46" s="65" t="str">
        <f t="shared" si="13"/>
        <v/>
      </c>
      <c r="AM46" s="67" t="str">
        <f t="shared" si="14"/>
        <v/>
      </c>
      <c r="AN46" s="72" t="str">
        <f>IF(Matchday!N48="","",Matchday!N48)</f>
        <v/>
      </c>
      <c r="AO46" s="64" t="str">
        <f>IF(Matchday!P48="","",Matchday!P48)</f>
        <v/>
      </c>
      <c r="AP46" s="73" t="str">
        <f>IF(Matchday!Q48="","",Matchday!Q48)</f>
        <v/>
      </c>
      <c r="AQ46" s="72" t="str">
        <f>IF(Matchday!R48="","",Matchday!R48)</f>
        <v>H</v>
      </c>
      <c r="AR46" s="74" t="str">
        <f t="shared" si="15"/>
        <v/>
      </c>
      <c r="AS46" s="74" t="str">
        <f t="shared" si="16"/>
        <v/>
      </c>
      <c r="AT46" s="33" t="str">
        <f>IFERROR(__xludf.DUMMYFUNCTION("IF(AB46="""",""Type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pauses."")),IF(AH46=""BET"",IF(AJ46=0,""Edge found but stake rounds under £""&amp;Method!$B$9&amp;"" — skip"",IF(AND(AE46&gt;=6,AG46&gt;=0.15),""🟡 WAIT — long-shot review: odds ""&amp;TEXT(AE46,""0.00"")&amp;"" + edge ""&amp;TEXT(AG46,""0.0%"")"&amp;"&amp;"" — verify sharp-book + team news + stake comfort before Placed=Y"",""Value found: EV ""&amp;TEXT(AF46,""0.0%"")&amp;"", edge ""&amp;TEXT(AG46,""0.0%""))),IF(OR(AF46&gt;Method!$B$87,IFERROR(INDEX(BC46:BE46,1,AB46)/INDEX(S46:U46,1,AB46),0)&gt;Method!$B$88),""🛑 Tail trap "&amp;"— auto-PASS · EV ""&amp;TEXT(AF46,""0.0%"")&amp;"" (cap ""&amp;TEXT(Method!$B$87,""0%"")&amp;"") · model/market ""&amp;TEXT(IFERROR(INDEX(BC46:BE46,1,AB46)/INDEX(S46:U46,1,AB46),0),""0.0"")&amp;""× (cap ""&amp;TEXT(Method!$B$88,""0.0"")&amp;""×)"",IF(AF46&lt;Method!$B$7,""Price too short —"&amp;" EV ""&amp;TEXT(AF46,""0.0%"")&amp;"" (need ""&amp;TEXT(Method!$B$7,""0.0%"")&amp;""+)"",""Model ≈ market — edge ""&amp;TEXT(AG46,""0.0%"")&amp;"" (need ""&amp;TEXT(Method!$B$8,""0.0%"")&amp;""+)"")))))"),"🛑 Tail trap — auto-PASS · EV 91.9% (cap 30%) · model/market 3.9× (cap 2.5×)")</f>
        <v>🛑 Tail trap — auto-PASS · EV 91.9% (cap 30%) · model/market 3.9× (cap 2.5×)</v>
      </c>
      <c r="AU46" s="33" t="str">
        <f t="shared" si="17"/>
        <v/>
      </c>
      <c r="AV46" s="32" t="str">
        <f>IF(Matchday!O48="","",Matchday!O48)</f>
        <v/>
      </c>
      <c r="AW46" s="75"/>
      <c r="AX46" s="75"/>
      <c r="AY46" s="75"/>
      <c r="AZ46" s="75" t="str">
        <f t="shared" si="18"/>
        <v>PASS</v>
      </c>
      <c r="BA46" s="76">
        <f>IF(AX46&lt;&gt;"",AX46,IF(AH46&lt;&gt;"BET",0,IF(AI46*Method!$B$10/100&lt;Method!$B$9,0,ROUND(AI46*Method!$B$10/100,0))))</f>
        <v>0</v>
      </c>
      <c r="BB46" s="12">
        <v>-9.84</v>
      </c>
      <c r="BC46" s="12">
        <v>0.5605016453712047</v>
      </c>
      <c r="BD46" s="12">
        <v>0.2773454743113818</v>
      </c>
      <c r="BE46" s="12">
        <v>0.16215288031741343</v>
      </c>
      <c r="BF46" s="14" t="s">
        <v>345</v>
      </c>
      <c r="BG46" s="12">
        <v>15.0</v>
      </c>
      <c r="BH46" s="14" t="s">
        <v>287</v>
      </c>
      <c r="BI46" s="12">
        <v>0.0</v>
      </c>
    </row>
    <row r="47" ht="15.0" customHeight="1">
      <c r="A47" s="32">
        <v>46.0</v>
      </c>
      <c r="B47" s="59">
        <v>46196.0</v>
      </c>
      <c r="C47" s="60" t="s">
        <v>318</v>
      </c>
      <c r="D47" s="61" t="s">
        <v>86</v>
      </c>
      <c r="E47" s="61" t="s">
        <v>88</v>
      </c>
      <c r="F47" s="61" t="s">
        <v>277</v>
      </c>
      <c r="G47" s="62">
        <v>0.6666666666678793</v>
      </c>
      <c r="H47" s="62">
        <v>0.875</v>
      </c>
      <c r="I47" s="63">
        <v>0.7253157414229265</v>
      </c>
      <c r="J47" s="63">
        <v>0.19003020523252395</v>
      </c>
      <c r="K47" s="63">
        <v>0.08465405334454944</v>
      </c>
      <c r="L47" s="64">
        <f>IF(Matchday!E49="","",Matchday!E49)</f>
        <v>1.2</v>
      </c>
      <c r="M47" s="64">
        <f>IF(Matchday!F49="","",Matchday!F49)</f>
        <v>8</v>
      </c>
      <c r="N47" s="64">
        <f>IF(Matchday!G49="","",Matchday!G49)</f>
        <v>19</v>
      </c>
      <c r="O47" s="65">
        <f t="shared" ref="O47:Q47" si="105">IF(L47="","",1/L47)</f>
        <v>0.8333333333</v>
      </c>
      <c r="P47" s="65">
        <f t="shared" si="105"/>
        <v>0.125</v>
      </c>
      <c r="Q47" s="65">
        <f t="shared" si="105"/>
        <v>0.05263157895</v>
      </c>
      <c r="R47" s="65">
        <f t="shared" si="4"/>
        <v>1.010964912</v>
      </c>
      <c r="S47" s="65">
        <f t="array" ref="S47">IF($R47="","",IF(Method!$B$56="proportional",O47/$R47,IF(Method!$B$56="power",IFERROR(INDEX(power_devig($L47,$M47,$N47),1,1),O47/$R47),IFERROR(INDEX(shin($L47,$M47,$N47),1,1),O47/$R47))))</f>
        <v>0.8283248896</v>
      </c>
      <c r="T47" s="65">
        <f t="array" ref="T47">IF($R47="","",IF(Method!$B$56="proportional",P47/$R47,IF(Method!$B$56="power",IFERROR(INDEX(power_devig($L47,$M47,$N47),2,1),P47/$R47),IFERROR(INDEX(shin($L47,$M47,$N47),2,1),P47/$R47))))</f>
        <v>0.1219039248</v>
      </c>
      <c r="U47" s="65">
        <f t="array" ref="U47">IF($R47="","",IF(Method!$B$56="proportional",Q47/$R47,IF(Method!$B$56="power",IFERROR(INDEX(power_devig($L47,$M47,$N47),3,1),Q47/$R47),IFERROR(INDEX(shin($L47,$M47,$N47),3,1),Q47/$R47))))</f>
        <v>0.04977118559</v>
      </c>
      <c r="V47" s="65">
        <f>IF(S47="","",Method!$B$4*IF(BC47="",I47,BC47)+(1-Method!$B$4)*S47/($S47+$T47+$U47))</f>
        <v>0.782415985</v>
      </c>
      <c r="W47" s="65">
        <f>IF(T47="","",Method!$B$4*IF(BD47="",J47,BD47)+(1-Method!$B$4)*T47/($S47+$T47+$U47))</f>
        <v>0.1548101497</v>
      </c>
      <c r="X47" s="65">
        <f>IF(U47="","",Method!$B$4*IF(BE47="",K47,BE47)+(1-Method!$B$4)*U47/($S47+$T47+$U47))</f>
        <v>0.06277386532</v>
      </c>
      <c r="Y47" s="66">
        <f t="shared" ref="Y47:AA47" si="106">IF(V47="","",V47*L47-1)</f>
        <v>-0.06110081804</v>
      </c>
      <c r="Z47" s="66">
        <f t="shared" si="106"/>
        <v>0.2384811978</v>
      </c>
      <c r="AA47" s="66">
        <f t="shared" si="106"/>
        <v>0.192703441</v>
      </c>
      <c r="AB47" s="67">
        <f t="shared" si="6"/>
        <v>2</v>
      </c>
      <c r="AC47" s="67" t="str">
        <f t="shared" si="7"/>
        <v>D</v>
      </c>
      <c r="AD47" s="68" t="str">
        <f t="shared" si="8"/>
        <v>X  Draw</v>
      </c>
      <c r="AE47" s="35">
        <f t="shared" si="9"/>
        <v>8</v>
      </c>
      <c r="AF47" s="66">
        <f t="shared" si="10"/>
        <v>0.2384811978</v>
      </c>
      <c r="AG47" s="66">
        <f t="shared" si="11"/>
        <v>0.0329062249</v>
      </c>
      <c r="AH47" s="69" t="str">
        <f t="array" ref="AH47">IF(AB47="","· enter odds",IF(OR(AF47&gt;Method!$B$87,IFERROR(INDEX(BC47:BE47,1,AB47)/INDEX(S47:U47,1,AB47),0)&gt;Method!$B$88),"PASS",IF(AND(AF47&gt;=Method!$B$7,AG47&gt;=Method!$B$8),"BET","PASS")))</f>
        <v>BET</v>
      </c>
      <c r="AI47" s="70">
        <f>IF(AH47&lt;&gt;"BET",0,ROUND(MIN(Method!$B$6,Method!$B$5*AL47)*100,1))</f>
        <v>0.9</v>
      </c>
      <c r="AJ47" s="71">
        <f>IF(OR(AH47&lt;&gt;"BET",Method!$B$55=TRUE()),0,IF(AI47*Method!$B$10/100&lt;Method!$B$9,0,ROUND(AI47*Method!$B$10/100,0)))</f>
        <v>9</v>
      </c>
      <c r="AK47" s="65">
        <f t="shared" si="12"/>
        <v>0.1548101497</v>
      </c>
      <c r="AL47" s="65">
        <f t="shared" si="13"/>
        <v>0.03406874254</v>
      </c>
      <c r="AM47" s="66">
        <f t="shared" si="14"/>
        <v>0.2385271978</v>
      </c>
      <c r="AN47" s="72" t="str">
        <f>IF(Matchday!N49="","",Matchday!N49)</f>
        <v/>
      </c>
      <c r="AO47" s="64" t="str">
        <f>IF(Matchday!P49="","",Matchday!P49)</f>
        <v/>
      </c>
      <c r="AP47" s="73" t="str">
        <f>IF(Matchday!Q49="","",Matchday!Q49)</f>
        <v/>
      </c>
      <c r="AQ47" s="72" t="str">
        <f>IF(Matchday!R49="","",Matchday!R49)</f>
        <v>D</v>
      </c>
      <c r="AR47" s="74" t="str">
        <f t="shared" si="15"/>
        <v/>
      </c>
      <c r="AS47" s="74" t="str">
        <f t="shared" si="16"/>
        <v/>
      </c>
      <c r="AT47" s="33" t="str">
        <f>IFERROR(__xludf.DUMMYFUNCTION("IF(AB47="""",""Type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pauses."")),IF(AH47=""BET"",IF(AJ47=0,""Edge found but stake rounds under £""&amp;Method!$B$9&amp;"" — skip"",IF(AND(AE47&gt;=6,AG47&gt;=0.15),""🟡 WAIT — long-shot review: odds ""&amp;TEXT(AE47,""0.00"")&amp;"" + edge ""&amp;TEXT(AG47,""0.0%"")"&amp;"&amp;"" — verify sharp-book + team news + stake comfort before Placed=Y"",""Value found: EV ""&amp;TEXT(AF47,""0.0%"")&amp;"", edge ""&amp;TEXT(AG47,""0.0%""))),IF(OR(AF47&gt;Method!$B$87,IFERROR(INDEX(BC47:BE47,1,AB47)/INDEX(S47:U47,1,AB47),0)&gt;Method!$B$88),""🛑 Tail trap "&amp;"— auto-PASS · EV ""&amp;TEXT(AF47,""0.0%"")&amp;"" (cap ""&amp;TEXT(Method!$B$87,""0%"")&amp;"") · model/market ""&amp;TEXT(IFERROR(INDEX(BC47:BE47,1,AB47)/INDEX(S47:U47,1,AB47),0),""0.0"")&amp;""× (cap ""&amp;TEXT(Method!$B$88,""0.0"")&amp;""×)"",IF(AF47&lt;Method!$B$7,""Price too short —"&amp;" EV ""&amp;TEXT(AF47,""0.0%"")&amp;"" (need ""&amp;TEXT(Method!$B$7,""0.0%"")&amp;""+)"",""Model ≈ market — edge ""&amp;TEXT(AG47,""0.0%"")&amp;"" (need ""&amp;TEXT(Method!$B$8,""0.0%"")&amp;""+)"")))))"),"Value found: EV 23.8%, edge 3.3%")</f>
        <v>Value found: EV 23.8%, edge 3.3%</v>
      </c>
      <c r="AU47" s="33" t="str">
        <f t="shared" si="17"/>
        <v/>
      </c>
      <c r="AV47" s="32" t="str">
        <f>IF(Matchday!O49="","",Matchday!O49)</f>
        <v/>
      </c>
      <c r="AW47" s="75"/>
      <c r="AX47" s="75"/>
      <c r="AY47" s="75"/>
      <c r="AZ47" s="75" t="str">
        <f t="shared" si="18"/>
        <v>BET</v>
      </c>
      <c r="BA47" s="76">
        <f>IF(AX47&lt;&gt;"",AX47,IF(AH47&lt;&gt;"BET",0,IF(AI47*Method!$B$10/100&lt;Method!$B$9,0,ROUND(AI47*Method!$B$10/100,0))))</f>
        <v>9</v>
      </c>
      <c r="BB47" s="12">
        <v>-24.04</v>
      </c>
      <c r="BC47" s="12">
        <v>0.697156590672124</v>
      </c>
      <c r="BD47" s="12">
        <v>0.2159217102383924</v>
      </c>
      <c r="BE47" s="12">
        <v>0.08692169908948358</v>
      </c>
      <c r="BF47" s="14" t="s">
        <v>346</v>
      </c>
      <c r="BG47" s="12">
        <v>40.0</v>
      </c>
      <c r="BH47" s="14" t="s">
        <v>279</v>
      </c>
      <c r="BI47" s="12">
        <v>2493.6</v>
      </c>
    </row>
    <row r="48" ht="15.0" customHeight="1">
      <c r="A48" s="32">
        <v>47.0</v>
      </c>
      <c r="B48" s="59">
        <v>46196.0</v>
      </c>
      <c r="C48" s="60" t="s">
        <v>318</v>
      </c>
      <c r="D48" s="61" t="s">
        <v>89</v>
      </c>
      <c r="E48" s="61" t="s">
        <v>87</v>
      </c>
      <c r="F48" s="61" t="s">
        <v>264</v>
      </c>
      <c r="G48" s="62">
        <v>0.7916666666678793</v>
      </c>
      <c r="H48" s="60" t="s">
        <v>293</v>
      </c>
      <c r="I48" s="63">
        <v>0.20538525991453394</v>
      </c>
      <c r="J48" s="63">
        <v>0.263185411560467</v>
      </c>
      <c r="K48" s="63">
        <v>0.5314293285249992</v>
      </c>
      <c r="L48" s="64">
        <f>IF(Matchday!E50="","",Matchday!E50)</f>
        <v>8</v>
      </c>
      <c r="M48" s="64">
        <f>IF(Matchday!F50="","",Matchday!F50)</f>
        <v>4.8</v>
      </c>
      <c r="N48" s="64">
        <f>IF(Matchday!G50="","",Matchday!G50)</f>
        <v>1.44</v>
      </c>
      <c r="O48" s="65">
        <f t="shared" ref="O48:Q48" si="107">IF(L48="","",1/L48)</f>
        <v>0.125</v>
      </c>
      <c r="P48" s="65">
        <f t="shared" si="107"/>
        <v>0.2083333333</v>
      </c>
      <c r="Q48" s="65">
        <f t="shared" si="107"/>
        <v>0.6944444444</v>
      </c>
      <c r="R48" s="65">
        <f t="shared" si="4"/>
        <v>1.027777778</v>
      </c>
      <c r="S48" s="65">
        <f t="array" ref="S48">IF($R48="","",IF(Method!$B$56="proportional",O48/$R48,IF(Method!$B$56="power",IFERROR(INDEX(power_devig($L48,$M48,$N48),1,1),O48/$R48),IFERROR(INDEX(shin($L48,$M48,$N48),1,1),O48/$R48))))</f>
        <v>0.1172625014</v>
      </c>
      <c r="T48" s="65">
        <f t="array" ref="T48">IF($R48="","",IF(Method!$B$56="proportional",P48/$R48,IF(Method!$B$56="power",IFERROR(INDEX(power_devig($L48,$M48,$N48),2,1),P48/$R48),IFERROR(INDEX(shin($L48,$M48,$N48),2,1),P48/$R48))))</f>
        <v>0.1999633435</v>
      </c>
      <c r="U48" s="65">
        <f t="array" ref="U48">IF($R48="","",IF(Method!$B$56="proportional",Q48/$R48,IF(Method!$B$56="power",IFERROR(INDEX(power_devig($L48,$M48,$N48),3,1),Q48/$R48),IFERROR(INDEX(shin($L48,$M48,$N48),3,1),Q48/$R48))))</f>
        <v>0.6827741551</v>
      </c>
      <c r="V48" s="65">
        <f>IF(S48="","",Method!$B$4*IF(BC48="",I48,BC48)+(1-Method!$B$4)*S48/($S48+$T48+$U48))</f>
        <v>0.1418204036</v>
      </c>
      <c r="W48" s="65">
        <f>IF(T48="","",Method!$B$4*IF(BD48="",J48,BD48)+(1-Method!$B$4)*T48/($S48+$T48+$U48))</f>
        <v>0.2281273836</v>
      </c>
      <c r="X48" s="65">
        <f>IF(U48="","",Method!$B$4*IF(BE48="",K48,BE48)+(1-Method!$B$4)*U48/($S48+$T48+$U48))</f>
        <v>0.6300522128</v>
      </c>
      <c r="Y48" s="66">
        <f t="shared" ref="Y48:AA48" si="108">IF(V48="","",V48*L48-1)</f>
        <v>0.1345632285</v>
      </c>
      <c r="Z48" s="66">
        <f t="shared" si="108"/>
        <v>0.09501144123</v>
      </c>
      <c r="AA48" s="66">
        <f t="shared" si="108"/>
        <v>-0.0927248135</v>
      </c>
      <c r="AB48" s="67">
        <f t="shared" si="6"/>
        <v>1</v>
      </c>
      <c r="AC48" s="67" t="str">
        <f t="shared" si="7"/>
        <v>H</v>
      </c>
      <c r="AD48" s="68" t="str">
        <f t="shared" si="8"/>
        <v>1  Panama</v>
      </c>
      <c r="AE48" s="35">
        <f t="shared" si="9"/>
        <v>8</v>
      </c>
      <c r="AF48" s="66">
        <f t="shared" si="10"/>
        <v>0.1345632285</v>
      </c>
      <c r="AG48" s="66">
        <f t="shared" si="11"/>
        <v>0.0245579022</v>
      </c>
      <c r="AH48" s="69" t="str">
        <f t="array" ref="AH48">IF(AB48="","· enter odds",IF(OR(AF48&gt;Method!$B$87,IFERROR(INDEX(BC48:BE48,1,AB48)/INDEX(S48:U48,1,AB48),0)&gt;Method!$B$88),"PASS",IF(AND(AF48&gt;=Method!$B$7,AG48&gt;=Method!$B$8),"BET","PASS")))</f>
        <v>PASS</v>
      </c>
      <c r="AI48" s="70">
        <f>IF(AH48&lt;&gt;"BET",0,ROUND(MIN(Method!$B$6,Method!$B$5*AL48)*100,1))</f>
        <v>0</v>
      </c>
      <c r="AJ48" s="71">
        <f>IF(OR(AH48&lt;&gt;"BET",Method!$B$55=TRUE()),0,IF(AI48*Method!$B$10/100&lt;Method!$B$9,0,ROUND(AI48*Method!$B$10/100,0)))</f>
        <v>0</v>
      </c>
      <c r="AK48" s="65">
        <f t="shared" si="12"/>
        <v>0.1418204036</v>
      </c>
      <c r="AL48" s="65" t="str">
        <f t="shared" si="13"/>
        <v/>
      </c>
      <c r="AM48" s="66" t="str">
        <f t="shared" si="14"/>
        <v/>
      </c>
      <c r="AN48" s="72" t="str">
        <f>IF(Matchday!N50="","",Matchday!N50)</f>
        <v/>
      </c>
      <c r="AO48" s="64" t="str">
        <f>IF(Matchday!P50="","",Matchday!P50)</f>
        <v/>
      </c>
      <c r="AP48" s="73" t="str">
        <f>IF(Matchday!Q50="","",Matchday!Q50)</f>
        <v/>
      </c>
      <c r="AQ48" s="72" t="str">
        <f>IF(Matchday!R50="","",Matchday!R50)</f>
        <v>A</v>
      </c>
      <c r="AR48" s="74" t="str">
        <f t="shared" si="15"/>
        <v/>
      </c>
      <c r="AS48" s="74" t="str">
        <f t="shared" si="16"/>
        <v/>
      </c>
      <c r="AT48" s="33" t="str">
        <f>IFERROR(__xludf.DUMMYFUNCTION("IF(AB48="""",""Type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pauses."")),IF(AH48=""BET"",IF(AJ48=0,""Edge found but stake rounds under £""&amp;Method!$B$9&amp;"" — skip"",IF(AND(AE48&gt;=6,AG48&gt;=0.15),""🟡 WAIT — long-shot review: odds ""&amp;TEXT(AE48,""0.00"")&amp;"" + edge ""&amp;TEXT(AG48,""0.0%"")"&amp;"&amp;"" — verify sharp-book + team news + stake comfort before Placed=Y"",""Value found: EV ""&amp;TEXT(AF48,""0.0%"")&amp;"", edge ""&amp;TEXT(AG48,""0.0%""))),IF(OR(AF48&gt;Method!$B$87,IFERROR(INDEX(BC48:BE48,1,AB48)/INDEX(S48:U48,1,AB48),0)&gt;Method!$B$88),""🛑 Tail trap "&amp;"— auto-PASS · EV ""&amp;TEXT(AF48,""0.0%"")&amp;"" (cap ""&amp;TEXT(Method!$B$87,""0%"")&amp;"") · model/market ""&amp;TEXT(IFERROR(INDEX(BC48:BE48,1,AB48)/INDEX(S48:U48,1,AB48),0),""0.0"")&amp;""× (cap ""&amp;TEXT(Method!$B$88,""0.0"")&amp;""×)"",IF(AF48&lt;Method!$B$7,""Price too short —"&amp;" EV ""&amp;TEXT(AF48,""0.0%"")&amp;"" (need ""&amp;TEXT(Method!$B$7,""0.0%"")&amp;""+)"",""Model ≈ market — edge ""&amp;TEXT(AG48,""0.0%"")&amp;"" (need ""&amp;TEXT(Method!$B$8,""0.0%"")&amp;""+)"")))))"),"Model ≈ market — edge 2.5% (need 2.5%+)")</f>
        <v>Model ≈ market — edge 2.5% (need 2.5%+)</v>
      </c>
      <c r="AU48" s="33" t="str">
        <f t="shared" si="17"/>
        <v/>
      </c>
      <c r="AV48" s="32" t="str">
        <f>IF(Matchday!O50="","",Matchday!O50)</f>
        <v/>
      </c>
      <c r="AW48" s="75"/>
      <c r="AX48" s="75"/>
      <c r="AY48" s="75"/>
      <c r="AZ48" s="75" t="str">
        <f t="shared" si="18"/>
        <v>PASS</v>
      </c>
      <c r="BA48" s="76">
        <f>IF(AX48&lt;&gt;"",AX48,IF(AH48&lt;&gt;"BET",0,IF(AI48*Method!$B$10/100&lt;Method!$B$9,0,ROUND(AI48*Method!$B$10/100,0))))</f>
        <v>0</v>
      </c>
      <c r="BB48" s="12">
        <v>-3.48</v>
      </c>
      <c r="BC48" s="12">
        <v>0.1874279362112658</v>
      </c>
      <c r="BD48" s="12">
        <v>0.2804320294121068</v>
      </c>
      <c r="BE48" s="12">
        <v>0.5321400343766274</v>
      </c>
      <c r="BF48" s="14" t="s">
        <v>347</v>
      </c>
      <c r="BG48" s="12">
        <v>76.0</v>
      </c>
      <c r="BH48" s="14" t="s">
        <v>266</v>
      </c>
      <c r="BI48" s="12">
        <v>0.0</v>
      </c>
    </row>
    <row r="49" ht="15.0" customHeight="1">
      <c r="A49" s="32">
        <v>48.0</v>
      </c>
      <c r="B49" s="59">
        <v>46196.0</v>
      </c>
      <c r="C49" s="60" t="s">
        <v>316</v>
      </c>
      <c r="D49" s="61" t="s">
        <v>91</v>
      </c>
      <c r="E49" s="61" t="s">
        <v>85</v>
      </c>
      <c r="F49" s="61" t="s">
        <v>258</v>
      </c>
      <c r="G49" s="62">
        <v>0.9166666666678793</v>
      </c>
      <c r="H49" s="60" t="s">
        <v>281</v>
      </c>
      <c r="I49" s="63">
        <v>0.6621211868676816</v>
      </c>
      <c r="J49" s="63">
        <v>0.22850036439236915</v>
      </c>
      <c r="K49" s="63">
        <v>0.10937844873994901</v>
      </c>
      <c r="L49" s="64">
        <f>IF(Matchday!E51="","",Matchday!E51)</f>
        <v>1.55</v>
      </c>
      <c r="M49" s="64">
        <f>IF(Matchday!F51="","",Matchday!F51)</f>
        <v>4.1</v>
      </c>
      <c r="N49" s="64">
        <f>IF(Matchday!G51="","",Matchday!G51)</f>
        <v>7.1</v>
      </c>
      <c r="O49" s="65">
        <f t="shared" ref="O49:Q49" si="109">IF(L49="","",1/L49)</f>
        <v>0.6451612903</v>
      </c>
      <c r="P49" s="65">
        <f t="shared" si="109"/>
        <v>0.243902439</v>
      </c>
      <c r="Q49" s="65">
        <f t="shared" si="109"/>
        <v>0.1408450704</v>
      </c>
      <c r="R49" s="65">
        <f t="shared" si="4"/>
        <v>1.0299088</v>
      </c>
      <c r="S49" s="65">
        <f t="array" ref="S49">IF($R49="","",IF(Method!$B$56="proportional",O49/$R49,IF(Method!$B$56="power",IFERROR(INDEX(power_devig($L49,$M49,$N49),1,1),O49/$R49),IFERROR(INDEX(shin($L49,$M49,$N49),1,1),O49/$R49))))</f>
        <v>0.632964232</v>
      </c>
      <c r="T49" s="65">
        <f t="array" ref="T49">IF($R49="","",IF(Method!$B$56="proportional",P49/$R49,IF(Method!$B$56="power",IFERROR(INDEX(power_devig($L49,$M49,$N49),2,1),P49/$R49),IFERROR(INDEX(shin($L49,$M49,$N49),2,1),P49/$R49))))</f>
        <v>0.2346357435</v>
      </c>
      <c r="U49" s="65">
        <f t="array" ref="U49">IF($R49="","",IF(Method!$B$56="proportional",Q49/$R49,IF(Method!$B$56="power",IFERROR(INDEX(power_devig($L49,$M49,$N49),3,1),Q49/$R49),IFERROR(INDEX(shin($L49,$M49,$N49),3,1),Q49/$R49))))</f>
        <v>0.1324000245</v>
      </c>
      <c r="V49" s="65">
        <f>IF(S49="","",Method!$B$4*IF(BC49="",I49,BC49)+(1-Method!$B$4)*S49/($S49+$T49+$U49))</f>
        <v>0.6321153593</v>
      </c>
      <c r="W49" s="65">
        <f>IF(T49="","",Method!$B$4*IF(BD49="",J49,BD49)+(1-Method!$B$4)*T49/($S49+$T49+$U49))</f>
        <v>0.2425595376</v>
      </c>
      <c r="X49" s="65">
        <f>IF(U49="","",Method!$B$4*IF(BE49="",K49,BE49)+(1-Method!$B$4)*U49/($S49+$T49+$U49))</f>
        <v>0.1253251031</v>
      </c>
      <c r="Y49" s="66">
        <f t="shared" ref="Y49:AA49" si="110">IF(V49="","",V49*L49-1)</f>
        <v>-0.02022119307</v>
      </c>
      <c r="Z49" s="66">
        <f t="shared" si="110"/>
        <v>-0.005505895705</v>
      </c>
      <c r="AA49" s="66">
        <f t="shared" si="110"/>
        <v>-0.1101917683</v>
      </c>
      <c r="AB49" s="67">
        <f t="shared" si="6"/>
        <v>2</v>
      </c>
      <c r="AC49" s="67" t="str">
        <f t="shared" si="7"/>
        <v>D</v>
      </c>
      <c r="AD49" s="68" t="str">
        <f t="shared" si="8"/>
        <v>X  Draw</v>
      </c>
      <c r="AE49" s="35">
        <f t="shared" si="9"/>
        <v>4.1</v>
      </c>
      <c r="AF49" s="66">
        <f t="shared" si="10"/>
        <v>-0.005505895705</v>
      </c>
      <c r="AG49" s="66">
        <f t="shared" si="11"/>
        <v>0.007923794136</v>
      </c>
      <c r="AH49" s="69" t="str">
        <f t="array" ref="AH49">IF(AB49="","· enter odds",IF(OR(AF49&gt;Method!$B$87,IFERROR(INDEX(BC49:BE49,1,AB49)/INDEX(S49:U49,1,AB49),0)&gt;Method!$B$88),"PASS",IF(AND(AF49&gt;=Method!$B$7,AG49&gt;=Method!$B$8),"BET","PASS")))</f>
        <v>PASS</v>
      </c>
      <c r="AI49" s="70">
        <f>IF(AH49&lt;&gt;"BET",0,ROUND(MIN(Method!$B$6,Method!$B$5*AL49)*100,1))</f>
        <v>0</v>
      </c>
      <c r="AJ49" s="71">
        <f>IF(OR(AH49&lt;&gt;"BET",Method!$B$55=TRUE()),0,IF(AI49*Method!$B$10/100&lt;Method!$B$9,0,ROUND(AI49*Method!$B$10/100,0)))</f>
        <v>0</v>
      </c>
      <c r="AK49" s="65">
        <f t="shared" si="12"/>
        <v>0.2425595376</v>
      </c>
      <c r="AL49" s="65" t="str">
        <f t="shared" si="13"/>
        <v/>
      </c>
      <c r="AM49" s="67" t="str">
        <f t="shared" si="14"/>
        <v/>
      </c>
      <c r="AN49" s="72" t="str">
        <f>IF(Matchday!N51="","",Matchday!N51)</f>
        <v/>
      </c>
      <c r="AO49" s="64" t="str">
        <f>IF(Matchday!P51="","",Matchday!P51)</f>
        <v/>
      </c>
      <c r="AP49" s="73" t="str">
        <f>IF(Matchday!Q51="","",Matchday!Q51)</f>
        <v/>
      </c>
      <c r="AQ49" s="72" t="str">
        <f>IF(Matchday!R51="","",Matchday!R51)</f>
        <v>H</v>
      </c>
      <c r="AR49" s="74" t="str">
        <f t="shared" si="15"/>
        <v/>
      </c>
      <c r="AS49" s="74" t="str">
        <f t="shared" si="16"/>
        <v/>
      </c>
      <c r="AT49" s="33" t="str">
        <f>IFERROR(__xludf.DUMMYFUNCTION("IF(AB49="""",""Type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pauses."")),IF(AH49=""BET"",IF(AJ49=0,""Edge found but stake rounds under £""&amp;Method!$B$9&amp;"" — skip"",IF(AND(AE49&gt;=6,AG49&gt;=0.15),""🟡 WAIT — long-shot review: odds ""&amp;TEXT(AE49,""0.00"")&amp;"" + edge ""&amp;TEXT(AG49,""0.0%"")"&amp;"&amp;"" — verify sharp-book + team news + stake comfort before Placed=Y"",""Value found: EV ""&amp;TEXT(AF49,""0.0%"")&amp;"", edge ""&amp;TEXT(AG49,""0.0%""))),IF(OR(AF49&gt;Method!$B$87,IFERROR(INDEX(BC49:BE49,1,AB49)/INDEX(S49:U49,1,AB49),0)&gt;Method!$B$88),""🛑 Tail trap "&amp;"— auto-PASS · EV ""&amp;TEXT(AF49,""0.0%"")&amp;"" (cap ""&amp;TEXT(Method!$B$87,""0%"")&amp;"") · model/market ""&amp;TEXT(IFERROR(INDEX(BC49:BE49,1,AB49)/INDEX(S49:U49,1,AB49),0),""0.0"")&amp;""× (cap ""&amp;TEXT(Method!$B$88,""0.0"")&amp;""×)"",IF(AF49&lt;Method!$B$7,""Price too short —"&amp;" EV ""&amp;TEXT(AF49,""0.0%"")&amp;"" (need ""&amp;TEXT(Method!$B$7,""0.0%"")&amp;""+)"",""Model ≈ market — edge ""&amp;TEXT(AG49,""0.0%"")&amp;"" (need ""&amp;TEXT(Method!$B$8,""0.0%"")&amp;""+)"")))))"),"Price too short — EV -0.6% (need 2.5%+)")</f>
        <v>Price too short — EV -0.6% (need 2.5%+)</v>
      </c>
      <c r="AU49" s="33" t="str">
        <f t="shared" si="17"/>
        <v/>
      </c>
      <c r="AV49" s="32" t="str">
        <f>IF(Matchday!O51="","",Matchday!O51)</f>
        <v/>
      </c>
      <c r="AW49" s="75"/>
      <c r="AX49" s="75"/>
      <c r="AY49" s="75"/>
      <c r="AZ49" s="75" t="str">
        <f t="shared" si="18"/>
        <v>PASS</v>
      </c>
      <c r="BA49" s="76">
        <f>IF(AX49&lt;&gt;"",AX49,IF(AH49&lt;&gt;"BET",0,IF(AI49*Method!$B$10/100&lt;Method!$B$9,0,ROUND(AI49*Method!$B$10/100,0))))</f>
        <v>0</v>
      </c>
      <c r="BB49" s="12">
        <v>-4.5</v>
      </c>
      <c r="BC49" s="12">
        <v>0.6305388813712454</v>
      </c>
      <c r="BD49" s="12">
        <v>0.2572751553145435</v>
      </c>
      <c r="BE49" s="12">
        <v>0.11218596331421124</v>
      </c>
      <c r="BF49" s="14" t="s">
        <v>348</v>
      </c>
      <c r="BG49" s="12">
        <v>1560.0</v>
      </c>
      <c r="BH49" s="14" t="s">
        <v>262</v>
      </c>
      <c r="BI49" s="12">
        <v>475.9</v>
      </c>
    </row>
    <row r="50" ht="15.0" customHeight="1">
      <c r="A50" s="32">
        <v>49.0</v>
      </c>
      <c r="B50" s="59">
        <v>46197.0</v>
      </c>
      <c r="C50" s="60" t="s">
        <v>263</v>
      </c>
      <c r="D50" s="61" t="s">
        <v>53</v>
      </c>
      <c r="E50" s="61" t="s">
        <v>48</v>
      </c>
      <c r="F50" s="61" t="s">
        <v>280</v>
      </c>
      <c r="G50" s="62">
        <v>0.625</v>
      </c>
      <c r="H50" s="62">
        <v>0.9583333333321207</v>
      </c>
      <c r="I50" s="63">
        <v>0.4224776044023155</v>
      </c>
      <c r="J50" s="63">
        <v>0.2898476121493226</v>
      </c>
      <c r="K50" s="63">
        <v>0.2876747834483616</v>
      </c>
      <c r="L50" s="64">
        <f>IF(Matchday!E52="","",Matchday!E52)</f>
        <v>2.6</v>
      </c>
      <c r="M50" s="64">
        <f>IF(Matchday!F52="","",Matchday!F52)</f>
        <v>3.1</v>
      </c>
      <c r="N50" s="64">
        <f>IF(Matchday!G52="","",Matchday!G52)</f>
        <v>3.25</v>
      </c>
      <c r="O50" s="65">
        <f t="shared" ref="O50:Q50" si="111">IF(L50="","",1/L50)</f>
        <v>0.3846153846</v>
      </c>
      <c r="P50" s="65">
        <f t="shared" si="111"/>
        <v>0.3225806452</v>
      </c>
      <c r="Q50" s="65">
        <f t="shared" si="111"/>
        <v>0.3076923077</v>
      </c>
      <c r="R50" s="65">
        <f t="shared" si="4"/>
        <v>1.014888337</v>
      </c>
      <c r="S50" s="65">
        <f t="array" ref="S50">IF($R50="","",IF(Method!$B$56="proportional",O50/$R50,IF(Method!$B$56="power",IFERROR(INDEX(power_devig($L50,$M50,$N50),1,1),O50/$R50),IFERROR(INDEX(shin($L50,$M50,$N50),1,1),O50/$R50))))</f>
        <v>0.3794810046</v>
      </c>
      <c r="T50" s="65">
        <f t="array" ref="T50">IF($R50="","",IF(Method!$B$56="proportional",P50/$R50,IF(Method!$B$56="power",IFERROR(INDEX(power_devig($L50,$M50,$N50),2,1),P50/$R50),IFERROR(INDEX(shin($L50,$M50,$N50),2,1),P50/$R50))))</f>
        <v>0.3176759932</v>
      </c>
      <c r="U50" s="65">
        <f t="array" ref="U50">IF($R50="","",IF(Method!$B$56="proportional",Q50/$R50,IF(Method!$B$56="power",IFERROR(INDEX(power_devig($L50,$M50,$N50),3,1),Q50/$R50),IFERROR(INDEX(shin($L50,$M50,$N50),3,1),Q50/$R50))))</f>
        <v>0.3028430022</v>
      </c>
      <c r="V50" s="65">
        <f>IF(S50="","",Method!$B$4*IF(BC50="",I50,BC50)+(1-Method!$B$4)*S50/($S50+$T50+$U50))</f>
        <v>0.3948314773</v>
      </c>
      <c r="W50" s="65">
        <f>IF(T50="","",Method!$B$4*IF(BD50="",J50,BD50)+(1-Method!$B$4)*T50/($S50+$T50+$U50))</f>
        <v>0.2993880832</v>
      </c>
      <c r="X50" s="65">
        <f>IF(U50="","",Method!$B$4*IF(BE50="",K50,BE50)+(1-Method!$B$4)*U50/($S50+$T50+$U50))</f>
        <v>0.3057804395</v>
      </c>
      <c r="Y50" s="66">
        <f t="shared" ref="Y50:AA50" si="112">IF(V50="","",V50*L50-1)</f>
        <v>0.02656184098</v>
      </c>
      <c r="Z50" s="66">
        <f t="shared" si="112"/>
        <v>-0.07189694214</v>
      </c>
      <c r="AA50" s="66">
        <f t="shared" si="112"/>
        <v>-0.006213571569</v>
      </c>
      <c r="AB50" s="67">
        <f t="shared" si="6"/>
        <v>1</v>
      </c>
      <c r="AC50" s="67" t="str">
        <f t="shared" si="7"/>
        <v>H</v>
      </c>
      <c r="AD50" s="68" t="str">
        <f t="shared" si="8"/>
        <v>1  Switzerland</v>
      </c>
      <c r="AE50" s="35">
        <f t="shared" si="9"/>
        <v>2.6</v>
      </c>
      <c r="AF50" s="66">
        <f t="shared" si="10"/>
        <v>0.02656184098</v>
      </c>
      <c r="AG50" s="66">
        <f t="shared" si="11"/>
        <v>0.01535047269</v>
      </c>
      <c r="AH50" s="69" t="str">
        <f t="array" ref="AH50">IF(AB50="","· enter odds",IF(OR(AF50&gt;Method!$B$87,IFERROR(INDEX(BC50:BE50,1,AB50)/INDEX(S50:U50,1,AB50),0)&gt;Method!$B$88),"PASS",IF(AND(AF50&gt;=Method!$B$7,AG50&gt;=Method!$B$8),"BET","PASS")))</f>
        <v>PASS</v>
      </c>
      <c r="AI50" s="70">
        <f>IF(AH50&lt;&gt;"BET",0,ROUND(MIN(Method!$B$6,Method!$B$5*AL50)*100,1))</f>
        <v>0</v>
      </c>
      <c r="AJ50" s="71">
        <f>IF(OR(AH50&lt;&gt;"BET",Method!$B$55=TRUE()),0,IF(AI50*Method!$B$10/100&lt;Method!$B$9,0,ROUND(AI50*Method!$B$10/100,0)))</f>
        <v>0</v>
      </c>
      <c r="AK50" s="65">
        <f t="shared" si="12"/>
        <v>0.3948314773</v>
      </c>
      <c r="AL50" s="65" t="str">
        <f t="shared" si="13"/>
        <v/>
      </c>
      <c r="AM50" s="67" t="str">
        <f t="shared" si="14"/>
        <v/>
      </c>
      <c r="AN50" s="72" t="str">
        <f>IF(Matchday!N52="","",Matchday!N52)</f>
        <v/>
      </c>
      <c r="AO50" s="64" t="str">
        <f>IF(Matchday!P52="","",Matchday!P52)</f>
        <v/>
      </c>
      <c r="AP50" s="73" t="str">
        <f>IF(Matchday!Q52="","",Matchday!Q52)</f>
        <v/>
      </c>
      <c r="AQ50" s="72" t="str">
        <f>IF(Matchday!R52="","",Matchday!R52)</f>
        <v>H</v>
      </c>
      <c r="AR50" s="74" t="str">
        <f t="shared" si="15"/>
        <v/>
      </c>
      <c r="AS50" s="74" t="str">
        <f t="shared" si="16"/>
        <v/>
      </c>
      <c r="AT50" s="33" t="str">
        <f>IFERROR(__xludf.DUMMYFUNCTION("IF(AB50="""",""Type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pauses."")),IF(AH50=""BET"",IF(AJ50=0,""Edge found but stake rounds under £""&amp;Method!$B$9&amp;"" — skip"",IF(AND(AE50&gt;=6,AG50&gt;=0.15),""🟡 WAIT — long-shot review: odds ""&amp;TEXT(AE50,""0.00"")&amp;"" + edge ""&amp;TEXT(AG50,""0.0%"")"&amp;"&amp;"" — verify sharp-book + team news + stake comfort before Placed=Y"",""Value found: EV ""&amp;TEXT(AF50,""0.0%"")&amp;"", edge ""&amp;TEXT(AG50,""0.0%""))),IF(OR(AF50&gt;Method!$B$87,IFERROR(INDEX(BC50:BE50,1,AB50)/INDEX(S50:U50,1,AB50),0)&gt;Method!$B$88),""🛑 Tail trap "&amp;"— auto-PASS · EV ""&amp;TEXT(AF50,""0.0%"")&amp;"" (cap ""&amp;TEXT(Method!$B$87,""0%"")&amp;"") · model/market ""&amp;TEXT(IFERROR(INDEX(BC50:BE50,1,AB50)/INDEX(S50:U50,1,AB50),0),""0.0"")&amp;""× (cap ""&amp;TEXT(Method!$B$88,""0.0"")&amp;""×)"",IF(AF50&lt;Method!$B$7,""Price too short —"&amp;" EV ""&amp;TEXT(AF50,""0.0%"")&amp;"" (need ""&amp;TEXT(Method!$B$7,""0.0%"")&amp;""+)"",""Model ≈ market — edge ""&amp;TEXT(AG50,""0.0%"")&amp;"" (need ""&amp;TEXT(Method!$B$8,""0.0%"")&amp;""+)"")))))"),"Model ≈ market — edge 1.5% (need 2.5%+)")</f>
        <v>Model ≈ market — edge 1.5% (need 2.5%+)</v>
      </c>
      <c r="AU50" s="33" t="str">
        <f t="shared" si="17"/>
        <v/>
      </c>
      <c r="AV50" s="32" t="str">
        <f>IF(Matchday!O52="","",Matchday!O52)</f>
        <v/>
      </c>
      <c r="AW50" s="75"/>
      <c r="AX50" s="75"/>
      <c r="AY50" s="75"/>
      <c r="AZ50" s="75" t="str">
        <f t="shared" si="18"/>
        <v>PASS</v>
      </c>
      <c r="BA50" s="76">
        <f>IF(AX50&lt;&gt;"",AX50,IF(AH50&lt;&gt;"BET",0,IF(AI50*Method!$B$10/100&lt;Method!$B$9,0,ROUND(AI50*Method!$B$10/100,0))))</f>
        <v>0</v>
      </c>
      <c r="BB50" s="12">
        <v>-27.46</v>
      </c>
      <c r="BC50" s="12">
        <v>0.4233394980044986</v>
      </c>
      <c r="BD50" s="12">
        <v>0.26542482170135884</v>
      </c>
      <c r="BE50" s="12">
        <v>0.31123568029414245</v>
      </c>
      <c r="BF50" s="14" t="s">
        <v>349</v>
      </c>
      <c r="BG50" s="12">
        <v>0.0</v>
      </c>
      <c r="BH50" s="14" t="s">
        <v>283</v>
      </c>
      <c r="BI50" s="12">
        <v>1748.5</v>
      </c>
    </row>
    <row r="51" ht="15.0" customHeight="1">
      <c r="A51" s="32">
        <v>50.0</v>
      </c>
      <c r="B51" s="59">
        <v>46197.0</v>
      </c>
      <c r="C51" s="60" t="s">
        <v>263</v>
      </c>
      <c r="D51" s="61" t="s">
        <v>49</v>
      </c>
      <c r="E51" s="61" t="s">
        <v>52</v>
      </c>
      <c r="F51" s="61" t="s">
        <v>302</v>
      </c>
      <c r="G51" s="62">
        <v>0.625</v>
      </c>
      <c r="H51" s="62">
        <v>0.9583333333321207</v>
      </c>
      <c r="I51" s="63">
        <v>0.42561697917402475</v>
      </c>
      <c r="J51" s="63">
        <v>0.3006765139757707</v>
      </c>
      <c r="K51" s="63">
        <v>0.2737065068502045</v>
      </c>
      <c r="L51" s="64">
        <f>IF(Matchday!E53="","",Matchday!E53)</f>
        <v>1.45</v>
      </c>
      <c r="M51" s="64">
        <f>IF(Matchday!F53="","",Matchday!F53)</f>
        <v>5.2</v>
      </c>
      <c r="N51" s="64">
        <f>IF(Matchday!G53="","",Matchday!G53)</f>
        <v>8</v>
      </c>
      <c r="O51" s="65">
        <f t="shared" ref="O51:Q51" si="113">IF(L51="","",1/L51)</f>
        <v>0.6896551724</v>
      </c>
      <c r="P51" s="65">
        <f t="shared" si="113"/>
        <v>0.1923076923</v>
      </c>
      <c r="Q51" s="65">
        <f t="shared" si="113"/>
        <v>0.125</v>
      </c>
      <c r="R51" s="65">
        <f t="shared" si="4"/>
        <v>1.006962865</v>
      </c>
      <c r="S51" s="65">
        <f t="array" ref="S51">IF($R51="","",IF(Method!$B$56="proportional",O51/$R51,IF(Method!$B$56="power",IFERROR(INDEX(power_devig($L51,$M51,$N51),1,1),O51/$R51),IFERROR(INDEX(shin($L51,$M51,$N51),1,1),O51/$R51))))</f>
        <v>0.6867201601</v>
      </c>
      <c r="T51" s="65">
        <f t="array" ref="T51">IF($R51="","",IF(Method!$B$56="proportional",P51/$R51,IF(Method!$B$56="power",IFERROR(INDEX(power_devig($L51,$M51,$N51),2,1),P51/$R51),IFERROR(INDEX(shin($L51,$M51,$N51),2,1),P51/$R51))))</f>
        <v>0.1902337405</v>
      </c>
      <c r="U51" s="65">
        <f t="array" ref="U51">IF($R51="","",IF(Method!$B$56="proportional",Q51/$R51,IF(Method!$B$56="power",IFERROR(INDEX(power_devig($L51,$M51,$N51),3,1),Q51/$R51),IFERROR(INDEX(shin($L51,$M51,$N51),3,1),Q51/$R51))))</f>
        <v>0.1230460994</v>
      </c>
      <c r="V51" s="65">
        <f>IF(S51="","",Method!$B$4*IF(BC51="",I51,BC51)+(1-Method!$B$4)*S51/($S51+$T51+$U51))</f>
        <v>0.599000688</v>
      </c>
      <c r="W51" s="65">
        <f>IF(T51="","",Method!$B$4*IF(BD51="",J51,BD51)+(1-Method!$B$4)*T51/($S51+$T51+$U51))</f>
        <v>0.2158982936</v>
      </c>
      <c r="X51" s="65">
        <f>IF(U51="","",Method!$B$4*IF(BE51="",K51,BE51)+(1-Method!$B$4)*U51/($S51+$T51+$U51))</f>
        <v>0.1851010184</v>
      </c>
      <c r="Y51" s="66">
        <f t="shared" ref="Y51:AA51" si="114">IF(V51="","",V51*L51-1)</f>
        <v>-0.1314490024</v>
      </c>
      <c r="Z51" s="66">
        <f t="shared" si="114"/>
        <v>0.1226711267</v>
      </c>
      <c r="AA51" s="66">
        <f t="shared" si="114"/>
        <v>0.4808081471</v>
      </c>
      <c r="AB51" s="67">
        <f t="shared" si="6"/>
        <v>3</v>
      </c>
      <c r="AC51" s="67" t="str">
        <f t="shared" si="7"/>
        <v>A</v>
      </c>
      <c r="AD51" s="68" t="str">
        <f t="shared" si="8"/>
        <v>2  Qatar</v>
      </c>
      <c r="AE51" s="35">
        <f t="shared" si="9"/>
        <v>8</v>
      </c>
      <c r="AF51" s="66">
        <f t="shared" si="10"/>
        <v>0.4808081471</v>
      </c>
      <c r="AG51" s="66">
        <f t="shared" si="11"/>
        <v>0.06205491901</v>
      </c>
      <c r="AH51" s="69" t="str">
        <f t="array" ref="AH51">IF(AB51="","· enter odds",IF(OR(AF51&gt;Method!$B$87,IFERROR(INDEX(BC51:BE51,1,AB51)/INDEX(S51:U51,1,AB51),0)&gt;Method!$B$88),"PASS",IF(AND(AF51&gt;=Method!$B$7,AG51&gt;=Method!$B$8),"BET","PASS")))</f>
        <v>PASS</v>
      </c>
      <c r="AI51" s="70">
        <f>IF(AH51&lt;&gt;"BET",0,ROUND(MIN(Method!$B$6,Method!$B$5*AL51)*100,1))</f>
        <v>0</v>
      </c>
      <c r="AJ51" s="71">
        <f>IF(OR(AH51&lt;&gt;"BET",Method!$B$55=TRUE()),0,IF(AI51*Method!$B$10/100&lt;Method!$B$9,0,ROUND(AI51*Method!$B$10/100,0)))</f>
        <v>0</v>
      </c>
      <c r="AK51" s="65">
        <f t="shared" si="12"/>
        <v>0.1851010184</v>
      </c>
      <c r="AL51" s="65" t="str">
        <f t="shared" si="13"/>
        <v/>
      </c>
      <c r="AM51" s="67" t="str">
        <f t="shared" si="14"/>
        <v/>
      </c>
      <c r="AN51" s="72" t="str">
        <f>IF(Matchday!N53="","",Matchday!N53)</f>
        <v/>
      </c>
      <c r="AO51" s="64" t="str">
        <f>IF(Matchday!P53="","",Matchday!P53)</f>
        <v/>
      </c>
      <c r="AP51" s="73" t="str">
        <f>IF(Matchday!Q53="","",Matchday!Q53)</f>
        <v/>
      </c>
      <c r="AQ51" s="72" t="str">
        <f>IF(Matchday!R53="","",Matchday!R53)</f>
        <v>H</v>
      </c>
      <c r="AR51" s="74" t="str">
        <f t="shared" si="15"/>
        <v/>
      </c>
      <c r="AS51" s="74" t="str">
        <f t="shared" si="16"/>
        <v/>
      </c>
      <c r="AT51" s="33" t="str">
        <f>IFERROR(__xludf.DUMMYFUNCTION("IF(AB51="""",""Type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pauses."")),IF(AH51=""BET"",IF(AJ51=0,""Edge found but stake rounds under £""&amp;Method!$B$9&amp;"" — skip"",IF(AND(AE51&gt;=6,AG51&gt;=0.15),""🟡 WAIT — long-shot review: odds ""&amp;TEXT(AE51,""0.00"")&amp;"" + edge ""&amp;TEXT(AG51,""0.0%"")"&amp;"&amp;"" — verify sharp-book + team news + stake comfort before Placed=Y"",""Value found: EV ""&amp;TEXT(AF51,""0.0%"")&amp;"", edge ""&amp;TEXT(AG51,""0.0%""))),IF(OR(AF51&gt;Method!$B$87,IFERROR(INDEX(BC51:BE51,1,AB51)/INDEX(S51:U51,1,AB51),0)&gt;Method!$B$88),""🛑 Tail trap "&amp;"— auto-PASS · EV ""&amp;TEXT(AF51,""0.0%"")&amp;"" (cap ""&amp;TEXT(Method!$B$87,""0%"")&amp;"") · model/market ""&amp;TEXT(IFERROR(INDEX(BC51:BE51,1,AB51)/INDEX(S51:U51,1,AB51),0),""0.0"")&amp;""× (cap ""&amp;TEXT(Method!$B$88,""0.0"")&amp;""×)"",IF(AF51&lt;Method!$B$7,""Price too short —"&amp;" EV ""&amp;TEXT(AF51,""0.0%"")&amp;"" (need ""&amp;TEXT(Method!$B$7,""0.0%"")&amp;""+)"",""Model ≈ market — edge ""&amp;TEXT(AG51,""0.0%"")&amp;"" (need ""&amp;TEXT(Method!$B$8,""0.0%"")&amp;""+)"")))))"),"🛑 Tail trap — auto-PASS · EV 48.1% (cap 30%) · model/market 2.4× (cap 2.5×)")</f>
        <v>🛑 Tail trap — auto-PASS · EV 48.1% (cap 30%) · model/market 2.4× (cap 2.5×)</v>
      </c>
      <c r="AU51" s="33" t="str">
        <f t="shared" si="17"/>
        <v/>
      </c>
      <c r="AV51" s="32" t="str">
        <f>IF(Matchday!O53="","",Matchday!O53)</f>
        <v/>
      </c>
      <c r="AW51" s="75"/>
      <c r="AX51" s="75"/>
      <c r="AY51" s="75"/>
      <c r="AZ51" s="75" t="str">
        <f t="shared" si="18"/>
        <v>PASS</v>
      </c>
      <c r="BA51" s="76">
        <f>IF(AX51&lt;&gt;"",AX51,IF(AH51&lt;&gt;"BET",0,IF(AI51*Method!$B$10/100&lt;Method!$B$9,0,ROUND(AI51*Method!$B$10/100,0))))</f>
        <v>0</v>
      </c>
      <c r="BB51" s="12">
        <v>-62.18</v>
      </c>
      <c r="BC51" s="12">
        <v>0.43609309707545574</v>
      </c>
      <c r="BD51" s="12">
        <v>0.2635610349423116</v>
      </c>
      <c r="BE51" s="12">
        <v>0.30034586798223273</v>
      </c>
      <c r="BF51" s="14" t="s">
        <v>350</v>
      </c>
      <c r="BG51" s="12">
        <v>5.0</v>
      </c>
      <c r="BH51" s="14" t="s">
        <v>266</v>
      </c>
      <c r="BI51" s="12">
        <v>1553.1</v>
      </c>
    </row>
    <row r="52" ht="15.0" customHeight="1">
      <c r="A52" s="32">
        <v>51.0</v>
      </c>
      <c r="B52" s="59">
        <v>46197.0</v>
      </c>
      <c r="C52" s="60" t="s">
        <v>274</v>
      </c>
      <c r="D52" s="61" t="s">
        <v>57</v>
      </c>
      <c r="E52" s="61" t="s">
        <v>54</v>
      </c>
      <c r="F52" s="61" t="s">
        <v>304</v>
      </c>
      <c r="G52" s="62">
        <v>0.75</v>
      </c>
      <c r="H52" s="62">
        <v>0.9583333333321207</v>
      </c>
      <c r="I52" s="63">
        <v>0.238647245507354</v>
      </c>
      <c r="J52" s="63">
        <v>0.2681262022070766</v>
      </c>
      <c r="K52" s="63">
        <v>0.4932265522855694</v>
      </c>
      <c r="L52" s="64">
        <f>IF(Matchday!E54="","",Matchday!E54)</f>
        <v>10</v>
      </c>
      <c r="M52" s="64">
        <f>IF(Matchday!F54="","",Matchday!F54)</f>
        <v>5.5</v>
      </c>
      <c r="N52" s="64">
        <f>IF(Matchday!G54="","",Matchday!G54)</f>
        <v>1.3</v>
      </c>
      <c r="O52" s="65">
        <f t="shared" ref="O52:Q52" si="115">IF(L52="","",1/L52)</f>
        <v>0.1</v>
      </c>
      <c r="P52" s="65">
        <f t="shared" si="115"/>
        <v>0.1818181818</v>
      </c>
      <c r="Q52" s="65">
        <f t="shared" si="115"/>
        <v>0.7692307692</v>
      </c>
      <c r="R52" s="65">
        <f t="shared" si="4"/>
        <v>1.051048951</v>
      </c>
      <c r="S52" s="65">
        <f t="array" ref="S52">IF($R52="","",IF(Method!$B$56="proportional",O52/$R52,IF(Method!$B$56="power",IFERROR(INDEX(power_devig($L52,$M52,$N52),1,1),O52/$R52),IFERROR(INDEX(shin($L52,$M52,$N52),1,1),O52/$R52))))</f>
        <v>0.08626752983</v>
      </c>
      <c r="T52" s="65">
        <f t="array" ref="T52">IF($R52="","",IF(Method!$B$56="proportional",P52/$R52,IF(Method!$B$56="power",IFERROR(INDEX(power_devig($L52,$M52,$N52),2,1),P52/$R52),IFERROR(INDEX(shin($L52,$M52,$N52),2,1),P52/$R52))))</f>
        <v>0.1667329535</v>
      </c>
      <c r="U52" s="65">
        <f t="array" ref="U52">IF($R52="","",IF(Method!$B$56="proportional",Q52/$R52,IF(Method!$B$56="power",IFERROR(INDEX(power_devig($L52,$M52,$N52),3,1),Q52/$R52),IFERROR(INDEX(shin($L52,$M52,$N52),3,1),Q52/$R52))))</f>
        <v>0.7469995167</v>
      </c>
      <c r="V52" s="65">
        <f>IF(S52="","",Method!$B$4*IF(BC52="",I52,BC52)+(1-Method!$B$4)*S52/($S52+$T52+$U52))</f>
        <v>0.1354379975</v>
      </c>
      <c r="W52" s="65">
        <f>IF(T52="","",Method!$B$4*IF(BD52="",J52,BD52)+(1-Method!$B$4)*T52/($S52+$T52+$U52))</f>
        <v>0.2063262894</v>
      </c>
      <c r="X52" s="65">
        <f>IF(U52="","",Method!$B$4*IF(BE52="",K52,BE52)+(1-Method!$B$4)*U52/($S52+$T52+$U52))</f>
        <v>0.6582357131</v>
      </c>
      <c r="Y52" s="66">
        <f t="shared" ref="Y52:AA52" si="116">IF(V52="","",V52*L52-1)</f>
        <v>0.3543799747</v>
      </c>
      <c r="Z52" s="66">
        <f t="shared" si="116"/>
        <v>0.1347945919</v>
      </c>
      <c r="AA52" s="66">
        <f t="shared" si="116"/>
        <v>-0.144293573</v>
      </c>
      <c r="AB52" s="67">
        <f t="shared" si="6"/>
        <v>1</v>
      </c>
      <c r="AC52" s="67" t="str">
        <f t="shared" si="7"/>
        <v>H</v>
      </c>
      <c r="AD52" s="68" t="str">
        <f t="shared" si="8"/>
        <v>1  Scotland</v>
      </c>
      <c r="AE52" s="35">
        <f t="shared" si="9"/>
        <v>10</v>
      </c>
      <c r="AF52" s="66">
        <f t="shared" si="10"/>
        <v>0.3543799747</v>
      </c>
      <c r="AG52" s="66">
        <f t="shared" si="11"/>
        <v>0.04917046764</v>
      </c>
      <c r="AH52" s="69" t="str">
        <f t="array" ref="AH52">IF(AB52="","· enter odds",IF(OR(AF52&gt;Method!$B$87,IFERROR(INDEX(BC52:BE52,1,AB52)/INDEX(S52:U52,1,AB52),0)&gt;Method!$B$88),"PASS",IF(AND(AF52&gt;=Method!$B$7,AG52&gt;=Method!$B$8),"BET","PASS")))</f>
        <v>PASS</v>
      </c>
      <c r="AI52" s="70">
        <f>IF(AH52&lt;&gt;"BET",0,ROUND(MIN(Method!$B$6,Method!$B$5*AL52)*100,1))</f>
        <v>0</v>
      </c>
      <c r="AJ52" s="71">
        <f>IF(OR(AH52&lt;&gt;"BET",Method!$B$55=TRUE()),0,IF(AI52*Method!$B$10/100&lt;Method!$B$9,0,ROUND(AI52*Method!$B$10/100,0)))</f>
        <v>0</v>
      </c>
      <c r="AK52" s="65">
        <f t="shared" si="12"/>
        <v>0.1354379975</v>
      </c>
      <c r="AL52" s="65" t="str">
        <f t="shared" si="13"/>
        <v/>
      </c>
      <c r="AM52" s="67" t="str">
        <f t="shared" si="14"/>
        <v/>
      </c>
      <c r="AN52" s="72" t="str">
        <f>IF(Matchday!N54="","",Matchday!N54)</f>
        <v>Y</v>
      </c>
      <c r="AO52" s="64">
        <f>IF(Matchday!P54="","",Matchday!P54)</f>
        <v>7.5</v>
      </c>
      <c r="AP52" s="73">
        <f>IF(Matchday!Q54="","",Matchday!Q54)</f>
        <v>7.5</v>
      </c>
      <c r="AQ52" s="72" t="str">
        <f>IF(Matchday!R54="","",Matchday!R54)</f>
        <v>A</v>
      </c>
      <c r="AR52" s="74">
        <f t="shared" si="15"/>
        <v>-7.5</v>
      </c>
      <c r="AS52" s="74">
        <f t="shared" si="16"/>
        <v>0.4</v>
      </c>
      <c r="AT52" s="33" t="str">
        <f>IFERROR(__xludf.DUMMYFUNCTION("IF(AB52="""",""Type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pauses."")),IF(AH52=""BET"",IF(AJ52=0,""Edge found but stake rounds under £""&amp;Method!$B$9&amp;"" — skip"",IF(AND(AE52&gt;=6,AG52&gt;=0.15),""🟡 WAIT — long-shot review: odds ""&amp;TEXT(AE52,""0.00"")&amp;"" + edge ""&amp;TEXT(AG52,""0.0%"")"&amp;"&amp;"" — verify sharp-book + team news + stake comfort before Placed=Y"",""Value found: EV ""&amp;TEXT(AF52,""0.0%"")&amp;"", edge ""&amp;TEXT(AG52,""0.0%""))),IF(OR(AF52&gt;Method!$B$87,IFERROR(INDEX(BC52:BE52,1,AB52)/INDEX(S52:U52,1,AB52),0)&gt;Method!$B$88),""🛑 Tail trap "&amp;"— auto-PASS · EV ""&amp;TEXT(AF52,""0.0%"")&amp;"" (cap ""&amp;TEXT(Method!$B$87,""0%"")&amp;"") · model/market ""&amp;TEXT(IFERROR(INDEX(BC52:BE52,1,AB52)/INDEX(S52:U52,1,AB52),0),""0.0"")&amp;""× (cap ""&amp;TEXT(Method!$B$88,""0.0"")&amp;""×)"",IF(AF52&lt;Method!$B$7,""Price too short —"&amp;" EV ""&amp;TEXT(AF52,""0.0%"")&amp;"" (need ""&amp;TEXT(Method!$B$7,""0.0%"")&amp;""+)"",""Model ≈ market — edge ""&amp;TEXT(AG52,""0.0%"")&amp;"" (need ""&amp;TEXT(Method!$B$8,""0.0%"")&amp;""+)"")))))"),"🛑 Tail trap — auto-PASS · EV 35.4% (cap 30%) · model/market 2.6× (cap 2.5×)")</f>
        <v>🛑 Tail trap — auto-PASS · EV 35.4% (cap 30%) · model/market 2.6× (cap 2.5×)</v>
      </c>
      <c r="AU52" s="33" t="str">
        <f t="shared" si="17"/>
        <v>⚠ odds moved — re-check value</v>
      </c>
      <c r="AV52" s="32" t="str">
        <f>IF(Matchday!O54="","",Matchday!O54)</f>
        <v>H</v>
      </c>
      <c r="AW52" s="75" t="s">
        <v>260</v>
      </c>
      <c r="AX52" s="75">
        <v>12.0</v>
      </c>
      <c r="AY52" s="75" t="s">
        <v>111</v>
      </c>
      <c r="AZ52" s="75" t="str">
        <f t="shared" si="18"/>
        <v>BET</v>
      </c>
      <c r="BA52" s="76">
        <f>IF(AX52&lt;&gt;"",AX52,IF(AH52&lt;&gt;"BET",0,IF(AI52*Method!$B$10/100&lt;Method!$B$9,0,ROUND(AI52*Method!$B$10/100,0))))</f>
        <v>12</v>
      </c>
      <c r="BB52" s="12">
        <v>-20.770000000000003</v>
      </c>
      <c r="BC52" s="12">
        <v>0.2267545802245396</v>
      </c>
      <c r="BD52" s="12">
        <v>0.27985677040469764</v>
      </c>
      <c r="BE52" s="12">
        <v>0.4933886493707627</v>
      </c>
      <c r="BF52" s="14" t="s">
        <v>351</v>
      </c>
      <c r="BG52" s="12">
        <v>2.0</v>
      </c>
      <c r="BH52" s="14" t="s">
        <v>306</v>
      </c>
      <c r="BI52" s="12">
        <v>1972.5</v>
      </c>
    </row>
    <row r="53" ht="15.0" customHeight="1">
      <c r="A53" s="32">
        <v>52.0</v>
      </c>
      <c r="B53" s="59">
        <v>46197.0</v>
      </c>
      <c r="C53" s="60" t="s">
        <v>274</v>
      </c>
      <c r="D53" s="61" t="s">
        <v>55</v>
      </c>
      <c r="E53" s="61" t="s">
        <v>56</v>
      </c>
      <c r="F53" s="61" t="s">
        <v>298</v>
      </c>
      <c r="G53" s="62">
        <v>0.75</v>
      </c>
      <c r="H53" s="62">
        <v>0.9583333333321207</v>
      </c>
      <c r="I53" s="63">
        <v>0.6702135781406027</v>
      </c>
      <c r="J53" s="63">
        <v>0.22305065696565785</v>
      </c>
      <c r="K53" s="63">
        <v>0.10673576489373944</v>
      </c>
      <c r="L53" s="64">
        <f>IF(Matchday!E55="","",Matchday!E55)</f>
        <v>1.33</v>
      </c>
      <c r="M53" s="64">
        <f>IF(Matchday!F55="","",Matchday!F55)</f>
        <v>5.5</v>
      </c>
      <c r="N53" s="64">
        <f>IF(Matchday!G55="","",Matchday!G55)</f>
        <v>11</v>
      </c>
      <c r="O53" s="65">
        <f t="shared" ref="O53:Q53" si="117">IF(L53="","",1/L53)</f>
        <v>0.7518796992</v>
      </c>
      <c r="P53" s="65">
        <f t="shared" si="117"/>
        <v>0.1818181818</v>
      </c>
      <c r="Q53" s="65">
        <f t="shared" si="117"/>
        <v>0.09090909091</v>
      </c>
      <c r="R53" s="65">
        <f t="shared" si="4"/>
        <v>1.024606972</v>
      </c>
      <c r="S53" s="65">
        <f t="array" ref="S53">IF($R53="","",IF(Method!$B$56="proportional",O53/$R53,IF(Method!$B$56="power",IFERROR(INDEX(power_devig($L53,$M53,$N53),1,1),O53/$R53),IFERROR(INDEX(shin($L53,$M53,$N53),1,1),O53/$R53))))</f>
        <v>0.741182193</v>
      </c>
      <c r="T53" s="65">
        <f t="array" ref="T53">IF($R53="","",IF(Method!$B$56="proportional",P53/$R53,IF(Method!$B$56="power",IFERROR(INDEX(power_devig($L53,$M53,$N53),2,1),P53/$R53),IFERROR(INDEX(shin($L53,$M53,$N53),2,1),P53/$R53))))</f>
        <v>0.174542153</v>
      </c>
      <c r="U53" s="65">
        <f t="array" ref="U53">IF($R53="","",IF(Method!$B$56="proportional",Q53/$R53,IF(Method!$B$56="power",IFERROR(INDEX(power_devig($L53,$M53,$N53),3,1),Q53/$R53),IFERROR(INDEX(shin($L53,$M53,$N53),3,1),Q53/$R53))))</f>
        <v>0.08427565405</v>
      </c>
      <c r="V53" s="65">
        <f>IF(S53="","",Method!$B$4*IF(BC53="",I53,BC53)+(1-Method!$B$4)*S53/($S53+$T53+$U53))</f>
        <v>0.7054234068</v>
      </c>
      <c r="W53" s="65">
        <f>IF(T53="","",Method!$B$4*IF(BD53="",J53,BD53)+(1-Method!$B$4)*T53/($S53+$T53+$U53))</f>
        <v>0.2014579608</v>
      </c>
      <c r="X53" s="65">
        <f>IF(U53="","",Method!$B$4*IF(BE53="",K53,BE53)+(1-Method!$B$4)*U53/($S53+$T53+$U53))</f>
        <v>0.09311863239</v>
      </c>
      <c r="Y53" s="66">
        <f t="shared" ref="Y53:AA53" si="118">IF(V53="","",V53*L53-1)</f>
        <v>-0.06178686896</v>
      </c>
      <c r="Z53" s="66">
        <f t="shared" si="118"/>
        <v>0.1080187845</v>
      </c>
      <c r="AA53" s="66">
        <f t="shared" si="118"/>
        <v>0.02430495627</v>
      </c>
      <c r="AB53" s="67">
        <f t="shared" si="6"/>
        <v>2</v>
      </c>
      <c r="AC53" s="67" t="str">
        <f t="shared" si="7"/>
        <v>D</v>
      </c>
      <c r="AD53" s="68" t="str">
        <f t="shared" si="8"/>
        <v>X  Draw</v>
      </c>
      <c r="AE53" s="35">
        <f t="shared" si="9"/>
        <v>5.5</v>
      </c>
      <c r="AF53" s="66">
        <f t="shared" si="10"/>
        <v>0.1080187845</v>
      </c>
      <c r="AG53" s="66">
        <f t="shared" si="11"/>
        <v>0.02691580784</v>
      </c>
      <c r="AH53" s="69" t="str">
        <f t="array" ref="AH53">IF(AB53="","· enter odds",IF(OR(AF53&gt;Method!$B$87,IFERROR(INDEX(BC53:BE53,1,AB53)/INDEX(S53:U53,1,AB53),0)&gt;Method!$B$88),"PASS",IF(AND(AF53&gt;=Method!$B$7,AG53&gt;=Method!$B$8),"BET","PASS")))</f>
        <v>BET</v>
      </c>
      <c r="AI53" s="70">
        <f>IF(AH53&lt;&gt;"BET",0,ROUND(MIN(Method!$B$6,Method!$B$5*AL53)*100,1))</f>
        <v>0.6</v>
      </c>
      <c r="AJ53" s="71">
        <f>IF(OR(AH53&lt;&gt;"BET",Method!$B$55=TRUE()),0,IF(AI53*Method!$B$10/100&lt;Method!$B$9,0,ROUND(AI53*Method!$B$10/100,0)))</f>
        <v>6</v>
      </c>
      <c r="AK53" s="65">
        <f t="shared" si="12"/>
        <v>0.2014579608</v>
      </c>
      <c r="AL53" s="65">
        <f t="shared" si="13"/>
        <v>0.02400417433</v>
      </c>
      <c r="AM53" s="66">
        <f t="shared" si="14"/>
        <v>0.1080707845</v>
      </c>
      <c r="AN53" s="72" t="str">
        <f>IF(Matchday!N55="","",Matchday!N55)</f>
        <v/>
      </c>
      <c r="AO53" s="64" t="str">
        <f>IF(Matchday!P55="","",Matchday!P55)</f>
        <v/>
      </c>
      <c r="AP53" s="73" t="str">
        <f>IF(Matchday!Q55="","",Matchday!Q55)</f>
        <v/>
      </c>
      <c r="AQ53" s="72" t="str">
        <f>IF(Matchday!R55="","",Matchday!R55)</f>
        <v>H</v>
      </c>
      <c r="AR53" s="74" t="str">
        <f t="shared" si="15"/>
        <v/>
      </c>
      <c r="AS53" s="74" t="str">
        <f t="shared" si="16"/>
        <v/>
      </c>
      <c r="AT53" s="33" t="str">
        <f>IFERROR(__xludf.DUMMYFUNCTION("IF(AB53="""",""Type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pauses."")),IF(AH53=""BET"",IF(AJ53=0,""Edge found but stake rounds under £""&amp;Method!$B$9&amp;"" — skip"",IF(AND(AE53&gt;=6,AG53&gt;=0.15),""🟡 WAIT — long-shot review: odds ""&amp;TEXT(AE53,""0.00"")&amp;"" + edge ""&amp;TEXT(AG53,""0.0%"")"&amp;"&amp;"" — verify sharp-book + team news + stake comfort before Placed=Y"",""Value found: EV ""&amp;TEXT(AF53,""0.0%"")&amp;"", edge ""&amp;TEXT(AG53,""0.0%""))),IF(OR(AF53&gt;Method!$B$87,IFERROR(INDEX(BC53:BE53,1,AB53)/INDEX(S53:U53,1,AB53),0)&gt;Method!$B$88),""🛑 Tail trap "&amp;"— auto-PASS · EV ""&amp;TEXT(AF53,""0.0%"")&amp;"" (cap ""&amp;TEXT(Method!$B$87,""0%"")&amp;"") · model/market ""&amp;TEXT(IFERROR(INDEX(BC53:BE53,1,AB53)/INDEX(S53:U53,1,AB53),0),""0.0"")&amp;""× (cap ""&amp;TEXT(Method!$B$88,""0.0"")&amp;""×)"",IF(AF53&lt;Method!$B$7,""Price too short —"&amp;" EV ""&amp;TEXT(AF53,""0.0%"")&amp;"" (need ""&amp;TEXT(Method!$B$7,""0.0%"")&amp;""+)"",""Model ≈ market — edge ""&amp;TEXT(AG53,""0.0%"")&amp;"" (need ""&amp;TEXT(Method!$B$8,""0.0%"")&amp;""+)"")))))"),"Value found: EV 10.8%, edge 2.7%")</f>
        <v>Value found: EV 10.8%, edge 2.7%</v>
      </c>
      <c r="AU53" s="33" t="str">
        <f t="shared" si="17"/>
        <v/>
      </c>
      <c r="AV53" s="32" t="str">
        <f>IF(Matchday!O55="","",Matchday!O55)</f>
        <v/>
      </c>
      <c r="AW53" s="75"/>
      <c r="AX53" s="75"/>
      <c r="AY53" s="75"/>
      <c r="AZ53" s="75" t="str">
        <f t="shared" si="18"/>
        <v>BET</v>
      </c>
      <c r="BA53" s="76">
        <f>IF(AX53&lt;&gt;"",AX53,IF(AH53&lt;&gt;"BET",0,IF(AI53*Method!$B$10/100&lt;Method!$B$9,0,ROUND(AI53*Method!$B$10/100,0))))</f>
        <v>6</v>
      </c>
      <c r="BB53" s="12">
        <v>-14.04</v>
      </c>
      <c r="BC53" s="12">
        <v>0.6390142324699417</v>
      </c>
      <c r="BD53" s="12">
        <v>0.25144446108560664</v>
      </c>
      <c r="BE53" s="12">
        <v>0.10954130644445177</v>
      </c>
      <c r="BF53" s="14" t="s">
        <v>352</v>
      </c>
      <c r="BG53" s="12">
        <v>320.0</v>
      </c>
      <c r="BH53" s="14" t="s">
        <v>300</v>
      </c>
      <c r="BI53" s="12">
        <v>1475.8</v>
      </c>
    </row>
    <row r="54" ht="15.0" customHeight="1">
      <c r="A54" s="32">
        <v>53.0</v>
      </c>
      <c r="B54" s="59">
        <v>46197.0</v>
      </c>
      <c r="C54" s="60" t="s">
        <v>112</v>
      </c>
      <c r="D54" s="61" t="s">
        <v>47</v>
      </c>
      <c r="E54" s="61" t="s">
        <v>44</v>
      </c>
      <c r="F54" s="61" t="s">
        <v>255</v>
      </c>
      <c r="G54" s="62">
        <v>0.875</v>
      </c>
      <c r="H54" s="60" t="s">
        <v>353</v>
      </c>
      <c r="I54" s="63">
        <v>0.12391634266590651</v>
      </c>
      <c r="J54" s="63">
        <v>0.23492115017187812</v>
      </c>
      <c r="K54" s="63">
        <v>0.6411625071622153</v>
      </c>
      <c r="L54" s="64">
        <f>IF(Matchday!E56="","",Matchday!E56)</f>
        <v>3.75</v>
      </c>
      <c r="M54" s="64">
        <f>IF(Matchday!F56="","",Matchday!F56)</f>
        <v>3.8</v>
      </c>
      <c r="N54" s="64">
        <f>IF(Matchday!G56="","",Matchday!G56)</f>
        <v>1.9</v>
      </c>
      <c r="O54" s="65">
        <f t="shared" ref="O54:Q54" si="119">IF(L54="","",1/L54)</f>
        <v>0.2666666667</v>
      </c>
      <c r="P54" s="65">
        <f t="shared" si="119"/>
        <v>0.2631578947</v>
      </c>
      <c r="Q54" s="65">
        <f t="shared" si="119"/>
        <v>0.5263157895</v>
      </c>
      <c r="R54" s="65">
        <f t="shared" si="4"/>
        <v>1.056140351</v>
      </c>
      <c r="S54" s="65">
        <f t="array" ref="S54">IF($R54="","",IF(Method!$B$56="proportional",O54/$R54,IF(Method!$B$56="power",IFERROR(INDEX(power_devig($L54,$M54,$N54),1,1),O54/$R54),IFERROR(INDEX(shin($L54,$M54,$N54),1,1),O54/$R54))))</f>
        <v>0.249121698</v>
      </c>
      <c r="T54" s="65">
        <f t="array" ref="T54">IF($R54="","",IF(Method!$B$56="proportional",P54/$R54,IF(Method!$B$56="power",IFERROR(INDEX(power_devig($L54,$M54,$N54),2,1),P54/$R54),IFERROR(INDEX(shin($L54,$M54,$N54),2,1),P54/$R54))))</f>
        <v>0.2456636337</v>
      </c>
      <c r="U54" s="65">
        <f t="array" ref="U54">IF($R54="","",IF(Method!$B$56="proportional",Q54/$R54,IF(Method!$B$56="power",IFERROR(INDEX(power_devig($L54,$M54,$N54),3,1),Q54/$R54),IFERROR(INDEX(shin($L54,$M54,$N54),3,1),Q54/$R54))))</f>
        <v>0.5052146683</v>
      </c>
      <c r="V54" s="65">
        <f>IF(S54="","",Method!$B$4*IF(BC54="",I54,BC54)+(1-Method!$B$4)*S54/($S54+$T54+$U54))</f>
        <v>0.2000364094</v>
      </c>
      <c r="W54" s="65">
        <f>IF(T54="","",Method!$B$4*IF(BD54="",J54,BD54)+(1-Method!$B$4)*T54/($S54+$T54+$U54))</f>
        <v>0.2518266766</v>
      </c>
      <c r="X54" s="65">
        <f>IF(U54="","",Method!$B$4*IF(BE54="",K54,BE54)+(1-Method!$B$4)*U54/($S54+$T54+$U54))</f>
        <v>0.548136914</v>
      </c>
      <c r="Y54" s="66">
        <f t="shared" ref="Y54:AA54" si="120">IF(V54="","",V54*L54-1)</f>
        <v>-0.2498634648</v>
      </c>
      <c r="Z54" s="66">
        <f t="shared" si="120"/>
        <v>-0.04305862896</v>
      </c>
      <c r="AA54" s="66">
        <f t="shared" si="120"/>
        <v>0.04146013663</v>
      </c>
      <c r="AB54" s="67">
        <f t="shared" si="6"/>
        <v>3</v>
      </c>
      <c r="AC54" s="67" t="str">
        <f t="shared" si="7"/>
        <v>A</v>
      </c>
      <c r="AD54" s="68" t="str">
        <f t="shared" si="8"/>
        <v>2  Mexico</v>
      </c>
      <c r="AE54" s="35">
        <f t="shared" si="9"/>
        <v>1.9</v>
      </c>
      <c r="AF54" s="66">
        <f t="shared" si="10"/>
        <v>0.04146013663</v>
      </c>
      <c r="AG54" s="66">
        <f t="shared" si="11"/>
        <v>0.0429222457</v>
      </c>
      <c r="AH54" s="69" t="str">
        <f t="array" ref="AH54">IF(AB54="","· enter odds",IF(OR(AF54&gt;Method!$B$87,IFERROR(INDEX(BC54:BE54,1,AB54)/INDEX(S54:U54,1,AB54),0)&gt;Method!$B$88),"PASS",IF(AND(AF54&gt;=Method!$B$7,AG54&gt;=Method!$B$8),"BET","PASS")))</f>
        <v>BET</v>
      </c>
      <c r="AI54" s="70">
        <f>IF(AH54&lt;&gt;"BET",0,ROUND(MIN(Method!$B$6,Method!$B$5*AL54)*100,1))</f>
        <v>1.2</v>
      </c>
      <c r="AJ54" s="71">
        <f>IF(OR(AH54&lt;&gt;"BET",Method!$B$55=TRUE()),0,IF(AI54*Method!$B$10/100&lt;Method!$B$9,0,ROUND(AI54*Method!$B$10/100,0)))</f>
        <v>12</v>
      </c>
      <c r="AK54" s="65">
        <f t="shared" si="12"/>
        <v>0.548136914</v>
      </c>
      <c r="AL54" s="65">
        <f t="shared" si="13"/>
        <v>0.04606681848</v>
      </c>
      <c r="AM54" s="66">
        <f t="shared" si="14"/>
        <v>0.04151313663</v>
      </c>
      <c r="AN54" s="72" t="str">
        <f>IF(Matchday!N56="","",Matchday!N56)</f>
        <v/>
      </c>
      <c r="AO54" s="64" t="str">
        <f>IF(Matchday!P56="","",Matchday!P56)</f>
        <v/>
      </c>
      <c r="AP54" s="73" t="str">
        <f>IF(Matchday!Q56="","",Matchday!Q56)</f>
        <v/>
      </c>
      <c r="AQ54" s="72" t="str">
        <f>IF(Matchday!R56="","",Matchday!R56)</f>
        <v>A</v>
      </c>
      <c r="AR54" s="74" t="str">
        <f t="shared" si="15"/>
        <v/>
      </c>
      <c r="AS54" s="74" t="str">
        <f t="shared" si="16"/>
        <v/>
      </c>
      <c r="AT54" s="33" t="str">
        <f>IFERROR(__xludf.DUMMYFUNCTION("IF(AB54="""",""Type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pauses."")),IF(AH54=""BET"",IF(AJ54=0,""Edge found but stake rounds under £""&amp;Method!$B$9&amp;"" — skip"",IF(AND(AE54&gt;=6,AG54&gt;=0.15),""🟡 WAIT — long-shot review: odds ""&amp;TEXT(AE54,""0.00"")&amp;"" + edge ""&amp;TEXT(AG54,""0.0%"")"&amp;"&amp;"" — verify sharp-book + team news + stake comfort before Placed=Y"",""Value found: EV ""&amp;TEXT(AF54,""0.0%"")&amp;"", edge ""&amp;TEXT(AG54,""0.0%""))),IF(OR(AF54&gt;Method!$B$87,IFERROR(INDEX(BC54:BE54,1,AB54)/INDEX(S54:U54,1,AB54),0)&gt;Method!$B$88),""🛑 Tail trap "&amp;"— auto-PASS · EV ""&amp;TEXT(AF54,""0.0%"")&amp;"" (cap ""&amp;TEXT(Method!$B$87,""0%"")&amp;"") · model/market ""&amp;TEXT(IFERROR(INDEX(BC54:BE54,1,AB54)/INDEX(S54:U54,1,AB54),0),""0.0"")&amp;""× (cap ""&amp;TEXT(Method!$B$88,""0.0"")&amp;""×)"",IF(AF54&lt;Method!$B$7,""Price too short —"&amp;" EV ""&amp;TEXT(AF54,""0.0%"")&amp;"" (need ""&amp;TEXT(Method!$B$7,""0.0%"")&amp;""+)"",""Model ≈ market — edge ""&amp;TEXT(AG54,""0.0%"")&amp;"" (need ""&amp;TEXT(Method!$B$8,""0.0%"")&amp;""+)"")))))"),"Value found: EV 4.1%, edge 4.3%")</f>
        <v>Value found: EV 4.1%, edge 4.3%</v>
      </c>
      <c r="AU54" s="33" t="str">
        <f t="shared" si="17"/>
        <v/>
      </c>
      <c r="AV54" s="32" t="str">
        <f>IF(Matchday!O56="","",Matchday!O56)</f>
        <v/>
      </c>
      <c r="AW54" s="75"/>
      <c r="AX54" s="75"/>
      <c r="AY54" s="75"/>
      <c r="AZ54" s="75" t="str">
        <f t="shared" si="18"/>
        <v>BET</v>
      </c>
      <c r="BA54" s="76">
        <f>IF(AX54&lt;&gt;"",AX54,IF(AH54&lt;&gt;"BET",0,IF(AI54*Method!$B$10/100&lt;Method!$B$9,0,ROUND(AI54*Method!$B$10/100,0))))</f>
        <v>12</v>
      </c>
      <c r="BB54" s="12">
        <v>-9.329999999999998</v>
      </c>
      <c r="BC54" s="12">
        <v>0.10887801622456843</v>
      </c>
      <c r="BD54" s="12">
        <v>0.2632723277479856</v>
      </c>
      <c r="BE54" s="12">
        <v>0.6278496560274459</v>
      </c>
      <c r="BF54" s="14" t="s">
        <v>354</v>
      </c>
      <c r="BG54" s="12">
        <v>2240.0</v>
      </c>
      <c r="BH54" s="14" t="s">
        <v>257</v>
      </c>
      <c r="BI54" s="12">
        <v>2171.1</v>
      </c>
    </row>
    <row r="55" ht="15.0" customHeight="1">
      <c r="A55" s="32">
        <v>54.0</v>
      </c>
      <c r="B55" s="59">
        <v>46197.0</v>
      </c>
      <c r="C55" s="60" t="s">
        <v>112</v>
      </c>
      <c r="D55" s="61" t="s">
        <v>45</v>
      </c>
      <c r="E55" s="61" t="s">
        <v>46</v>
      </c>
      <c r="F55" s="61" t="s">
        <v>295</v>
      </c>
      <c r="G55" s="62">
        <v>0.875</v>
      </c>
      <c r="H55" s="60" t="s">
        <v>353</v>
      </c>
      <c r="I55" s="63">
        <v>0.1945045331325807</v>
      </c>
      <c r="J55" s="63">
        <v>0.30301366075611386</v>
      </c>
      <c r="K55" s="63">
        <v>0.5024818061113054</v>
      </c>
      <c r="L55" s="64">
        <f>IF(Matchday!E57="","",Matchday!E57)</f>
        <v>5.8</v>
      </c>
      <c r="M55" s="64">
        <f>IF(Matchday!F57="","",Matchday!F57)</f>
        <v>4</v>
      </c>
      <c r="N55" s="64">
        <f>IF(Matchday!G57="","",Matchday!G57)</f>
        <v>1.61</v>
      </c>
      <c r="O55" s="65">
        <f t="shared" ref="O55:Q55" si="121">IF(L55="","",1/L55)</f>
        <v>0.1724137931</v>
      </c>
      <c r="P55" s="65">
        <f t="shared" si="121"/>
        <v>0.25</v>
      </c>
      <c r="Q55" s="65">
        <f t="shared" si="121"/>
        <v>0.6211180124</v>
      </c>
      <c r="R55" s="65">
        <f t="shared" si="4"/>
        <v>1.043531806</v>
      </c>
      <c r="S55" s="65">
        <f t="array" ref="S55">IF($R55="","",IF(Method!$B$56="proportional",O55/$R55,IF(Method!$B$56="power",IFERROR(INDEX(power_devig($L55,$M55,$N55),1,1),O55/$R55),IFERROR(INDEX(shin($L55,$M55,$N55),1,1),O55/$R55))))</f>
        <v>0.1598121129</v>
      </c>
      <c r="T55" s="65">
        <f t="array" ref="T55">IF($R55="","",IF(Method!$B$56="proportional",P55/$R55,IF(Method!$B$56="power",IFERROR(INDEX(power_devig($L55,$M55,$N55),2,1),P55/$R55),IFERROR(INDEX(shin($L55,$M55,$N55),2,1),P55/$R55))))</f>
        <v>0.2364959525</v>
      </c>
      <c r="U55" s="65">
        <f t="array" ref="U55">IF($R55="","",IF(Method!$B$56="proportional",Q55/$R55,IF(Method!$B$56="power",IFERROR(INDEX(power_devig($L55,$M55,$N55),3,1),Q55/$R55),IFERROR(INDEX(shin($L55,$M55,$N55),3,1),Q55/$R55))))</f>
        <v>0.6036919346</v>
      </c>
      <c r="V55" s="65">
        <f>IF(S55="","",Method!$B$4*IF(BC55="",I55,BC55)+(1-Method!$B$4)*S55/($S55+$T55+$U55))</f>
        <v>0.1700713721</v>
      </c>
      <c r="W55" s="65">
        <f>IF(T55="","",Method!$B$4*IF(BD55="",J55,BD55)+(1-Method!$B$4)*T55/($S55+$T55+$U55))</f>
        <v>0.2491454285</v>
      </c>
      <c r="X55" s="65">
        <f>IF(U55="","",Method!$B$4*IF(BE55="",K55,BE55)+(1-Method!$B$4)*U55/($S55+$T55+$U55))</f>
        <v>0.5807831994</v>
      </c>
      <c r="Y55" s="66">
        <f t="shared" ref="Y55:AA55" si="122">IF(V55="","",V55*L55-1)</f>
        <v>-0.01358604183</v>
      </c>
      <c r="Z55" s="66">
        <f t="shared" si="122"/>
        <v>-0.003418285992</v>
      </c>
      <c r="AA55" s="66">
        <f t="shared" si="122"/>
        <v>-0.06493904897</v>
      </c>
      <c r="AB55" s="67">
        <f t="shared" si="6"/>
        <v>2</v>
      </c>
      <c r="AC55" s="67" t="str">
        <f t="shared" si="7"/>
        <v>D</v>
      </c>
      <c r="AD55" s="68" t="str">
        <f t="shared" si="8"/>
        <v>X  Draw</v>
      </c>
      <c r="AE55" s="35">
        <f t="shared" si="9"/>
        <v>4</v>
      </c>
      <c r="AF55" s="66">
        <f t="shared" si="10"/>
        <v>-0.003418285992</v>
      </c>
      <c r="AG55" s="66">
        <f t="shared" si="11"/>
        <v>0.01264947602</v>
      </c>
      <c r="AH55" s="69" t="str">
        <f t="array" ref="AH55">IF(AB55="","· enter odds",IF(OR(AF55&gt;Method!$B$87,IFERROR(INDEX(BC55:BE55,1,AB55)/INDEX(S55:U55,1,AB55),0)&gt;Method!$B$88),"PASS",IF(AND(AF55&gt;=Method!$B$7,AG55&gt;=Method!$B$8),"BET","PASS")))</f>
        <v>PASS</v>
      </c>
      <c r="AI55" s="70">
        <f>IF(AH55&lt;&gt;"BET",0,ROUND(MIN(Method!$B$6,Method!$B$5*AL55)*100,1))</f>
        <v>0</v>
      </c>
      <c r="AJ55" s="71">
        <f>IF(OR(AH55&lt;&gt;"BET",Method!$B$55=TRUE()),0,IF(AI55*Method!$B$10/100&lt;Method!$B$9,0,ROUND(AI55*Method!$B$10/100,0)))</f>
        <v>0</v>
      </c>
      <c r="AK55" s="65">
        <f t="shared" si="12"/>
        <v>0.2491454285</v>
      </c>
      <c r="AL55" s="65" t="str">
        <f t="shared" si="13"/>
        <v/>
      </c>
      <c r="AM55" s="67" t="str">
        <f t="shared" si="14"/>
        <v/>
      </c>
      <c r="AN55" s="72" t="str">
        <f>IF(Matchday!N57="","",Matchday!N57)</f>
        <v/>
      </c>
      <c r="AO55" s="64" t="str">
        <f>IF(Matchday!P57="","",Matchday!P57)</f>
        <v/>
      </c>
      <c r="AP55" s="73" t="str">
        <f>IF(Matchday!Q57="","",Matchday!Q57)</f>
        <v/>
      </c>
      <c r="AQ55" s="72" t="str">
        <f>IF(Matchday!R57="","",Matchday!R57)</f>
        <v>H</v>
      </c>
      <c r="AR55" s="74" t="str">
        <f t="shared" si="15"/>
        <v/>
      </c>
      <c r="AS55" s="74" t="str">
        <f t="shared" si="16"/>
        <v/>
      </c>
      <c r="AT55" s="33" t="str">
        <f>IFERROR(__xludf.DUMMYFUNCTION("IF(AB55="""",""Type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pauses."")),IF(AH55=""BET"",IF(AJ55=0,""Edge found but stake rounds under £""&amp;Method!$B$9&amp;"" — skip"",IF(AND(AE55&gt;=6,AG55&gt;=0.15),""🟡 WAIT — long-shot review: odds ""&amp;TEXT(AE55,""0.00"")&amp;"" + edge ""&amp;TEXT(AG55,""0.0%"")"&amp;"&amp;"" — verify sharp-book + team news + stake comfort before Placed=Y"",""Value found: EV ""&amp;TEXT(AF55,""0.0%"")&amp;"", edge ""&amp;TEXT(AG55,""0.0%""))),IF(OR(AF55&gt;Method!$B$87,IFERROR(INDEX(BC55:BE55,1,AB55)/INDEX(S55:U55,1,AB55),0)&gt;Method!$B$88),""🛑 Tail trap "&amp;"— auto-PASS · EV ""&amp;TEXT(AF55,""0.0%"")&amp;"" (cap ""&amp;TEXT(Method!$B$87,""0%"")&amp;"") · model/market ""&amp;TEXT(IFERROR(INDEX(BC55:BE55,1,AB55)/INDEX(S55:U55,1,AB55),0),""0.0"")&amp;""× (cap ""&amp;TEXT(Method!$B$88,""0.0"")&amp;""×)"",IF(AF55&lt;Method!$B$7,""Price too short —"&amp;" EV ""&amp;TEXT(AF55,""0.0%"")&amp;"" (need ""&amp;TEXT(Method!$B$7,""0.0%"")&amp;""+)"",""Model ≈ market — edge ""&amp;TEXT(AG55,""0.0%"")&amp;"" (need ""&amp;TEXT(Method!$B$8,""0.0%"")&amp;""+)"")))))"),"Price too short — EV -0.3% (need 2.5%+)")</f>
        <v>Price too short — EV -0.3% (need 2.5%+)</v>
      </c>
      <c r="AU55" s="33" t="str">
        <f t="shared" si="17"/>
        <v/>
      </c>
      <c r="AV55" s="32" t="str">
        <f>IF(Matchday!O57="","",Matchday!O57)</f>
        <v/>
      </c>
      <c r="AW55" s="75"/>
      <c r="AX55" s="75"/>
      <c r="AY55" s="75"/>
      <c r="AZ55" s="75" t="str">
        <f t="shared" si="18"/>
        <v>PASS</v>
      </c>
      <c r="BA55" s="76">
        <f>IF(AX55&lt;&gt;"",AX55,IF(AH55&lt;&gt;"BET",0,IF(AI55*Method!$B$10/100&lt;Method!$B$9,0,ROUND(AI55*Method!$B$10/100,0))))</f>
        <v>0</v>
      </c>
      <c r="BB55" s="12">
        <v>-32.38</v>
      </c>
      <c r="BC55" s="12">
        <v>0.18912428198002298</v>
      </c>
      <c r="BD55" s="12">
        <v>0.27263731253972473</v>
      </c>
      <c r="BE55" s="12">
        <v>0.5382384054802523</v>
      </c>
      <c r="BF55" s="14" t="s">
        <v>355</v>
      </c>
      <c r="BG55" s="12">
        <v>540.0</v>
      </c>
      <c r="BH55" s="14" t="s">
        <v>297</v>
      </c>
      <c r="BI55" s="12">
        <v>1771.6</v>
      </c>
    </row>
    <row r="56" ht="15.0" customHeight="1">
      <c r="A56" s="32">
        <v>55.0</v>
      </c>
      <c r="B56" s="59">
        <v>46198.0</v>
      </c>
      <c r="C56" s="60" t="s">
        <v>284</v>
      </c>
      <c r="D56" s="61" t="s">
        <v>65</v>
      </c>
      <c r="E56" s="61" t="s">
        <v>60</v>
      </c>
      <c r="F56" s="61" t="s">
        <v>275</v>
      </c>
      <c r="G56" s="62">
        <v>0.6666666666678793</v>
      </c>
      <c r="H56" s="62">
        <v>0.875</v>
      </c>
      <c r="I56" s="63">
        <v>0.3457587387785603</v>
      </c>
      <c r="J56" s="63">
        <v>0.297089762031059</v>
      </c>
      <c r="K56" s="63">
        <v>0.3571514991903804</v>
      </c>
      <c r="L56" s="64">
        <f>IF(Matchday!E58="","",Matchday!E58)</f>
        <v>5.25</v>
      </c>
      <c r="M56" s="64">
        <f>IF(Matchday!F58="","",Matchday!F58)</f>
        <v>4.75</v>
      </c>
      <c r="N56" s="64">
        <f>IF(Matchday!G58="","",Matchday!G58)</f>
        <v>1.57</v>
      </c>
      <c r="O56" s="65">
        <f t="shared" ref="O56:Q56" si="123">IF(L56="","",1/L56)</f>
        <v>0.1904761905</v>
      </c>
      <c r="P56" s="65">
        <f t="shared" si="123"/>
        <v>0.2105263158</v>
      </c>
      <c r="Q56" s="65">
        <f t="shared" si="123"/>
        <v>0.6369426752</v>
      </c>
      <c r="R56" s="65">
        <f t="shared" si="4"/>
        <v>1.037945181</v>
      </c>
      <c r="S56" s="65">
        <f t="array" ref="S56">IF($R56="","",IF(Method!$B$56="proportional",O56/$R56,IF(Method!$B$56="power",IFERROR(INDEX(power_devig($L56,$M56,$N56),1,1),O56/$R56),IFERROR(INDEX(shin($L56,$M56,$N56),1,1),O56/$R56))))</f>
        <v>0.1792835158</v>
      </c>
      <c r="T56" s="65">
        <f t="array" ref="T56">IF($R56="","",IF(Method!$B$56="proportional",P56/$R56,IF(Method!$B$56="power",IFERROR(INDEX(power_devig($L56,$M56,$N56),2,1),P56/$R56),IFERROR(INDEX(shin($L56,$M56,$N56),2,1),P56/$R56))))</f>
        <v>0.1991306421</v>
      </c>
      <c r="U56" s="65">
        <f t="array" ref="U56">IF($R56="","",IF(Method!$B$56="proportional",Q56/$R56,IF(Method!$B$56="power",IFERROR(INDEX(power_devig($L56,$M56,$N56),3,1),Q56/$R56),IFERROR(INDEX(shin($L56,$M56,$N56),3,1),Q56/$R56))))</f>
        <v>0.6215858421</v>
      </c>
      <c r="V56" s="65">
        <f>IF(S56="","",Method!$B$4*IF(BC56="",I56,BC56)+(1-Method!$B$4)*S56/($S56+$T56+$U56))</f>
        <v>0.2375866751</v>
      </c>
      <c r="W56" s="65">
        <f>IF(T56="","",Method!$B$4*IF(BD56="",J56,BD56)+(1-Method!$B$4)*T56/($S56+$T56+$U56))</f>
        <v>0.2208417487</v>
      </c>
      <c r="X56" s="65">
        <f>IF(U56="","",Method!$B$4*IF(BE56="",K56,BE56)+(1-Method!$B$4)*U56/($S56+$T56+$U56))</f>
        <v>0.5415715762</v>
      </c>
      <c r="Y56" s="66">
        <f t="shared" ref="Y56:AA56" si="124">IF(V56="","",V56*L56-1)</f>
        <v>0.2473300441</v>
      </c>
      <c r="Z56" s="66">
        <f t="shared" si="124"/>
        <v>0.0489983065</v>
      </c>
      <c r="AA56" s="66">
        <f t="shared" si="124"/>
        <v>-0.1497326254</v>
      </c>
      <c r="AB56" s="67">
        <f t="shared" si="6"/>
        <v>1</v>
      </c>
      <c r="AC56" s="67" t="str">
        <f t="shared" si="7"/>
        <v>H</v>
      </c>
      <c r="AD56" s="68" t="str">
        <f t="shared" si="8"/>
        <v>1  Ecuador</v>
      </c>
      <c r="AE56" s="35">
        <f t="shared" si="9"/>
        <v>5.25</v>
      </c>
      <c r="AF56" s="66">
        <f t="shared" si="10"/>
        <v>0.2473300441</v>
      </c>
      <c r="AG56" s="66">
        <f t="shared" si="11"/>
        <v>0.05830315927</v>
      </c>
      <c r="AH56" s="69" t="str">
        <f t="array" ref="AH56">IF(AB56="","· enter odds",IF(OR(AF56&gt;Method!$B$87,IFERROR(INDEX(BC56:BE56,1,AB56)/INDEX(S56:U56,1,AB56),0)&gt;Method!$B$88),"PASS",IF(AND(AF56&gt;=Method!$B$7,AG56&gt;=Method!$B$8),"BET","PASS")))</f>
        <v>BET</v>
      </c>
      <c r="AI56" s="70">
        <f>IF(AH56&lt;&gt;"BET",0,ROUND(MIN(Method!$B$6,Method!$B$5*AL56)*100,1))</f>
        <v>1.5</v>
      </c>
      <c r="AJ56" s="71">
        <f>IF(OR(AH56&lt;&gt;"BET",Method!$B$55=TRUE()),0,IF(AI56*Method!$B$10/100&lt;Method!$B$9,0,ROUND(AI56*Method!$B$10/100,0)))</f>
        <v>15</v>
      </c>
      <c r="AK56" s="65">
        <f t="shared" si="12"/>
        <v>0.2375866751</v>
      </c>
      <c r="AL56" s="65">
        <f t="shared" si="13"/>
        <v>0.05819530449</v>
      </c>
      <c r="AM56" s="66">
        <f t="shared" si="14"/>
        <v>0.2473850441</v>
      </c>
      <c r="AN56" s="72" t="str">
        <f>IF(Matchday!N58="","",Matchday!N58)</f>
        <v/>
      </c>
      <c r="AO56" s="64" t="str">
        <f>IF(Matchday!P58="","",Matchday!P58)</f>
        <v/>
      </c>
      <c r="AP56" s="73" t="str">
        <f>IF(Matchday!Q58="","",Matchday!Q58)</f>
        <v/>
      </c>
      <c r="AQ56" s="72" t="str">
        <f>IF(Matchday!R58="","",Matchday!R58)</f>
        <v>H</v>
      </c>
      <c r="AR56" s="74" t="str">
        <f t="shared" si="15"/>
        <v/>
      </c>
      <c r="AS56" s="74" t="str">
        <f t="shared" si="16"/>
        <v/>
      </c>
      <c r="AT56" s="33" t="str">
        <f>IFERROR(__xludf.DUMMYFUNCTION("IF(AB56="""",""Type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pauses."")),IF(AH56=""BET"",IF(AJ56=0,""Edge found but stake rounds under £""&amp;Method!$B$9&amp;"" — skip"",IF(AND(AE56&gt;=6,AG56&gt;=0.15),""🟡 WAIT — long-shot review: odds ""&amp;TEXT(AE56,""0.00"")&amp;"" + edge ""&amp;TEXT(AG56,""0.0%"")"&amp;"&amp;"" — verify sharp-book + team news + stake comfort before Placed=Y"",""Value found: EV ""&amp;TEXT(AF56,""0.0%"")&amp;"", edge ""&amp;TEXT(AG56,""0.0%""))),IF(OR(AF56&gt;Method!$B$87,IFERROR(INDEX(BC56:BE56,1,AB56)/INDEX(S56:U56,1,AB56),0)&gt;Method!$B$88),""🛑 Tail trap "&amp;"— auto-PASS · EV ""&amp;TEXT(AF56,""0.0%"")&amp;"" (cap ""&amp;TEXT(Method!$B$87,""0%"")&amp;"") · model/market ""&amp;TEXT(IFERROR(INDEX(BC56:BE56,1,AB56)/INDEX(S56:U56,1,AB56),0),""0.0"")&amp;""× (cap ""&amp;TEXT(Method!$B$88,""0.0"")&amp;""×)"",IF(AF56&lt;Method!$B$7,""Price too short —"&amp;" EV ""&amp;TEXT(AF56,""0.0%"")&amp;"" (need ""&amp;TEXT(Method!$B$7,""0.0%"")&amp;""+)"",""Model ≈ market — edge ""&amp;TEXT(AG56,""0.0%"")&amp;"" (need ""&amp;TEXT(Method!$B$8,""0.0%"")&amp;""+)"")))))"),"Value found: EV 24.7%, edge 5.8%")</f>
        <v>Value found: EV 24.7%, edge 5.8%</v>
      </c>
      <c r="AU56" s="33" t="str">
        <f t="shared" si="17"/>
        <v/>
      </c>
      <c r="AV56" s="32" t="str">
        <f>IF(Matchday!O58="","",Matchday!O58)</f>
        <v/>
      </c>
      <c r="AW56" s="75"/>
      <c r="AX56" s="75"/>
      <c r="AY56" s="75"/>
      <c r="AZ56" s="75" t="str">
        <f t="shared" si="18"/>
        <v>BET</v>
      </c>
      <c r="BA56" s="76">
        <f>IF(AX56&lt;&gt;"",AX56,IF(AH56&lt;&gt;"BET",0,IF(AI56*Method!$B$10/100&lt;Method!$B$9,0,ROUND(AI56*Method!$B$10/100,0))))</f>
        <v>15</v>
      </c>
      <c r="BB56" s="12">
        <v>-13.99</v>
      </c>
      <c r="BC56" s="12">
        <v>0.3458639708566515</v>
      </c>
      <c r="BD56" s="12">
        <v>0.2611623753141922</v>
      </c>
      <c r="BE56" s="12">
        <v>0.39297365382915633</v>
      </c>
      <c r="BF56" s="14" t="s">
        <v>356</v>
      </c>
      <c r="BG56" s="12">
        <v>7.0</v>
      </c>
      <c r="BH56" s="14" t="s">
        <v>262</v>
      </c>
      <c r="BI56" s="12">
        <v>1747.3</v>
      </c>
    </row>
    <row r="57" ht="15.0" customHeight="1">
      <c r="A57" s="32">
        <v>56.0</v>
      </c>
      <c r="B57" s="59">
        <v>46198.0</v>
      </c>
      <c r="C57" s="60" t="s">
        <v>284</v>
      </c>
      <c r="D57" s="61" t="s">
        <v>61</v>
      </c>
      <c r="E57" s="61" t="s">
        <v>64</v>
      </c>
      <c r="F57" s="61" t="s">
        <v>292</v>
      </c>
      <c r="G57" s="62">
        <v>0.6666666666678793</v>
      </c>
      <c r="H57" s="62">
        <v>0.875</v>
      </c>
      <c r="I57" s="63">
        <v>0.12861912107296475</v>
      </c>
      <c r="J57" s="63">
        <v>0.23883374265983667</v>
      </c>
      <c r="K57" s="63">
        <v>0.6325471362671985</v>
      </c>
      <c r="L57" s="64">
        <f>IF(Matchday!E59="","",Matchday!E59)</f>
        <v>13</v>
      </c>
      <c r="M57" s="64">
        <f>IF(Matchday!F59="","",Matchday!F59)</f>
        <v>7.5</v>
      </c>
      <c r="N57" s="64">
        <f>IF(Matchday!G59="","",Matchday!G59)</f>
        <v>1.18</v>
      </c>
      <c r="O57" s="65">
        <f t="shared" ref="O57:Q57" si="125">IF(L57="","",1/L57)</f>
        <v>0.07692307692</v>
      </c>
      <c r="P57" s="65">
        <f t="shared" si="125"/>
        <v>0.1333333333</v>
      </c>
      <c r="Q57" s="65">
        <f t="shared" si="125"/>
        <v>0.8474576271</v>
      </c>
      <c r="R57" s="65">
        <f t="shared" si="4"/>
        <v>1.057714037</v>
      </c>
      <c r="S57" s="65">
        <f t="array" ref="S57">IF($R57="","",IF(Method!$B$56="proportional",O57/$R57,IF(Method!$B$56="power",IFERROR(INDEX(power_devig($L57,$M57,$N57),1,1),O57/$R57),IFERROR(INDEX(shin($L57,$M57,$N57),1,1),O57/$R57))))</f>
        <v>0.06183948553</v>
      </c>
      <c r="T57" s="65">
        <f t="array" ref="T57">IF($R57="","",IF(Method!$B$56="proportional",P57/$R57,IF(Method!$B$56="power",IFERROR(INDEX(power_devig($L57,$M57,$N57),2,1),P57/$R57),IFERROR(INDEX(shin($L57,$M57,$N57),2,1),P57/$R57))))</f>
        <v>0.1168697873</v>
      </c>
      <c r="U57" s="65">
        <f t="array" ref="U57">IF($R57="","",IF(Method!$B$56="proportional",Q57/$R57,IF(Method!$B$56="power",IFERROR(INDEX(power_devig($L57,$M57,$N57),3,1),Q57/$R57),IFERROR(INDEX(shin($L57,$M57,$N57),3,1),Q57/$R57))))</f>
        <v>0.8212907272</v>
      </c>
      <c r="V57" s="65">
        <f>IF(S57="","",Method!$B$4*IF(BC57="",I57,BC57)+(1-Method!$B$4)*S57/($S57+$T57+$U57))</f>
        <v>0.07939959806</v>
      </c>
      <c r="W57" s="65">
        <f>IF(T57="","",Method!$B$4*IF(BD57="",J57,BD57)+(1-Method!$B$4)*T57/($S57+$T57+$U57))</f>
        <v>0.1696411816</v>
      </c>
      <c r="X57" s="65">
        <f>IF(U57="","",Method!$B$4*IF(BE57="",K57,BE57)+(1-Method!$B$4)*U57/($S57+$T57+$U57))</f>
        <v>0.7509592203</v>
      </c>
      <c r="Y57" s="66">
        <f t="shared" ref="Y57:AA57" si="126">IF(V57="","",V57*L57-1)</f>
        <v>0.03219477474</v>
      </c>
      <c r="Z57" s="66">
        <f t="shared" si="126"/>
        <v>0.2723088621</v>
      </c>
      <c r="AA57" s="66">
        <f t="shared" si="126"/>
        <v>-0.11386812</v>
      </c>
      <c r="AB57" s="67">
        <f t="shared" si="6"/>
        <v>2</v>
      </c>
      <c r="AC57" s="67" t="str">
        <f t="shared" si="7"/>
        <v>D</v>
      </c>
      <c r="AD57" s="68" t="str">
        <f t="shared" si="8"/>
        <v>X  Draw</v>
      </c>
      <c r="AE57" s="35">
        <f t="shared" si="9"/>
        <v>7.5</v>
      </c>
      <c r="AF57" s="66">
        <f t="shared" si="10"/>
        <v>0.2723088621</v>
      </c>
      <c r="AG57" s="66">
        <f t="shared" si="11"/>
        <v>0.05277139436</v>
      </c>
      <c r="AH57" s="69" t="str">
        <f t="array" ref="AH57">IF(AB57="","· enter odds",IF(OR(AF57&gt;Method!$B$87,IFERROR(INDEX(BC57:BE57,1,AB57)/INDEX(S57:U57,1,AB57),0)&gt;Method!$B$88),"PASS",IF(AND(AF57&gt;=Method!$B$7,AG57&gt;=Method!$B$8),"BET","PASS")))</f>
        <v>BET</v>
      </c>
      <c r="AI57" s="70">
        <f>IF(AH57&lt;&gt;"BET",0,ROUND(MIN(Method!$B$6,Method!$B$5*AL57)*100,1))</f>
        <v>1</v>
      </c>
      <c r="AJ57" s="71">
        <f>IF(OR(AH57&lt;&gt;"BET",Method!$B$55=TRUE()),0,IF(AI57*Method!$B$10/100&lt;Method!$B$9,0,ROUND(AI57*Method!$B$10/100,0)))</f>
        <v>10</v>
      </c>
      <c r="AK57" s="65">
        <f t="shared" si="12"/>
        <v>0.1696411816</v>
      </c>
      <c r="AL57" s="65">
        <f t="shared" si="13"/>
        <v>0.0418936711</v>
      </c>
      <c r="AM57" s="66">
        <f t="shared" si="14"/>
        <v>0.2723648621</v>
      </c>
      <c r="AN57" s="72" t="str">
        <f>IF(Matchday!N59="","",Matchday!N59)</f>
        <v/>
      </c>
      <c r="AO57" s="64" t="str">
        <f>IF(Matchday!P59="","",Matchday!P59)</f>
        <v/>
      </c>
      <c r="AP57" s="73" t="str">
        <f>IF(Matchday!Q59="","",Matchday!Q59)</f>
        <v/>
      </c>
      <c r="AQ57" s="72" t="str">
        <f>IF(Matchday!R59="","",Matchday!R59)</f>
        <v>A</v>
      </c>
      <c r="AR57" s="74" t="str">
        <f t="shared" si="15"/>
        <v/>
      </c>
      <c r="AS57" s="74" t="str">
        <f t="shared" si="16"/>
        <v/>
      </c>
      <c r="AT57" s="33" t="str">
        <f>IFERROR(__xludf.DUMMYFUNCTION("IF(AB57="""",""Type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pauses."")),IF(AH57=""BET"",IF(AJ57=0,""Edge found but stake rounds under £""&amp;Method!$B$9&amp;"" — skip"",IF(AND(AE57&gt;=6,AG57&gt;=0.15),""🟡 WAIT — long-shot review: odds ""&amp;TEXT(AE57,""0.00"")&amp;"" + edge ""&amp;TEXT(AG57,""0.0%"")"&amp;"&amp;"" — verify sharp-book + team news + stake comfort before Placed=Y"",""Value found: EV ""&amp;TEXT(AF57,""0.0%"")&amp;"", edge ""&amp;TEXT(AG57,""0.0%""))),IF(OR(AF57&gt;Method!$B$87,IFERROR(INDEX(BC57:BE57,1,AB57)/INDEX(S57:U57,1,AB57),0)&gt;Method!$B$88),""🛑 Tail trap "&amp;"— auto-PASS · EV ""&amp;TEXT(AF57,""0.0%"")&amp;"" (cap ""&amp;TEXT(Method!$B$87,""0%"")&amp;"") · model/market ""&amp;TEXT(IFERROR(INDEX(BC57:BE57,1,AB57)/INDEX(S57:U57,1,AB57),0),""0.0"")&amp;""× (cap ""&amp;TEXT(Method!$B$88,""0.0"")&amp;""×)"",IF(AF57&lt;Method!$B$7,""Price too short —"&amp;" EV ""&amp;TEXT(AF57,""0.0%"")&amp;"" (need ""&amp;TEXT(Method!$B$7,""0.0%"")&amp;""+)"",""Model ≈ market — edge ""&amp;TEXT(AG57,""0.0%"")&amp;"" (need ""&amp;TEXT(Method!$B$8,""0.0%"")&amp;""+)"")))))"),"Value found: EV 27.2%, edge 5.3%")</f>
        <v>Value found: EV 27.2%, edge 5.3%</v>
      </c>
      <c r="AU57" s="33" t="str">
        <f t="shared" si="17"/>
        <v/>
      </c>
      <c r="AV57" s="32" t="str">
        <f>IF(Matchday!O59="","",Matchday!O59)</f>
        <v/>
      </c>
      <c r="AW57" s="75"/>
      <c r="AX57" s="75"/>
      <c r="AY57" s="75"/>
      <c r="AZ57" s="75" t="str">
        <f t="shared" si="18"/>
        <v>BET</v>
      </c>
      <c r="BA57" s="76">
        <f>IF(AX57&lt;&gt;"",AX57,IF(AH57&lt;&gt;"BET",0,IF(AI57*Method!$B$10/100&lt;Method!$B$9,0,ROUND(AI57*Method!$B$10/100,0))))</f>
        <v>10</v>
      </c>
      <c r="BB57" s="12">
        <v>-11.16</v>
      </c>
      <c r="BC57" s="12">
        <v>0.11201123560877634</v>
      </c>
      <c r="BD57" s="12">
        <v>0.26764519972309725</v>
      </c>
      <c r="BE57" s="12">
        <v>0.6203435646681263</v>
      </c>
      <c r="BF57" s="14" t="s">
        <v>357</v>
      </c>
      <c r="BG57" s="12">
        <v>12.0</v>
      </c>
      <c r="BH57" s="14" t="s">
        <v>262</v>
      </c>
      <c r="BI57" s="12">
        <v>1657.4</v>
      </c>
    </row>
    <row r="58" ht="15.0" customHeight="1">
      <c r="A58" s="32">
        <v>57.0</v>
      </c>
      <c r="B58" s="59">
        <v>46198.0</v>
      </c>
      <c r="C58" s="60" t="s">
        <v>288</v>
      </c>
      <c r="D58" s="61" t="s">
        <v>63</v>
      </c>
      <c r="E58" s="61" t="s">
        <v>66</v>
      </c>
      <c r="F58" s="61" t="s">
        <v>289</v>
      </c>
      <c r="G58" s="62">
        <v>0.7916666666678793</v>
      </c>
      <c r="H58" s="60" t="s">
        <v>333</v>
      </c>
      <c r="I58" s="63">
        <v>0.5531851057144598</v>
      </c>
      <c r="J58" s="63">
        <v>0.26275378693939494</v>
      </c>
      <c r="K58" s="63">
        <v>0.18406110734614536</v>
      </c>
      <c r="L58" s="64">
        <f>IF(Matchday!E60="","",Matchday!E60)</f>
        <v>1.9</v>
      </c>
      <c r="M58" s="64">
        <f>IF(Matchday!F60="","",Matchday!F60)</f>
        <v>3.4</v>
      </c>
      <c r="N58" s="64">
        <f>IF(Matchday!G60="","",Matchday!G60)</f>
        <v>4.2</v>
      </c>
      <c r="O58" s="65">
        <f t="shared" ref="O58:Q58" si="127">IF(L58="","",1/L58)</f>
        <v>0.5263157895</v>
      </c>
      <c r="P58" s="65">
        <f t="shared" si="127"/>
        <v>0.2941176471</v>
      </c>
      <c r="Q58" s="65">
        <f t="shared" si="127"/>
        <v>0.2380952381</v>
      </c>
      <c r="R58" s="65">
        <f t="shared" si="4"/>
        <v>1.058528675</v>
      </c>
      <c r="S58" s="65">
        <f t="array" ref="S58">IF($R58="","",IF(Method!$B$56="proportional",O58/$R58,IF(Method!$B$56="power",IFERROR(INDEX(power_devig($L58,$M58,$N58),1,1),O58/$R58),IFERROR(INDEX(shin($L58,$M58,$N58),1,1),O58/$R58))))</f>
        <v>0.5043282756</v>
      </c>
      <c r="T58" s="65">
        <f t="array" ref="T58">IF($R58="","",IF(Method!$B$56="proportional",P58/$R58,IF(Method!$B$56="power",IFERROR(INDEX(power_devig($L58,$M58,$N58),2,1),P58/$R58),IFERROR(INDEX(shin($L58,$M58,$N58),2,1),P58/$R58))))</f>
        <v>0.2754243314</v>
      </c>
      <c r="U58" s="65">
        <f t="array" ref="U58">IF($R58="","",IF(Method!$B$56="proportional",Q58/$R58,IF(Method!$B$56="power",IFERROR(INDEX(power_devig($L58,$M58,$N58),3,1),Q58/$R58),IFERROR(INDEX(shin($L58,$M58,$N58),3,1),Q58/$R58))))</f>
        <v>0.2202473929</v>
      </c>
      <c r="V58" s="65">
        <f>IF(S58="","",Method!$B$4*IF(BC58="",I58,BC58)+(1-Method!$B$4)*S58/($S58+$T58+$U58))</f>
        <v>0.5150182618</v>
      </c>
      <c r="W58" s="65">
        <f>IF(T58="","",Method!$B$4*IF(BD58="",J58,BD58)+(1-Method!$B$4)*T58/($S58+$T58+$U58))</f>
        <v>0.2758879169</v>
      </c>
      <c r="X58" s="65">
        <f>IF(U58="","",Method!$B$4*IF(BE58="",K58,BE58)+(1-Method!$B$4)*U58/($S58+$T58+$U58))</f>
        <v>0.2090938213</v>
      </c>
      <c r="Y58" s="66">
        <f t="shared" ref="Y58:AA58" si="128">IF(V58="","",V58*L58-1)</f>
        <v>-0.0214653026</v>
      </c>
      <c r="Z58" s="66">
        <f t="shared" si="128"/>
        <v>-0.06198108243</v>
      </c>
      <c r="AA58" s="66">
        <f t="shared" si="128"/>
        <v>-0.1218059506</v>
      </c>
      <c r="AB58" s="67">
        <f t="shared" si="6"/>
        <v>1</v>
      </c>
      <c r="AC58" s="67" t="str">
        <f t="shared" si="7"/>
        <v>H</v>
      </c>
      <c r="AD58" s="68" t="str">
        <f t="shared" si="8"/>
        <v>1  Japan</v>
      </c>
      <c r="AE58" s="35">
        <f t="shared" si="9"/>
        <v>1.9</v>
      </c>
      <c r="AF58" s="66">
        <f t="shared" si="10"/>
        <v>-0.0214653026</v>
      </c>
      <c r="AG58" s="66">
        <f t="shared" si="11"/>
        <v>0.01068998616</v>
      </c>
      <c r="AH58" s="69" t="str">
        <f t="array" ref="AH58">IF(AB58="","· enter odds",IF(OR(AF58&gt;Method!$B$87,IFERROR(INDEX(BC58:BE58,1,AB58)/INDEX(S58:U58,1,AB58),0)&gt;Method!$B$88),"PASS",IF(AND(AF58&gt;=Method!$B$7,AG58&gt;=Method!$B$8),"BET","PASS")))</f>
        <v>PASS</v>
      </c>
      <c r="AI58" s="70">
        <f>IF(AH58&lt;&gt;"BET",0,ROUND(MIN(Method!$B$6,Method!$B$5*AL58)*100,1))</f>
        <v>0</v>
      </c>
      <c r="AJ58" s="71">
        <f>IF(OR(AH58&lt;&gt;"BET",Method!$B$55=TRUE()),0,IF(AI58*Method!$B$10/100&lt;Method!$B$9,0,ROUND(AI58*Method!$B$10/100,0)))</f>
        <v>0</v>
      </c>
      <c r="AK58" s="65">
        <f t="shared" si="12"/>
        <v>0.5150182618</v>
      </c>
      <c r="AL58" s="65" t="str">
        <f t="shared" si="13"/>
        <v/>
      </c>
      <c r="AM58" s="67" t="str">
        <f t="shared" si="14"/>
        <v/>
      </c>
      <c r="AN58" s="72" t="str">
        <f>IF(Matchday!N60="","",Matchday!N60)</f>
        <v/>
      </c>
      <c r="AO58" s="64" t="str">
        <f>IF(Matchday!P60="","",Matchday!P60)</f>
        <v/>
      </c>
      <c r="AP58" s="73" t="str">
        <f>IF(Matchday!Q60="","",Matchday!Q60)</f>
        <v/>
      </c>
      <c r="AQ58" s="72" t="str">
        <f>IF(Matchday!R60="","",Matchday!R60)</f>
        <v>D</v>
      </c>
      <c r="AR58" s="74" t="str">
        <f t="shared" si="15"/>
        <v/>
      </c>
      <c r="AS58" s="74" t="str">
        <f t="shared" si="16"/>
        <v/>
      </c>
      <c r="AT58" s="33" t="str">
        <f>IFERROR(__xludf.DUMMYFUNCTION("IF(AB58="""",""Type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pauses."")),IF(AH58=""BET"",IF(AJ58=0,""Edge found but stake rounds under £""&amp;Method!$B$9&amp;"" — skip"",IF(AND(AE58&gt;=6,AG58&gt;=0.15),""🟡 WAIT — long-shot review: odds ""&amp;TEXT(AE58,""0.00"")&amp;"" + edge ""&amp;TEXT(AG58,""0.0%"")"&amp;"&amp;"" — verify sharp-book + team news + stake comfort before Placed=Y"",""Value found: EV ""&amp;TEXT(AF58,""0.0%"")&amp;"", edge ""&amp;TEXT(AG58,""0.0%""))),IF(OR(AF58&gt;Method!$B$87,IFERROR(INDEX(BC58:BE58,1,AB58)/INDEX(S58:U58,1,AB58),0)&gt;Method!$B$88),""🛑 Tail trap "&amp;"— auto-PASS · EV ""&amp;TEXT(AF58,""0.0%"")&amp;"" (cap ""&amp;TEXT(Method!$B$87,""0%"")&amp;"") · model/market ""&amp;TEXT(IFERROR(INDEX(BC58:BE58,1,AB58)/INDEX(S58:U58,1,AB58),0),""0.0"")&amp;""× (cap ""&amp;TEXT(Method!$B$88,""0.0"")&amp;""×)"",IF(AF58&lt;Method!$B$7,""Price too short —"&amp;" EV ""&amp;TEXT(AF58,""0.0%"")&amp;"" (need ""&amp;TEXT(Method!$B$7,""0.0%"")&amp;""+)"",""Model ≈ market — edge ""&amp;TEXT(AG58,""0.0%"")&amp;"" (need ""&amp;TEXT(Method!$B$8,""0.0%"")&amp;""+)"")))))"),"Price too short — EV -2.1% (need 2.5%+)")</f>
        <v>Price too short — EV -2.1% (need 2.5%+)</v>
      </c>
      <c r="AU58" s="33" t="str">
        <f t="shared" si="17"/>
        <v/>
      </c>
      <c r="AV58" s="32" t="str">
        <f>IF(Matchday!O60="","",Matchday!O60)</f>
        <v/>
      </c>
      <c r="AW58" s="75"/>
      <c r="AX58" s="75"/>
      <c r="AY58" s="75"/>
      <c r="AZ58" s="75" t="str">
        <f t="shared" si="18"/>
        <v>PASS</v>
      </c>
      <c r="BA58" s="76">
        <f>IF(AX58&lt;&gt;"",AX58,IF(AH58&lt;&gt;"BET",0,IF(AI58*Method!$B$10/100&lt;Method!$B$9,0,ROUND(AI58*Method!$B$10/100,0))))</f>
        <v>0</v>
      </c>
      <c r="BB58" s="12">
        <v>-41.260000000000005</v>
      </c>
      <c r="BC58" s="12">
        <v>0.5348710932270948</v>
      </c>
      <c r="BD58" s="12">
        <v>0.2767488614364281</v>
      </c>
      <c r="BE58" s="12">
        <v>0.1883800453364771</v>
      </c>
      <c r="BF58" s="14" t="s">
        <v>358</v>
      </c>
      <c r="BG58" s="12">
        <v>175.0</v>
      </c>
      <c r="BH58" s="14" t="s">
        <v>291</v>
      </c>
      <c r="BI58" s="12">
        <v>844.2</v>
      </c>
    </row>
    <row r="59" ht="15.0" customHeight="1">
      <c r="A59" s="32">
        <v>58.0</v>
      </c>
      <c r="B59" s="59">
        <v>46198.0</v>
      </c>
      <c r="C59" s="60" t="s">
        <v>288</v>
      </c>
      <c r="D59" s="61" t="s">
        <v>67</v>
      </c>
      <c r="E59" s="61" t="s">
        <v>62</v>
      </c>
      <c r="F59" s="61" t="s">
        <v>312</v>
      </c>
      <c r="G59" s="62">
        <v>0.7916666666678793</v>
      </c>
      <c r="H59" s="60" t="s">
        <v>333</v>
      </c>
      <c r="I59" s="63">
        <v>0.10233470325880006</v>
      </c>
      <c r="J59" s="63">
        <v>0.21263270420757446</v>
      </c>
      <c r="K59" s="63">
        <v>0.6850325925336255</v>
      </c>
      <c r="L59" s="64">
        <f>IF(Matchday!E61="","",Matchday!E61)</f>
        <v>21</v>
      </c>
      <c r="M59" s="64">
        <f>IF(Matchday!F61="","",Matchday!F61)</f>
        <v>10</v>
      </c>
      <c r="N59" s="64">
        <f>IF(Matchday!G61="","",Matchday!G61)</f>
        <v>1.1</v>
      </c>
      <c r="O59" s="65">
        <f t="shared" ref="O59:Q59" si="129">IF(L59="","",1/L59)</f>
        <v>0.04761904762</v>
      </c>
      <c r="P59" s="65">
        <f t="shared" si="129"/>
        <v>0.1</v>
      </c>
      <c r="Q59" s="65">
        <f t="shared" si="129"/>
        <v>0.9090909091</v>
      </c>
      <c r="R59" s="65">
        <f t="shared" si="4"/>
        <v>1.056709957</v>
      </c>
      <c r="S59" s="65">
        <f t="array" ref="S59">IF($R59="","",IF(Method!$B$56="proportional",O59/$R59,IF(Method!$B$56="power",IFERROR(INDEX(power_devig($L59,$M59,$N59),1,1),O59/$R59),IFERROR(INDEX(shin($L59,$M59,$N59),1,1),O59/$R59))))</f>
        <v>0.03355297253</v>
      </c>
      <c r="T59" s="65">
        <f t="array" ref="T59">IF($R59="","",IF(Method!$B$56="proportional",P59/$R59,IF(Method!$B$56="power",IFERROR(INDEX(power_devig($L59,$M59,$N59),2,1),P59/$R59),IFERROR(INDEX(shin($L59,$M59,$N59),2,1),P59/$R59))))</f>
        <v>0.08393233618</v>
      </c>
      <c r="U59" s="65">
        <f t="array" ref="U59">IF($R59="","",IF(Method!$B$56="proportional",Q59/$R59,IF(Method!$B$56="power",IFERROR(INDEX(power_devig($L59,$M59,$N59),3,1),Q59/$R59),IFERROR(INDEX(shin($L59,$M59,$N59),3,1),Q59/$R59))))</f>
        <v>0.8825146913</v>
      </c>
      <c r="V59" s="65">
        <f>IF(S59="","",Method!$B$4*IF(BC59="",I59,BC59)+(1-Method!$B$4)*S59/($S59+$T59+$U59))</f>
        <v>0.05470430191</v>
      </c>
      <c r="W59" s="65">
        <f>IF(T59="","",Method!$B$4*IF(BD59="",J59,BD59)+(1-Method!$B$4)*T59/($S59+$T59+$U59))</f>
        <v>0.1375142759</v>
      </c>
      <c r="X59" s="65">
        <f>IF(U59="","",Method!$B$4*IF(BE59="",K59,BE59)+(1-Method!$B$4)*U59/($S59+$T59+$U59))</f>
        <v>0.8077814222</v>
      </c>
      <c r="Y59" s="66">
        <f t="shared" ref="Y59:AA59" si="130">IF(V59="","",V59*L59-1)</f>
        <v>0.1487903402</v>
      </c>
      <c r="Z59" s="66">
        <f t="shared" si="130"/>
        <v>0.3751427587</v>
      </c>
      <c r="AA59" s="66">
        <f t="shared" si="130"/>
        <v>-0.1114404356</v>
      </c>
      <c r="AB59" s="67">
        <f t="shared" si="6"/>
        <v>2</v>
      </c>
      <c r="AC59" s="67" t="str">
        <f t="shared" si="7"/>
        <v>D</v>
      </c>
      <c r="AD59" s="68" t="str">
        <f t="shared" si="8"/>
        <v>X  Draw</v>
      </c>
      <c r="AE59" s="35">
        <f t="shared" si="9"/>
        <v>10</v>
      </c>
      <c r="AF59" s="66">
        <f t="shared" si="10"/>
        <v>0.3751427587</v>
      </c>
      <c r="AG59" s="66">
        <f t="shared" si="11"/>
        <v>0.05358193969</v>
      </c>
      <c r="AH59" s="69" t="str">
        <f t="array" ref="AH59">IF(AB59="","· enter odds",IF(OR(AF59&gt;Method!$B$87,IFERROR(INDEX(BC59:BE59,1,AB59)/INDEX(S59:U59,1,AB59),0)&gt;Method!$B$88),"PASS",IF(AND(AF59&gt;=Method!$B$7,AG59&gt;=Method!$B$8),"BET","PASS")))</f>
        <v>PASS</v>
      </c>
      <c r="AI59" s="70">
        <f>IF(AH59&lt;&gt;"BET",0,ROUND(MIN(Method!$B$6,Method!$B$5*AL59)*100,1))</f>
        <v>0</v>
      </c>
      <c r="AJ59" s="71">
        <f>IF(OR(AH59&lt;&gt;"BET",Method!$B$55=TRUE()),0,IF(AI59*Method!$B$10/100&lt;Method!$B$9,0,ROUND(AI59*Method!$B$10/100,0)))</f>
        <v>0</v>
      </c>
      <c r="AK59" s="65">
        <f t="shared" si="12"/>
        <v>0.1375142759</v>
      </c>
      <c r="AL59" s="65" t="str">
        <f t="shared" si="13"/>
        <v/>
      </c>
      <c r="AM59" s="67" t="str">
        <f t="shared" si="14"/>
        <v/>
      </c>
      <c r="AN59" s="72" t="str">
        <f>IF(Matchday!N61="","",Matchday!N61)</f>
        <v/>
      </c>
      <c r="AO59" s="64" t="str">
        <f>IF(Matchday!P61="","",Matchday!P61)</f>
        <v/>
      </c>
      <c r="AP59" s="73" t="str">
        <f>IF(Matchday!Q61="","",Matchday!Q61)</f>
        <v/>
      </c>
      <c r="AQ59" s="72" t="str">
        <f>IF(Matchday!R61="","",Matchday!R61)</f>
        <v>A</v>
      </c>
      <c r="AR59" s="74" t="str">
        <f t="shared" si="15"/>
        <v/>
      </c>
      <c r="AS59" s="74" t="str">
        <f t="shared" si="16"/>
        <v/>
      </c>
      <c r="AT59" s="33" t="str">
        <f>IFERROR(__xludf.DUMMYFUNCTION("IF(AB59="""",""Type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pauses."")),IF(AH59=""BET"",IF(AJ59=0,""Edge found but stake rounds under £""&amp;Method!$B$9&amp;"" — skip"",IF(AND(AE59&gt;=6,AG59&gt;=0.15),""🟡 WAIT — long-shot review: odds ""&amp;TEXT(AE59,""0.00"")&amp;"" + edge ""&amp;TEXT(AG59,""0.0%"")"&amp;"&amp;"" — verify sharp-book + team news + stake comfort before Placed=Y"",""Value found: EV ""&amp;TEXT(AF59,""0.0%"")&amp;"", edge ""&amp;TEXT(AG59,""0.0%""))),IF(OR(AF59&gt;Method!$B$87,IFERROR(INDEX(BC59:BE59,1,AB59)/INDEX(S59:U59,1,AB59),0)&gt;Method!$B$88),""🛑 Tail trap "&amp;"— auto-PASS · EV ""&amp;TEXT(AF59,""0.0%"")&amp;"" (cap ""&amp;TEXT(Method!$B$87,""0%"")&amp;"") · model/market ""&amp;TEXT(IFERROR(INDEX(BC59:BE59,1,AB59)/INDEX(S59:U59,1,AB59),0),""0.0"")&amp;""× (cap ""&amp;TEXT(Method!$B$88,""0.0"")&amp;""×)"",IF(AF59&lt;Method!$B$7,""Price too short —"&amp;" EV ""&amp;TEXT(AF59,""0.0%"")&amp;"" (need ""&amp;TEXT(Method!$B$7,""0.0%"")&amp;""+)"",""Model ≈ market — edge ""&amp;TEXT(AG59,""0.0%"")&amp;"" (need ""&amp;TEXT(Method!$B$8,""0.0%"")&amp;""+)"")))))"),"🛑 Tail trap — auto-PASS · EV 37.5% (cap 30%) · model/market 2.8× (cap 2.5×)")</f>
        <v>🛑 Tail trap — auto-PASS · EV 37.5% (cap 30%) · model/market 2.8× (cap 2.5×)</v>
      </c>
      <c r="AU59" s="33" t="str">
        <f t="shared" si="17"/>
        <v/>
      </c>
      <c r="AV59" s="32" t="str">
        <f>IF(Matchday!O61="","",Matchday!O61)</f>
        <v/>
      </c>
      <c r="AW59" s="75"/>
      <c r="AX59" s="75"/>
      <c r="AY59" s="75"/>
      <c r="AZ59" s="75" t="str">
        <f t="shared" si="18"/>
        <v>PASS</v>
      </c>
      <c r="BA59" s="76">
        <f>IF(AX59&lt;&gt;"",AX59,IF(AH59&lt;&gt;"BET",0,IF(AI59*Method!$B$10/100&lt;Method!$B$9,0,ROUND(AI59*Method!$B$10/100,0))))</f>
        <v>0</v>
      </c>
      <c r="BB59" s="12">
        <v>-29.76</v>
      </c>
      <c r="BC59" s="12">
        <v>0.0939853421990401</v>
      </c>
      <c r="BD59" s="12">
        <v>0.2370235924413312</v>
      </c>
      <c r="BE59" s="12">
        <v>0.6689910653596287</v>
      </c>
      <c r="BF59" s="14" t="s">
        <v>359</v>
      </c>
      <c r="BG59" s="12">
        <v>270.0</v>
      </c>
      <c r="BH59" s="14" t="s">
        <v>314</v>
      </c>
      <c r="BI59" s="12">
        <v>1582.1</v>
      </c>
    </row>
    <row r="60" ht="15.0" customHeight="1">
      <c r="A60" s="32">
        <v>59.0</v>
      </c>
      <c r="B60" s="59">
        <v>46198.0</v>
      </c>
      <c r="C60" s="60" t="s">
        <v>113</v>
      </c>
      <c r="D60" s="61" t="s">
        <v>59</v>
      </c>
      <c r="E60" s="61" t="s">
        <v>50</v>
      </c>
      <c r="F60" s="61" t="s">
        <v>267</v>
      </c>
      <c r="G60" s="62">
        <v>0.9166666666678793</v>
      </c>
      <c r="H60" s="60" t="s">
        <v>325</v>
      </c>
      <c r="I60" s="63">
        <v>0.48370047799758303</v>
      </c>
      <c r="J60" s="63">
        <v>0.2619296325250805</v>
      </c>
      <c r="K60" s="63">
        <v>0.2543698894773364</v>
      </c>
      <c r="L60" s="64">
        <f>IF(Matchday!E62="","",Matchday!E62)</f>
        <v>3.7</v>
      </c>
      <c r="M60" s="64">
        <f>IF(Matchday!F62="","",Matchday!F62)</f>
        <v>4</v>
      </c>
      <c r="N60" s="64">
        <f>IF(Matchday!G62="","",Matchday!G62)</f>
        <v>1.87</v>
      </c>
      <c r="O60" s="65">
        <f t="shared" ref="O60:Q60" si="131">IF(L60="","",1/L60)</f>
        <v>0.2702702703</v>
      </c>
      <c r="P60" s="65">
        <f t="shared" si="131"/>
        <v>0.25</v>
      </c>
      <c r="Q60" s="65">
        <f t="shared" si="131"/>
        <v>0.5347593583</v>
      </c>
      <c r="R60" s="65">
        <f t="shared" si="4"/>
        <v>1.055029629</v>
      </c>
      <c r="S60" s="65">
        <f t="array" ref="S60">IF($R60="","",IF(Method!$B$56="proportional",O60/$R60,IF(Method!$B$56="power",IFERROR(INDEX(power_devig($L60,$M60,$N60),1,1),O60/$R60),IFERROR(INDEX(shin($L60,$M60,$N60),1,1),O60/$R60))))</f>
        <v>0.253012783</v>
      </c>
      <c r="T60" s="65">
        <f t="array" ref="T60">IF($R60="","",IF(Method!$B$56="proportional",P60/$R60,IF(Method!$B$56="power",IFERROR(INDEX(power_devig($L60,$M60,$N60),2,1),P60/$R60),IFERROR(INDEX(shin($L60,$M60,$N60),2,1),P60/$R60))))</f>
        <v>0.2330304777</v>
      </c>
      <c r="U60" s="65">
        <f t="array" ref="U60">IF($R60="","",IF(Method!$B$56="proportional",Q60/$R60,IF(Method!$B$56="power",IFERROR(INDEX(power_devig($L60,$M60,$N60),3,1),Q60/$R60),IFERROR(INDEX(shin($L60,$M60,$N60),3,1),Q60/$R60))))</f>
        <v>0.5139567393</v>
      </c>
      <c r="V60" s="65">
        <f>IF(S60="","",Method!$B$4*IF(BC60="",I60,BC60)+(1-Method!$B$4)*S60/($S60+$T60+$U60))</f>
        <v>0.3275217029</v>
      </c>
      <c r="W60" s="65">
        <f>IF(T60="","",Method!$B$4*IF(BD60="",J60,BD60)+(1-Method!$B$4)*T60/($S60+$T60+$U60))</f>
        <v>0.2475493775</v>
      </c>
      <c r="X60" s="65">
        <f>IF(U60="","",Method!$B$4*IF(BE60="",K60,BE60)+(1-Method!$B$4)*U60/($S60+$T60+$U60))</f>
        <v>0.4249289196</v>
      </c>
      <c r="Y60" s="66">
        <f t="shared" ref="Y60:AA60" si="132">IF(V60="","",V60*L60-1)</f>
        <v>0.2118303007</v>
      </c>
      <c r="Z60" s="66">
        <f t="shared" si="132"/>
        <v>-0.009802490042</v>
      </c>
      <c r="AA60" s="66">
        <f t="shared" si="132"/>
        <v>-0.2053829203</v>
      </c>
      <c r="AB60" s="67">
        <f t="shared" si="6"/>
        <v>1</v>
      </c>
      <c r="AC60" s="67" t="str">
        <f t="shared" si="7"/>
        <v>H</v>
      </c>
      <c r="AD60" s="68" t="str">
        <f t="shared" si="8"/>
        <v>1  Turkey</v>
      </c>
      <c r="AE60" s="35">
        <f t="shared" si="9"/>
        <v>3.7</v>
      </c>
      <c r="AF60" s="66">
        <f t="shared" si="10"/>
        <v>0.2118303007</v>
      </c>
      <c r="AG60" s="66">
        <f t="shared" si="11"/>
        <v>0.07450891992</v>
      </c>
      <c r="AH60" s="69" t="str">
        <f t="array" ref="AH60">IF(AB60="","· enter odds",IF(OR(AF60&gt;Method!$B$87,IFERROR(INDEX(BC60:BE60,1,AB60)/INDEX(S60:U60,1,AB60),0)&gt;Method!$B$88),"PASS",IF(AND(AF60&gt;=Method!$B$7,AG60&gt;=Method!$B$8),"BET","PASS")))</f>
        <v>BET</v>
      </c>
      <c r="AI60" s="70">
        <f>IF(AH60&lt;&gt;"BET",0,ROUND(MIN(Method!$B$6,Method!$B$5*AL60)*100,1))</f>
        <v>2</v>
      </c>
      <c r="AJ60" s="71">
        <f>IF(OR(AH60&lt;&gt;"BET",Method!$B$55=TRUE()),0,IF(AI60*Method!$B$10/100&lt;Method!$B$9,0,ROUND(AI60*Method!$B$10/100,0)))</f>
        <v>19</v>
      </c>
      <c r="AK60" s="65">
        <f t="shared" si="12"/>
        <v>0.3275217029</v>
      </c>
      <c r="AL60" s="65">
        <f t="shared" si="13"/>
        <v>0.07845566693</v>
      </c>
      <c r="AM60" s="66">
        <f t="shared" si="14"/>
        <v>0.2118893007</v>
      </c>
      <c r="AN60" s="72" t="str">
        <f>IF(Matchday!N62="","",Matchday!N62)</f>
        <v/>
      </c>
      <c r="AO60" s="64" t="str">
        <f>IF(Matchday!P62="","",Matchday!P62)</f>
        <v/>
      </c>
      <c r="AP60" s="73" t="str">
        <f>IF(Matchday!Q62="","",Matchday!Q62)</f>
        <v/>
      </c>
      <c r="AQ60" s="72" t="str">
        <f>IF(Matchday!R62="","",Matchday!R62)</f>
        <v>H</v>
      </c>
      <c r="AR60" s="74" t="str">
        <f t="shared" si="15"/>
        <v/>
      </c>
      <c r="AS60" s="74" t="str">
        <f t="shared" si="16"/>
        <v/>
      </c>
      <c r="AT60" s="33" t="str">
        <f>IFERROR(__xludf.DUMMYFUNCTION("IF(AB60="""",""Type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pauses."")),IF(AH60=""BET"",IF(AJ60=0,""Edge found but stake rounds under £""&amp;Method!$B$9&amp;"" — skip"",IF(AND(AE60&gt;=6,AG60&gt;=0.15),""🟡 WAIT — long-shot review: odds ""&amp;TEXT(AE60,""0.00"")&amp;"" + edge ""&amp;TEXT(AG60,""0.0%"")"&amp;"&amp;"" — verify sharp-book + team news + stake comfort before Placed=Y"",""Value found: EV ""&amp;TEXT(AF60,""0.0%"")&amp;"", edge ""&amp;TEXT(AG60,""0.0%""))),IF(OR(AF60&gt;Method!$B$87,IFERROR(INDEX(BC60:BE60,1,AB60)/INDEX(S60:U60,1,AB60),0)&gt;Method!$B$88),""🛑 Tail trap "&amp;"— auto-PASS · EV ""&amp;TEXT(AF60,""0.0%"")&amp;"" (cap ""&amp;TEXT(Method!$B$87,""0%"")&amp;"") · model/market ""&amp;TEXT(IFERROR(INDEX(BC60:BE60,1,AB60)/INDEX(S60:U60,1,AB60),0),""0.0"")&amp;""× (cap ""&amp;TEXT(Method!$B$88,""0.0"")&amp;""×)"",IF(AF60&lt;Method!$B$7,""Price too short —"&amp;" EV ""&amp;TEXT(AF60,""0.0%"")&amp;"" (need ""&amp;TEXT(Method!$B$7,""0.0%"")&amp;""+)"",""Model ≈ market — edge ""&amp;TEXT(AG60,""0.0%"")&amp;"" (need ""&amp;TEXT(Method!$B$8,""0.0%"")&amp;""+)"")))))"),"Value found: EV 21.2%, edge 7.5%")</f>
        <v>Value found: EV 21.2%, edge 7.5%</v>
      </c>
      <c r="AU60" s="33" t="str">
        <f t="shared" si="17"/>
        <v/>
      </c>
      <c r="AV60" s="32" t="str">
        <f>IF(Matchday!O62="","",Matchday!O62)</f>
        <v/>
      </c>
      <c r="AW60" s="75"/>
      <c r="AX60" s="75"/>
      <c r="AY60" s="75"/>
      <c r="AZ60" s="75" t="str">
        <f t="shared" si="18"/>
        <v>BET</v>
      </c>
      <c r="BA60" s="76">
        <f>IF(AX60&lt;&gt;"",AX60,IF(AH60&lt;&gt;"BET",0,IF(AI60*Method!$B$10/100&lt;Method!$B$9,0,ROUND(AI60*Method!$B$10/100,0))))</f>
        <v>19</v>
      </c>
      <c r="BB60" s="12">
        <v>-16.78</v>
      </c>
      <c r="BC60" s="12">
        <v>0.4658954113262275</v>
      </c>
      <c r="BD60" s="12">
        <v>0.27451304844173224</v>
      </c>
      <c r="BE60" s="12">
        <v>0.2595915402320401</v>
      </c>
      <c r="BF60" s="14" t="s">
        <v>360</v>
      </c>
      <c r="BG60" s="12">
        <v>30.0</v>
      </c>
      <c r="BH60" s="14" t="s">
        <v>270</v>
      </c>
      <c r="BI60" s="12">
        <v>504.6</v>
      </c>
    </row>
    <row r="61" ht="15.0" customHeight="1">
      <c r="A61" s="32">
        <v>60.0</v>
      </c>
      <c r="B61" s="59">
        <v>46198.0</v>
      </c>
      <c r="C61" s="60" t="s">
        <v>113</v>
      </c>
      <c r="D61" s="61" t="s">
        <v>51</v>
      </c>
      <c r="E61" s="61" t="s">
        <v>58</v>
      </c>
      <c r="F61" s="61" t="s">
        <v>271</v>
      </c>
      <c r="G61" s="62">
        <v>0.9166666666678793</v>
      </c>
      <c r="H61" s="60" t="s">
        <v>325</v>
      </c>
      <c r="I61" s="63">
        <v>0.36125851344733917</v>
      </c>
      <c r="J61" s="63">
        <v>0.3113782762933517</v>
      </c>
      <c r="K61" s="63">
        <v>0.32736321025930926</v>
      </c>
      <c r="L61" s="64">
        <f>IF(Matchday!E63="","",Matchday!E63)</f>
        <v>2.55</v>
      </c>
      <c r="M61" s="64">
        <f>IF(Matchday!F63="","",Matchday!F63)</f>
        <v>2.25</v>
      </c>
      <c r="N61" s="64">
        <f>IF(Matchday!G63="","",Matchday!G63)</f>
        <v>4.33</v>
      </c>
      <c r="O61" s="65">
        <f t="shared" ref="O61:Q61" si="133">IF(L61="","",1/L61)</f>
        <v>0.3921568627</v>
      </c>
      <c r="P61" s="65">
        <f t="shared" si="133"/>
        <v>0.4444444444</v>
      </c>
      <c r="Q61" s="65">
        <f t="shared" si="133"/>
        <v>0.2309468822</v>
      </c>
      <c r="R61" s="65">
        <f t="shared" si="4"/>
        <v>1.067548189</v>
      </c>
      <c r="S61" s="65">
        <f t="array" ref="S61">IF($R61="","",IF(Method!$B$56="proportional",O61/$R61,IF(Method!$B$56="power",IFERROR(INDEX(power_devig($L61,$M61,$N61),1,1),O61/$R61),IFERROR(INDEX(shin($L61,$M61,$N61),1,1),O61/$R61))))</f>
        <v>0.3690074991</v>
      </c>
      <c r="T61" s="65">
        <f t="array" ref="T61">IF($R61="","",IF(Method!$B$56="proportional",P61/$R61,IF(Method!$B$56="power",IFERROR(INDEX(power_devig($L61,$M61,$N61),2,1),P61/$R61),IFERROR(INDEX(shin($L61,$M61,$N61),2,1),P61/$R61))))</f>
        <v>0.4204468537</v>
      </c>
      <c r="U61" s="65">
        <f t="array" ref="U61">IF($R61="","",IF(Method!$B$56="proportional",Q61/$R61,IF(Method!$B$56="power",IFERROR(INDEX(power_devig($L61,$M61,$N61),3,1),Q61/$R61),IFERROR(INDEX(shin($L61,$M61,$N61),3,1),Q61/$R61))))</f>
        <v>0.2105456472</v>
      </c>
      <c r="V61" s="65">
        <f>IF(S61="","",Method!$B$4*IF(BC61="",I61,BC61)+(1-Method!$B$4)*S61/($S61+$T61+$U61))</f>
        <v>0.3692878285</v>
      </c>
      <c r="W61" s="65">
        <f>IF(T61="","",Method!$B$4*IF(BD61="",J61,BD61)+(1-Method!$B$4)*T61/($S61+$T61+$U61))</f>
        <v>0.3643771921</v>
      </c>
      <c r="X61" s="65">
        <f>IF(U61="","",Method!$B$4*IF(BE61="",K61,BE61)+(1-Method!$B$4)*U61/($S61+$T61+$U61))</f>
        <v>0.2663349794</v>
      </c>
      <c r="Y61" s="66">
        <f t="shared" ref="Y61:AA61" si="134">IF(V61="","",V61*L61-1)</f>
        <v>-0.05831603737</v>
      </c>
      <c r="Z61" s="66">
        <f t="shared" si="134"/>
        <v>-0.1801513178</v>
      </c>
      <c r="AA61" s="66">
        <f t="shared" si="134"/>
        <v>0.1532304609</v>
      </c>
      <c r="AB61" s="67">
        <f t="shared" si="6"/>
        <v>3</v>
      </c>
      <c r="AC61" s="67" t="str">
        <f t="shared" si="7"/>
        <v>A</v>
      </c>
      <c r="AD61" s="68" t="str">
        <f t="shared" si="8"/>
        <v>2  Australia</v>
      </c>
      <c r="AE61" s="35">
        <f t="shared" si="9"/>
        <v>4.33</v>
      </c>
      <c r="AF61" s="66">
        <f t="shared" si="10"/>
        <v>0.1532304609</v>
      </c>
      <c r="AG61" s="66">
        <f t="shared" si="11"/>
        <v>0.0557893322</v>
      </c>
      <c r="AH61" s="69" t="str">
        <f t="array" ref="AH61">IF(AB61="","· enter odds",IF(OR(AF61&gt;Method!$B$87,IFERROR(INDEX(BC61:BE61,1,AB61)/INDEX(S61:U61,1,AB61),0)&gt;Method!$B$88),"PASS",IF(AND(AF61&gt;=Method!$B$7,AG61&gt;=Method!$B$8),"BET","PASS")))</f>
        <v>BET</v>
      </c>
      <c r="AI61" s="70">
        <f>IF(AH61&lt;&gt;"BET",0,ROUND(MIN(Method!$B$6,Method!$B$5*AL61)*100,1))</f>
        <v>1.2</v>
      </c>
      <c r="AJ61" s="71">
        <f>IF(OR(AH61&lt;&gt;"BET",Method!$B$55=TRUE()),0,IF(AI61*Method!$B$10/100&lt;Method!$B$9,0,ROUND(AI61*Method!$B$10/100,0)))</f>
        <v>12</v>
      </c>
      <c r="AK61" s="65">
        <f t="shared" si="12"/>
        <v>0.2663349794</v>
      </c>
      <c r="AL61" s="65">
        <f t="shared" si="13"/>
        <v>0.04601515341</v>
      </c>
      <c r="AM61" s="66">
        <f t="shared" si="14"/>
        <v>0.1532904609</v>
      </c>
      <c r="AN61" s="72" t="str">
        <f>IF(Matchday!N63="","",Matchday!N63)</f>
        <v/>
      </c>
      <c r="AO61" s="64" t="str">
        <f>IF(Matchday!P63="","",Matchday!P63)</f>
        <v/>
      </c>
      <c r="AP61" s="73" t="str">
        <f>IF(Matchday!Q63="","",Matchday!Q63)</f>
        <v/>
      </c>
      <c r="AQ61" s="72" t="str">
        <f>IF(Matchday!R63="","",Matchday!R63)</f>
        <v>D</v>
      </c>
      <c r="AR61" s="74" t="str">
        <f t="shared" si="15"/>
        <v/>
      </c>
      <c r="AS61" s="74" t="str">
        <f t="shared" si="16"/>
        <v/>
      </c>
      <c r="AT61" s="33" t="str">
        <f>IFERROR(__xludf.DUMMYFUNCTION("IF(AB61="""",""Type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pauses."")),IF(AH61=""BET"",IF(AJ61=0,""Edge found but stake rounds under £""&amp;Method!$B$9&amp;"" — skip"",IF(AND(AE61&gt;=6,AG61&gt;=0.15),""🟡 WAIT — long-shot review: odds ""&amp;TEXT(AE61,""0.00"")&amp;"" + edge ""&amp;TEXT(AG61,""0.0%"")"&amp;"&amp;"" — verify sharp-book + team news + stake comfort before Placed=Y"",""Value found: EV ""&amp;TEXT(AF61,""0.0%"")&amp;"", edge ""&amp;TEXT(AG61,""0.0%""))),IF(OR(AF61&gt;Method!$B$87,IFERROR(INDEX(BC61:BE61,1,AB61)/INDEX(S61:U61,1,AB61),0)&gt;Method!$B$88),""🛑 Tail trap "&amp;"— auto-PASS · EV ""&amp;TEXT(AF61,""0.0%"")&amp;"" (cap ""&amp;TEXT(Method!$B$87,""0%"")&amp;"") · model/market ""&amp;TEXT(IFERROR(INDEX(BC61:BE61,1,AB61)/INDEX(S61:U61,1,AB61),0),""0.0"")&amp;""× (cap ""&amp;TEXT(Method!$B$88,""0.0"")&amp;""×)"",IF(AF61&lt;Method!$B$7,""Price too short —"&amp;" EV ""&amp;TEXT(AF61,""0.0%"")&amp;"" (need ""&amp;TEXT(Method!$B$7,""0.0%"")&amp;""+)"",""Model ≈ market — edge ""&amp;TEXT(AG61,""0.0%"")&amp;"" (need ""&amp;TEXT(Method!$B$8,""0.0%"")&amp;""+)"")))))"),"Value found: EV 15.3%, edge 5.6%")</f>
        <v>Value found: EV 15.3%, edge 5.6%</v>
      </c>
      <c r="AU61" s="33" t="str">
        <f t="shared" si="17"/>
        <v/>
      </c>
      <c r="AV61" s="32" t="str">
        <f>IF(Matchday!O63="","",Matchday!O63)</f>
        <v/>
      </c>
      <c r="AW61" s="75"/>
      <c r="AX61" s="75"/>
      <c r="AY61" s="75"/>
      <c r="AZ61" s="75" t="str">
        <f t="shared" si="18"/>
        <v>BET</v>
      </c>
      <c r="BA61" s="76">
        <f>IF(AX61&lt;&gt;"",AX61,IF(AH61&lt;&gt;"BET",0,IF(AI61*Method!$B$10/100&lt;Method!$B$9,0,ROUND(AI61*Method!$B$10/100,0))))</f>
        <v>12</v>
      </c>
      <c r="BB61" s="12">
        <v>-63.89</v>
      </c>
      <c r="BC61" s="12">
        <v>0.3698084402845825</v>
      </c>
      <c r="BD61" s="12">
        <v>0.26024782049666667</v>
      </c>
      <c r="BE61" s="12">
        <v>0.36994373921875084</v>
      </c>
      <c r="BF61" s="14" t="s">
        <v>361</v>
      </c>
      <c r="BG61" s="12">
        <v>8.0</v>
      </c>
      <c r="BH61" s="14" t="s">
        <v>273</v>
      </c>
      <c r="BI61" s="12">
        <v>0.0</v>
      </c>
    </row>
    <row r="62" ht="15.0" customHeight="1">
      <c r="A62" s="32">
        <v>61.0</v>
      </c>
      <c r="B62" s="59">
        <v>46199.0</v>
      </c>
      <c r="C62" s="60" t="s">
        <v>308</v>
      </c>
      <c r="D62" s="61" t="s">
        <v>79</v>
      </c>
      <c r="E62" s="61" t="s">
        <v>76</v>
      </c>
      <c r="F62" s="61" t="s">
        <v>277</v>
      </c>
      <c r="G62" s="62">
        <v>0.625</v>
      </c>
      <c r="H62" s="62">
        <v>0.8333333333321207</v>
      </c>
      <c r="I62" s="63">
        <v>0.2996623498755426</v>
      </c>
      <c r="J62" s="63">
        <v>0.24490354027686115</v>
      </c>
      <c r="K62" s="63">
        <v>0.4554341098475963</v>
      </c>
      <c r="L62" s="64">
        <f>IF(Matchday!E64="","",Matchday!E64)</f>
        <v>4.75</v>
      </c>
      <c r="M62" s="64">
        <f>IF(Matchday!F64="","",Matchday!F64)</f>
        <v>4.75</v>
      </c>
      <c r="N62" s="64">
        <f>IF(Matchday!G64="","",Matchday!G64)</f>
        <v>1.61</v>
      </c>
      <c r="O62" s="65">
        <f t="shared" ref="O62:Q62" si="135">IF(L62="","",1/L62)</f>
        <v>0.2105263158</v>
      </c>
      <c r="P62" s="65">
        <f t="shared" si="135"/>
        <v>0.2105263158</v>
      </c>
      <c r="Q62" s="65">
        <f t="shared" si="135"/>
        <v>0.6211180124</v>
      </c>
      <c r="R62" s="65">
        <f t="shared" si="4"/>
        <v>1.042170644</v>
      </c>
      <c r="S62" s="65">
        <f t="array" ref="S62">IF($R62="","",IF(Method!$B$56="proportional",O62/$R62,IF(Method!$B$56="power",IFERROR(INDEX(power_devig($L62,$M62,$N62),1,1),O62/$R62),IFERROR(INDEX(shin($L62,$M62,$N62),1,1),O62/$R62))))</f>
        <v>0.1978827714</v>
      </c>
      <c r="T62" s="65">
        <f t="array" ref="T62">IF($R62="","",IF(Method!$B$56="proportional",P62/$R62,IF(Method!$B$56="power",IFERROR(INDEX(power_devig($L62,$M62,$N62),2,1),P62/$R62),IFERROR(INDEX(shin($L62,$M62,$N62),2,1),P62/$R62))))</f>
        <v>0.1978827714</v>
      </c>
      <c r="U62" s="65">
        <f t="array" ref="U62">IF($R62="","",IF(Method!$B$56="proportional",Q62/$R62,IF(Method!$B$56="power",IFERROR(INDEX(power_devig($L62,$M62,$N62),3,1),Q62/$R62),IFERROR(INDEX(shin($L62,$M62,$N62),3,1),Q62/$R62))))</f>
        <v>0.6042344571</v>
      </c>
      <c r="V62" s="65">
        <f>IF(S62="","",Method!$B$4*IF(BC62="",I62,BC62)+(1-Method!$B$4)*S62/($S62+$T62+$U62))</f>
        <v>0.2291821415</v>
      </c>
      <c r="W62" s="65">
        <f>IF(T62="","",Method!$B$4*IF(BD62="",J62,BD62)+(1-Method!$B$4)*T62/($S62+$T62+$U62))</f>
        <v>0.2240253187</v>
      </c>
      <c r="X62" s="65">
        <f>IF(U62="","",Method!$B$4*IF(BE62="",K62,BE62)+(1-Method!$B$4)*U62/($S62+$T62+$U62))</f>
        <v>0.5467925399</v>
      </c>
      <c r="Y62" s="66">
        <f t="shared" ref="Y62:AA62" si="136">IF(V62="","",V62*L62-1)</f>
        <v>0.08861517198</v>
      </c>
      <c r="Z62" s="66">
        <f t="shared" si="136"/>
        <v>0.06412026361</v>
      </c>
      <c r="AA62" s="66">
        <f t="shared" si="136"/>
        <v>-0.1196640108</v>
      </c>
      <c r="AB62" s="67">
        <f t="shared" si="6"/>
        <v>1</v>
      </c>
      <c r="AC62" s="67" t="str">
        <f t="shared" si="7"/>
        <v>H</v>
      </c>
      <c r="AD62" s="68" t="str">
        <f t="shared" si="8"/>
        <v>1  Norway</v>
      </c>
      <c r="AE62" s="35">
        <f t="shared" si="9"/>
        <v>4.75</v>
      </c>
      <c r="AF62" s="66">
        <f t="shared" si="10"/>
        <v>0.08861517198</v>
      </c>
      <c r="AG62" s="66">
        <f t="shared" si="11"/>
        <v>0.03129937002</v>
      </c>
      <c r="AH62" s="69" t="str">
        <f t="array" ref="AH62">IF(AB62="","· enter odds",IF(OR(AF62&gt;Method!$B$87,IFERROR(INDEX(BC62:BE62,1,AB62)/INDEX(S62:U62,1,AB62),0)&gt;Method!$B$88),"PASS",IF(AND(AF62&gt;=Method!$B$7,AG62&gt;=Method!$B$8),"BET","PASS")))</f>
        <v>BET</v>
      </c>
      <c r="AI62" s="70">
        <f>IF(AH62&lt;&gt;"BET",0,ROUND(MIN(Method!$B$6,Method!$B$5*AL62)*100,1))</f>
        <v>0.6</v>
      </c>
      <c r="AJ62" s="71">
        <f>IF(OR(AH62&lt;&gt;"BET",Method!$B$55=TRUE()),0,IF(AI62*Method!$B$10/100&lt;Method!$B$9,0,ROUND(AI62*Method!$B$10/100,0)))</f>
        <v>6</v>
      </c>
      <c r="AK62" s="65">
        <f t="shared" si="12"/>
        <v>0.2291821415</v>
      </c>
      <c r="AL62" s="65">
        <f t="shared" si="13"/>
        <v>0.02363071253</v>
      </c>
      <c r="AM62" s="66">
        <f t="shared" si="14"/>
        <v>0.08867617198</v>
      </c>
      <c r="AN62" s="72" t="str">
        <f>IF(Matchday!N64="","",Matchday!N64)</f>
        <v/>
      </c>
      <c r="AO62" s="64" t="str">
        <f>IF(Matchday!P64="","",Matchday!P64)</f>
        <v/>
      </c>
      <c r="AP62" s="73" t="str">
        <f>IF(Matchday!Q64="","",Matchday!Q64)</f>
        <v/>
      </c>
      <c r="AQ62" s="72" t="str">
        <f>IF(Matchday!R64="","",Matchday!R64)</f>
        <v>A</v>
      </c>
      <c r="AR62" s="74" t="str">
        <f t="shared" si="15"/>
        <v/>
      </c>
      <c r="AS62" s="74" t="str">
        <f t="shared" si="16"/>
        <v/>
      </c>
      <c r="AT62" s="33" t="str">
        <f>IFERROR(__xludf.DUMMYFUNCTION("IF(AB62="""",""Type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pauses."")),IF(AH62=""BET"",IF(AJ62=0,""Edge found but stake rounds under £""&amp;Method!$B$9&amp;"" — skip"",IF(AND(AE62&gt;=6,AG62&gt;=0.15),""🟡 WAIT — long-shot review: odds ""&amp;TEXT(AE62,""0.00"")&amp;"" + edge ""&amp;TEXT(AG62,""0.0%"")"&amp;"&amp;"" — verify sharp-book + team news + stake comfort before Placed=Y"",""Value found: EV ""&amp;TEXT(AF62,""0.0%"")&amp;"", edge ""&amp;TEXT(AG62,""0.0%""))),IF(OR(AF62&gt;Method!$B$87,IFERROR(INDEX(BC62:BE62,1,AB62)/INDEX(S62:U62,1,AB62),0)&gt;Method!$B$88),""🛑 Tail trap "&amp;"— auto-PASS · EV ""&amp;TEXT(AF62,""0.0%"")&amp;"" (cap ""&amp;TEXT(Method!$B$87,""0%"")&amp;"") · model/market ""&amp;TEXT(IFERROR(INDEX(BC62:BE62,1,AB62)/INDEX(S62:U62,1,AB62),0),""0.0"")&amp;""× (cap ""&amp;TEXT(Method!$B$88,""0.0"")&amp;""×)"",IF(AF62&lt;Method!$B$7,""Price too short —"&amp;" EV ""&amp;TEXT(AF62,""0.0%"")&amp;"" (need ""&amp;TEXT(Method!$B$7,""0.0%"")&amp;""+)"",""Model ≈ market — edge ""&amp;TEXT(AG62,""0.0%"")&amp;"" (need ""&amp;TEXT(Method!$B$8,""0.0%"")&amp;""+)"")))))"),"Value found: EV 8.9%, edge 3.1%")</f>
        <v>Value found: EV 8.9%, edge 3.1%</v>
      </c>
      <c r="AU62" s="33" t="str">
        <f t="shared" si="17"/>
        <v/>
      </c>
      <c r="AV62" s="32" t="str">
        <f>IF(Matchday!O64="","",Matchday!O64)</f>
        <v/>
      </c>
      <c r="AW62" s="75"/>
      <c r="AX62" s="75"/>
      <c r="AY62" s="75"/>
      <c r="AZ62" s="75" t="str">
        <f t="shared" si="18"/>
        <v>BET</v>
      </c>
      <c r="BA62" s="76">
        <f>IF(AX62&lt;&gt;"",AX62,IF(AH62&lt;&gt;"BET",0,IF(AI62*Method!$B$10/100&lt;Method!$B$9,0,ROUND(AI62*Method!$B$10/100,0))))</f>
        <v>6</v>
      </c>
      <c r="BB62" s="12">
        <v>8.36</v>
      </c>
      <c r="BC62" s="12">
        <v>0.28730954293223054</v>
      </c>
      <c r="BD62" s="12">
        <v>0.2725757634620399</v>
      </c>
      <c r="BE62" s="12">
        <v>0.4401146936057295</v>
      </c>
      <c r="BF62" s="14" t="s">
        <v>362</v>
      </c>
      <c r="BG62" s="12">
        <v>40.0</v>
      </c>
      <c r="BH62" s="14" t="s">
        <v>279</v>
      </c>
      <c r="BI62" s="12">
        <v>273.9</v>
      </c>
    </row>
    <row r="63" ht="15.0" customHeight="1">
      <c r="A63" s="32">
        <v>62.0</v>
      </c>
      <c r="B63" s="59">
        <v>46199.0</v>
      </c>
      <c r="C63" s="60" t="s">
        <v>308</v>
      </c>
      <c r="D63" s="61" t="s">
        <v>77</v>
      </c>
      <c r="E63" s="61" t="s">
        <v>78</v>
      </c>
      <c r="F63" s="61" t="s">
        <v>264</v>
      </c>
      <c r="G63" s="62">
        <v>0.625</v>
      </c>
      <c r="H63" s="62">
        <v>0.8333333333321207</v>
      </c>
      <c r="I63" s="63">
        <v>0.5508660795770921</v>
      </c>
      <c r="J63" s="63">
        <v>0.2772821977178713</v>
      </c>
      <c r="K63" s="63">
        <v>0.17185172270503654</v>
      </c>
      <c r="L63" s="64">
        <f>IF(Matchday!E65="","",Matchday!E65)</f>
        <v>1.22</v>
      </c>
      <c r="M63" s="64">
        <f>IF(Matchday!F65="","",Matchday!F65)</f>
        <v>7</v>
      </c>
      <c r="N63" s="64">
        <f>IF(Matchday!G65="","",Matchday!G65)</f>
        <v>12</v>
      </c>
      <c r="O63" s="65">
        <f t="shared" ref="O63:Q63" si="137">IF(L63="","",1/L63)</f>
        <v>0.8196721311</v>
      </c>
      <c r="P63" s="65">
        <f t="shared" si="137"/>
        <v>0.1428571429</v>
      </c>
      <c r="Q63" s="65">
        <f t="shared" si="137"/>
        <v>0.08333333333</v>
      </c>
      <c r="R63" s="65">
        <f t="shared" si="4"/>
        <v>1.045862607</v>
      </c>
      <c r="S63" s="65">
        <f t="array" ref="S63">IF($R63="","",IF(Method!$B$56="proportional",O63/$R63,IF(Method!$B$56="power",IFERROR(INDEX(power_devig($L63,$M63,$N63),1,1),O63/$R63),IFERROR(INDEX(shin($L63,$M63,$N63),1,1),O63/$R63))))</f>
        <v>0.7991109193</v>
      </c>
      <c r="T63" s="65">
        <f t="array" ref="T63">IF($R63="","",IF(Method!$B$56="proportional",P63/$R63,IF(Method!$B$56="power",IFERROR(INDEX(power_devig($L63,$M63,$N63),2,1),P63/$R63),IFERROR(INDEX(shin($L63,$M63,$N63),2,1),P63/$R63))))</f>
        <v>0.129713455</v>
      </c>
      <c r="U63" s="65">
        <f t="array" ref="U63">IF($R63="","",IF(Method!$B$56="proportional",Q63/$R63,IF(Method!$B$56="power",IFERROR(INDEX(power_devig($L63,$M63,$N63),3,1),Q63/$R63),IFERROR(INDEX(shin($L63,$M63,$N63),3,1),Q63/$R63))))</f>
        <v>0.07117562569</v>
      </c>
      <c r="V63" s="65">
        <f>IF(S63="","",Method!$B$4*IF(BC63="",I63,BC63)+(1-Method!$B$4)*S63/($S63+$T63+$U63))</f>
        <v>0.710681558</v>
      </c>
      <c r="W63" s="65">
        <f>IF(T63="","",Method!$B$4*IF(BD63="",J63,BD63)+(1-Method!$B$4)*T63/($S63+$T63+$U63))</f>
        <v>0.1800331918</v>
      </c>
      <c r="X63" s="65">
        <f>IF(U63="","",Method!$B$4*IF(BE63="",K63,BE63)+(1-Method!$B$4)*U63/($S63+$T63+$U63))</f>
        <v>0.1092852501</v>
      </c>
      <c r="Y63" s="66">
        <f t="shared" ref="Y63:AA63" si="138">IF(V63="","",V63*L63-1)</f>
        <v>-0.1329684992</v>
      </c>
      <c r="Z63" s="66">
        <f t="shared" si="138"/>
        <v>0.2602323428</v>
      </c>
      <c r="AA63" s="66">
        <f t="shared" si="138"/>
        <v>0.3114230017</v>
      </c>
      <c r="AB63" s="67">
        <f t="shared" si="6"/>
        <v>3</v>
      </c>
      <c r="AC63" s="67" t="str">
        <f t="shared" si="7"/>
        <v>A</v>
      </c>
      <c r="AD63" s="68" t="str">
        <f t="shared" si="8"/>
        <v>2  Iraq</v>
      </c>
      <c r="AE63" s="35">
        <f t="shared" si="9"/>
        <v>12</v>
      </c>
      <c r="AF63" s="66">
        <f t="shared" si="10"/>
        <v>0.3114230017</v>
      </c>
      <c r="AG63" s="66">
        <f t="shared" si="11"/>
        <v>0.03810962445</v>
      </c>
      <c r="AH63" s="69" t="str">
        <f t="array" ref="AH63">IF(AB63="","· enter odds",IF(OR(AF63&gt;Method!$B$87,IFERROR(INDEX(BC63:BE63,1,AB63)/INDEX(S63:U63,1,AB63),0)&gt;Method!$B$88),"PASS",IF(AND(AF63&gt;=Method!$B$7,AG63&gt;=Method!$B$8),"BET","PASS")))</f>
        <v>PASS</v>
      </c>
      <c r="AI63" s="70">
        <f>IF(AH63&lt;&gt;"BET",0,ROUND(MIN(Method!$B$6,Method!$B$5*AL63)*100,1))</f>
        <v>0</v>
      </c>
      <c r="AJ63" s="71">
        <f>IF(OR(AH63&lt;&gt;"BET",Method!$B$55=TRUE()),0,IF(AI63*Method!$B$10/100&lt;Method!$B$9,0,ROUND(AI63*Method!$B$10/100,0)))</f>
        <v>0</v>
      </c>
      <c r="AK63" s="65">
        <f t="shared" si="12"/>
        <v>0.1092852501</v>
      </c>
      <c r="AL63" s="65" t="str">
        <f t="shared" si="13"/>
        <v/>
      </c>
      <c r="AM63" s="66" t="str">
        <f t="shared" si="14"/>
        <v/>
      </c>
      <c r="AN63" s="72" t="str">
        <f>IF(Matchday!N65="","",Matchday!N65)</f>
        <v/>
      </c>
      <c r="AO63" s="64" t="str">
        <f>IF(Matchday!P65="","",Matchday!P65)</f>
        <v/>
      </c>
      <c r="AP63" s="73" t="str">
        <f>IF(Matchday!Q65="","",Matchday!Q65)</f>
        <v/>
      </c>
      <c r="AQ63" s="72" t="str">
        <f>IF(Matchday!R65="","",Matchday!R65)</f>
        <v>H</v>
      </c>
      <c r="AR63" s="74" t="str">
        <f t="shared" si="15"/>
        <v/>
      </c>
      <c r="AS63" s="74" t="str">
        <f t="shared" si="16"/>
        <v/>
      </c>
      <c r="AT63" s="33" t="str">
        <f>IFERROR(__xludf.DUMMYFUNCTION("IF(AB63="""",""Type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pauses."")),IF(AH63=""BET"",IF(AJ63=0,""Edge found but stake rounds under £""&amp;Method!$B$9&amp;"" — skip"",IF(AND(AE63&gt;=6,AG63&gt;=0.15),""🟡 WAIT — long-shot review: odds ""&amp;TEXT(AE63,""0.00"")&amp;"" + edge ""&amp;TEXT(AG63,""0.0%"")"&amp;"&amp;"" — verify sharp-book + team news + stake comfort before Placed=Y"",""Value found: EV ""&amp;TEXT(AF63,""0.0%"")&amp;"", edge ""&amp;TEXT(AG63,""0.0%""))),IF(OR(AF63&gt;Method!$B$87,IFERROR(INDEX(BC63:BE63,1,AB63)/INDEX(S63:U63,1,AB63),0)&gt;Method!$B$88),""🛑 Tail trap "&amp;"— auto-PASS · EV ""&amp;TEXT(AF63,""0.0%"")&amp;"" (cap ""&amp;TEXT(Method!$B$87,""0%"")&amp;"") · model/market ""&amp;TEXT(IFERROR(INDEX(BC63:BE63,1,AB63)/INDEX(S63:U63,1,AB63),0),""0.0"")&amp;""× (cap ""&amp;TEXT(Method!$B$88,""0.0"")&amp;""×)"",IF(AF63&lt;Method!$B$7,""Price too short —"&amp;" EV ""&amp;TEXT(AF63,""0.0%"")&amp;"" (need ""&amp;TEXT(Method!$B$7,""0.0%"")&amp;""+)"",""Model ≈ market — edge ""&amp;TEXT(AG63,""0.0%"")&amp;"" (need ""&amp;TEXT(Method!$B$8,""0.0%"")&amp;""+)"")))))"),"🛑 Tail trap — auto-PASS · EV 31.1% (cap 30%) · model/market 2.5× (cap 2.5×)")</f>
        <v>🛑 Tail trap — auto-PASS · EV 31.1% (cap 30%) · model/market 2.5× (cap 2.5×)</v>
      </c>
      <c r="AU63" s="33" t="str">
        <f t="shared" si="17"/>
        <v/>
      </c>
      <c r="AV63" s="32" t="str">
        <f>IF(Matchday!O65="","",Matchday!O65)</f>
        <v/>
      </c>
      <c r="AW63" s="75"/>
      <c r="AX63" s="75"/>
      <c r="AY63" s="75"/>
      <c r="AZ63" s="75" t="str">
        <f t="shared" si="18"/>
        <v>PASS</v>
      </c>
      <c r="BA63" s="76">
        <f>IF(AX63&lt;&gt;"",AX63,IF(AH63&lt;&gt;"BET",0,IF(AI63*Method!$B$10/100&lt;Method!$B$9,0,ROUND(AI63*Method!$B$10/100,0))))</f>
        <v>0</v>
      </c>
      <c r="BB63" s="12">
        <v>-24.119999999999997</v>
      </c>
      <c r="BC63" s="12">
        <v>0.5464556013210332</v>
      </c>
      <c r="BD63" s="12">
        <v>0.27348413170042374</v>
      </c>
      <c r="BE63" s="12">
        <v>0.1800602669785431</v>
      </c>
      <c r="BF63" s="14" t="s">
        <v>363</v>
      </c>
      <c r="BG63" s="12">
        <v>76.0</v>
      </c>
      <c r="BH63" s="14" t="s">
        <v>266</v>
      </c>
      <c r="BI63" s="12">
        <v>540.1</v>
      </c>
    </row>
    <row r="64" ht="15.0" customHeight="1">
      <c r="A64" s="32">
        <v>63.0</v>
      </c>
      <c r="B64" s="59">
        <v>46199.0</v>
      </c>
      <c r="C64" s="60" t="s">
        <v>111</v>
      </c>
      <c r="D64" s="61" t="s">
        <v>73</v>
      </c>
      <c r="E64" s="61" t="s">
        <v>68</v>
      </c>
      <c r="F64" s="61" t="s">
        <v>258</v>
      </c>
      <c r="G64" s="62">
        <v>0.8333333333321207</v>
      </c>
      <c r="H64" s="60" t="s">
        <v>259</v>
      </c>
      <c r="I64" s="63">
        <v>0.056407842309495033</v>
      </c>
      <c r="J64" s="63">
        <v>0.19236446436656224</v>
      </c>
      <c r="K64" s="63">
        <v>0.7512276933239428</v>
      </c>
      <c r="L64" s="64">
        <f>IF(Matchday!E66="","",Matchday!E66)</f>
        <v>6.5</v>
      </c>
      <c r="M64" s="64">
        <f>IF(Matchday!F66="","",Matchday!F66)</f>
        <v>3.8</v>
      </c>
      <c r="N64" s="64">
        <f>IF(Matchday!G66="","",Matchday!G66)</f>
        <v>1.61</v>
      </c>
      <c r="O64" s="65">
        <f t="shared" ref="O64:Q64" si="139">IF(L64="","",1/L64)</f>
        <v>0.1538461538</v>
      </c>
      <c r="P64" s="65">
        <f t="shared" si="139"/>
        <v>0.2631578947</v>
      </c>
      <c r="Q64" s="65">
        <f t="shared" si="139"/>
        <v>0.6211180124</v>
      </c>
      <c r="R64" s="65">
        <f t="shared" si="4"/>
        <v>1.038122061</v>
      </c>
      <c r="S64" s="65">
        <f t="array" ref="S64">IF($R64="","",IF(Method!$B$56="proportional",O64/$R64,IF(Method!$B$56="power",IFERROR(INDEX(power_devig($L64,$M64,$N64),1,1),O64/$R64),IFERROR(INDEX(shin($L64,$M64,$N64),1,1),O64/$R64))))</f>
        <v>0.1429838119</v>
      </c>
      <c r="T64" s="65">
        <f t="array" ref="T64">IF($R64="","",IF(Method!$B$56="proportional",P64/$R64,IF(Method!$B$56="power",IFERROR(INDEX(power_devig($L64,$M64,$N64),2,1),P64/$R64),IFERROR(INDEX(shin($L64,$M64,$N64),2,1),P64/$R64))))</f>
        <v>0.2511852646</v>
      </c>
      <c r="U64" s="65">
        <f t="array" ref="U64">IF($R64="","",IF(Method!$B$56="proportional",Q64/$R64,IF(Method!$B$56="power",IFERROR(INDEX(power_devig($L64,$M64,$N64),3,1),Q64/$R64),IFERROR(INDEX(shin($L64,$M64,$N64),3,1),Q64/$R64))))</f>
        <v>0.6058309235</v>
      </c>
      <c r="V64" s="65">
        <f>IF(S64="","",Method!$B$4*IF(BC64="",I64,BC64)+(1-Method!$B$4)*S64/($S64+$T64+$U64))</f>
        <v>0.1147639393</v>
      </c>
      <c r="W64" s="65">
        <f>IF(T64="","",Method!$B$4*IF(BD64="",J64,BD64)+(1-Method!$B$4)*T64/($S64+$T64+$U64))</f>
        <v>0.2371027297</v>
      </c>
      <c r="X64" s="65">
        <f>IF(U64="","",Method!$B$4*IF(BE64="",K64,BE64)+(1-Method!$B$4)*U64/($S64+$T64+$U64))</f>
        <v>0.6481333309</v>
      </c>
      <c r="Y64" s="66">
        <f t="shared" ref="Y64:AA64" si="140">IF(V64="","",V64*L64-1)</f>
        <v>-0.2540343942</v>
      </c>
      <c r="Z64" s="66">
        <f t="shared" si="140"/>
        <v>-0.099009627</v>
      </c>
      <c r="AA64" s="66">
        <f t="shared" si="140"/>
        <v>0.04349466277</v>
      </c>
      <c r="AB64" s="67">
        <f t="shared" si="6"/>
        <v>3</v>
      </c>
      <c r="AC64" s="67" t="str">
        <f t="shared" si="7"/>
        <v>A</v>
      </c>
      <c r="AD64" s="68" t="str">
        <f t="shared" si="8"/>
        <v>2  Spain</v>
      </c>
      <c r="AE64" s="35">
        <f t="shared" si="9"/>
        <v>1.61</v>
      </c>
      <c r="AF64" s="66">
        <f t="shared" si="10"/>
        <v>0.04349466277</v>
      </c>
      <c r="AG64" s="66">
        <f t="shared" si="11"/>
        <v>0.0423024074</v>
      </c>
      <c r="AH64" s="69" t="str">
        <f t="array" ref="AH64">IF(AB64="","· enter odds",IF(OR(AF64&gt;Method!$B$87,IFERROR(INDEX(BC64:BE64,1,AB64)/INDEX(S64:U64,1,AB64),0)&gt;Method!$B$88),"PASS",IF(AND(AF64&gt;=Method!$B$7,AG64&gt;=Method!$B$8),"BET","PASS")))</f>
        <v>BET</v>
      </c>
      <c r="AI64" s="70">
        <f>IF(AH64&lt;&gt;"BET",0,ROUND(MIN(Method!$B$6,Method!$B$5*AL64)*100,1))</f>
        <v>1.8</v>
      </c>
      <c r="AJ64" s="71">
        <f>IF(OR(AH64&lt;&gt;"BET",Method!$B$55=TRUE()),0,IF(AI64*Method!$B$10/100&lt;Method!$B$9,0,ROUND(AI64*Method!$B$10/100,0)))</f>
        <v>17</v>
      </c>
      <c r="AK64" s="65">
        <f t="shared" si="12"/>
        <v>0.6481333309</v>
      </c>
      <c r="AL64" s="65">
        <f t="shared" si="13"/>
        <v>0.07130272585</v>
      </c>
      <c r="AM64" s="66">
        <f t="shared" si="14"/>
        <v>0.04355766277</v>
      </c>
      <c r="AN64" s="72" t="str">
        <f>IF(Matchday!N66="","",Matchday!N66)</f>
        <v/>
      </c>
      <c r="AO64" s="64" t="str">
        <f>IF(Matchday!P66="","",Matchday!P66)</f>
        <v/>
      </c>
      <c r="AP64" s="73" t="str">
        <f>IF(Matchday!Q66="","",Matchday!Q66)</f>
        <v/>
      </c>
      <c r="AQ64" s="72" t="str">
        <f>IF(Matchday!R66="","",Matchday!R66)</f>
        <v>A</v>
      </c>
      <c r="AR64" s="74" t="str">
        <f t="shared" si="15"/>
        <v/>
      </c>
      <c r="AS64" s="74" t="str">
        <f t="shared" si="16"/>
        <v/>
      </c>
      <c r="AT64" s="33" t="str">
        <f>IFERROR(__xludf.DUMMYFUNCTION("IF(AB64="""",""Type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pauses."")),IF(AH64=""BET"",IF(AJ64=0,""Edge found but stake rounds under £""&amp;Method!$B$9&amp;"" — skip"",IF(AND(AE64&gt;=6,AG64&gt;=0.15),""🟡 WAIT — long-shot review: odds ""&amp;TEXT(AE64,""0.00"")&amp;"" + edge ""&amp;TEXT(AG64,""0.0%"")"&amp;"&amp;"" — verify sharp-book + team news + stake comfort before Placed=Y"",""Value found: EV ""&amp;TEXT(AF64,""0.0%"")&amp;"", edge ""&amp;TEXT(AG64,""0.0%""))),IF(OR(AF64&gt;Method!$B$87,IFERROR(INDEX(BC64:BE64,1,AB64)/INDEX(S64:U64,1,AB64),0)&gt;Method!$B$88),""🛑 Tail trap "&amp;"— auto-PASS · EV ""&amp;TEXT(AF64,""0.0%"")&amp;"" (cap ""&amp;TEXT(Method!$B$87,""0%"")&amp;"") · model/market ""&amp;TEXT(IFERROR(INDEX(BC64:BE64,1,AB64)/INDEX(S64:U64,1,AB64),0),""0.0"")&amp;""× (cap ""&amp;TEXT(Method!$B$88,""0.0"")&amp;""×)"",IF(AF64&lt;Method!$B$7,""Price too short —"&amp;" EV ""&amp;TEXT(AF64,""0.0%"")&amp;"" (need ""&amp;TEXT(Method!$B$7,""0.0%"")&amp;""+)"",""Model ≈ market — edge ""&amp;TEXT(AG64,""0.0%"")&amp;"" (need ""&amp;TEXT(Method!$B$8,""0.0%"")&amp;""+)"")))))"),"Value found: EV 4.3%, edge 4.2%")</f>
        <v>Value found: EV 4.3%, edge 4.2%</v>
      </c>
      <c r="AU64" s="33" t="str">
        <f t="shared" si="17"/>
        <v/>
      </c>
      <c r="AV64" s="32" t="str">
        <f>IF(Matchday!O66="","",Matchday!O66)</f>
        <v/>
      </c>
      <c r="AW64" s="75"/>
      <c r="AX64" s="75"/>
      <c r="AY64" s="75"/>
      <c r="AZ64" s="75" t="str">
        <f t="shared" si="18"/>
        <v>BET</v>
      </c>
      <c r="BA64" s="76">
        <f>IF(AX64&lt;&gt;"",AX64,IF(AH64&lt;&gt;"BET",0,IF(AI64*Method!$B$10/100&lt;Method!$B$9,0,ROUND(AI64*Method!$B$10/100,0))))</f>
        <v>17</v>
      </c>
      <c r="BB64" s="12">
        <v>-3.960000000000001</v>
      </c>
      <c r="BC64" s="12">
        <v>0.06235560467736762</v>
      </c>
      <c r="BD64" s="12">
        <v>0.21094945065842502</v>
      </c>
      <c r="BE64" s="12">
        <v>0.7266949446642075</v>
      </c>
      <c r="BF64" s="14" t="s">
        <v>364</v>
      </c>
      <c r="BG64" s="12">
        <v>1560.0</v>
      </c>
      <c r="BH64" s="14" t="s">
        <v>262</v>
      </c>
      <c r="BI64" s="12">
        <v>2439.1</v>
      </c>
    </row>
    <row r="65" ht="15.0" customHeight="1">
      <c r="A65" s="32">
        <v>64.0</v>
      </c>
      <c r="B65" s="59">
        <v>46199.0</v>
      </c>
      <c r="C65" s="60" t="s">
        <v>111</v>
      </c>
      <c r="D65" s="61" t="s">
        <v>69</v>
      </c>
      <c r="E65" s="61" t="s">
        <v>72</v>
      </c>
      <c r="F65" s="61" t="s">
        <v>285</v>
      </c>
      <c r="G65" s="62">
        <v>0.8333333333321207</v>
      </c>
      <c r="H65" s="60" t="s">
        <v>268</v>
      </c>
      <c r="I65" s="63">
        <v>0.31622845337185645</v>
      </c>
      <c r="J65" s="63">
        <v>0.3221996407652569</v>
      </c>
      <c r="K65" s="63">
        <v>0.3615719058628864</v>
      </c>
      <c r="L65" s="64">
        <f>IF(Matchday!E67="","",Matchday!E67)</f>
        <v>2.62</v>
      </c>
      <c r="M65" s="64">
        <f>IF(Matchday!F67="","",Matchday!F67)</f>
        <v>3.3</v>
      </c>
      <c r="N65" s="64">
        <f>IF(Matchday!G67="","",Matchday!G67)</f>
        <v>2.7</v>
      </c>
      <c r="O65" s="65">
        <f t="shared" ref="O65:Q65" si="141">IF(L65="","",1/L65)</f>
        <v>0.3816793893</v>
      </c>
      <c r="P65" s="65">
        <f t="shared" si="141"/>
        <v>0.303030303</v>
      </c>
      <c r="Q65" s="65">
        <f t="shared" si="141"/>
        <v>0.3703703704</v>
      </c>
      <c r="R65" s="65">
        <f t="shared" si="4"/>
        <v>1.055080063</v>
      </c>
      <c r="S65" s="65">
        <f t="array" ref="S65">IF($R65="","",IF(Method!$B$56="proportional",O65/$R65,IF(Method!$B$56="power",IFERROR(INDEX(power_devig($L65,$M65,$N65),1,1),O65/$R65),IFERROR(INDEX(shin($L65,$M65,$N65),1,1),O65/$R65))))</f>
        <v>0.3629110882</v>
      </c>
      <c r="T65" s="65">
        <f t="array" ref="T65">IF($R65="","",IF(Method!$B$56="proportional",P65/$R65,IF(Method!$B$56="power",IFERROR(INDEX(power_devig($L65,$M65,$N65),2,1),P65/$R65),IFERROR(INDEX(shin($L65,$M65,$N65),2,1),P65/$R65))))</f>
        <v>0.285334438</v>
      </c>
      <c r="U65" s="65">
        <f t="array" ref="U65">IF($R65="","",IF(Method!$B$56="proportional",Q65/$R65,IF(Method!$B$56="power",IFERROR(INDEX(power_devig($L65,$M65,$N65),3,1),Q65/$R65),IFERROR(INDEX(shin($L65,$M65,$N65),3,1),Q65/$R65))))</f>
        <v>0.3517544738</v>
      </c>
      <c r="V65" s="65">
        <f>IF(S65="","",Method!$B$4*IF(BC65="",I65,BC65)+(1-Method!$B$4)*S65/($S65+$T65+$U65))</f>
        <v>0.349758525</v>
      </c>
      <c r="W65" s="65">
        <f>IF(T65="","",Method!$B$4*IF(BD65="",J65,BD65)+(1-Method!$B$4)*T65/($S65+$T65+$U65))</f>
        <v>0.2779592707</v>
      </c>
      <c r="X65" s="65">
        <f>IF(U65="","",Method!$B$4*IF(BE65="",K65,BE65)+(1-Method!$B$4)*U65/($S65+$T65+$U65))</f>
        <v>0.3722822043</v>
      </c>
      <c r="Y65" s="66">
        <f t="shared" ref="Y65:AA65" si="142">IF(V65="","",V65*L65-1)</f>
        <v>-0.0836326645</v>
      </c>
      <c r="Z65" s="66">
        <f t="shared" si="142"/>
        <v>-0.08273440662</v>
      </c>
      <c r="AA65" s="66">
        <f t="shared" si="142"/>
        <v>0.005161951549</v>
      </c>
      <c r="AB65" s="67">
        <f t="shared" si="6"/>
        <v>3</v>
      </c>
      <c r="AC65" s="67" t="str">
        <f t="shared" si="7"/>
        <v>A</v>
      </c>
      <c r="AD65" s="68" t="str">
        <f t="shared" si="8"/>
        <v>2  Saudi Arabia</v>
      </c>
      <c r="AE65" s="35">
        <f t="shared" si="9"/>
        <v>2.7</v>
      </c>
      <c r="AF65" s="66">
        <f t="shared" si="10"/>
        <v>0.005161951549</v>
      </c>
      <c r="AG65" s="66">
        <f t="shared" si="11"/>
        <v>0.02052773046</v>
      </c>
      <c r="AH65" s="69" t="str">
        <f t="array" ref="AH65">IF(AB65="","· enter odds",IF(OR(AF65&gt;Method!$B$87,IFERROR(INDEX(BC65:BE65,1,AB65)/INDEX(S65:U65,1,AB65),0)&gt;Method!$B$88),"PASS",IF(AND(AF65&gt;=Method!$B$7,AG65&gt;=Method!$B$8),"BET","PASS")))</f>
        <v>PASS</v>
      </c>
      <c r="AI65" s="70">
        <f>IF(AH65&lt;&gt;"BET",0,ROUND(MIN(Method!$B$6,Method!$B$5*AL65)*100,1))</f>
        <v>0</v>
      </c>
      <c r="AJ65" s="71">
        <f>IF(OR(AH65&lt;&gt;"BET",Method!$B$55=TRUE()),0,IF(AI65*Method!$B$10/100&lt;Method!$B$9,0,ROUND(AI65*Method!$B$10/100,0)))</f>
        <v>0</v>
      </c>
      <c r="AK65" s="65">
        <f t="shared" si="12"/>
        <v>0.3722822043</v>
      </c>
      <c r="AL65" s="65" t="str">
        <f t="shared" si="13"/>
        <v/>
      </c>
      <c r="AM65" s="67" t="str">
        <f t="shared" si="14"/>
        <v/>
      </c>
      <c r="AN65" s="72" t="str">
        <f>IF(Matchday!N67="","",Matchday!N67)</f>
        <v/>
      </c>
      <c r="AO65" s="64" t="str">
        <f>IF(Matchday!P67="","",Matchday!P67)</f>
        <v/>
      </c>
      <c r="AP65" s="73" t="str">
        <f>IF(Matchday!Q67="","",Matchday!Q67)</f>
        <v/>
      </c>
      <c r="AQ65" s="72" t="str">
        <f>IF(Matchday!R67="","",Matchday!R67)</f>
        <v>D</v>
      </c>
      <c r="AR65" s="74" t="str">
        <f t="shared" si="15"/>
        <v/>
      </c>
      <c r="AS65" s="74" t="str">
        <f t="shared" si="16"/>
        <v/>
      </c>
      <c r="AT65" s="33" t="str">
        <f>IFERROR(__xludf.DUMMYFUNCTION("IF(AB65="""",""Type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pauses."")),IF(AH65=""BET"",IF(AJ65=0,""Edge found but stake rounds under £""&amp;Method!$B$9&amp;"" — skip"",IF(AND(AE65&gt;=6,AG65&gt;=0.15),""🟡 WAIT — long-shot review: odds ""&amp;TEXT(AE65,""0.00"")&amp;"" + edge ""&amp;TEXT(AG65,""0.0%"")"&amp;"&amp;"" — verify sharp-book + team news + stake comfort before Placed=Y"",""Value found: EV ""&amp;TEXT(AF65,""0.0%"")&amp;"", edge ""&amp;TEXT(AG65,""0.0%""))),IF(OR(AF65&gt;Method!$B$87,IFERROR(INDEX(BC65:BE65,1,AB65)/INDEX(S65:U65,1,AB65),0)&gt;Method!$B$88),""🛑 Tail trap "&amp;"— auto-PASS · EV ""&amp;TEXT(AF65,""0.0%"")&amp;"" (cap ""&amp;TEXT(Method!$B$87,""0%"")&amp;"") · model/market ""&amp;TEXT(IFERROR(INDEX(BC65:BE65,1,AB65)/INDEX(S65:U65,1,AB65),0),""0.0"")&amp;""× (cap ""&amp;TEXT(Method!$B$88,""0.0"")&amp;""×)"",IF(AF65&lt;Method!$B$7,""Price too short —"&amp;" EV ""&amp;TEXT(AF65,""0.0%"")&amp;"" (need ""&amp;TEXT(Method!$B$7,""0.0%"")&amp;""+)"",""Model ≈ market — edge ""&amp;TEXT(AG65,""0.0%"")&amp;"" (need ""&amp;TEXT(Method!$B$8,""0.0%"")&amp;""+)"")))))"),"Price too short — EV 0.5% (need 2.5%+)")</f>
        <v>Price too short — EV 0.5% (need 2.5%+)</v>
      </c>
      <c r="AU65" s="33" t="str">
        <f t="shared" si="17"/>
        <v/>
      </c>
      <c r="AV65" s="32" t="str">
        <f>IF(Matchday!O67="","",Matchday!O67)</f>
        <v/>
      </c>
      <c r="AW65" s="75"/>
      <c r="AX65" s="75"/>
      <c r="AY65" s="75"/>
      <c r="AZ65" s="75" t="str">
        <f t="shared" si="18"/>
        <v>PASS</v>
      </c>
      <c r="BA65" s="76">
        <f>IF(AX65&lt;&gt;"",AX65,IF(AH65&lt;&gt;"BET",0,IF(AI65*Method!$B$10/100&lt;Method!$B$9,0,ROUND(AI65*Method!$B$10/100,0))))</f>
        <v>0</v>
      </c>
      <c r="BB65" s="12">
        <v>-32.13</v>
      </c>
      <c r="BC65" s="12">
        <v>0.3253323361844855</v>
      </c>
      <c r="BD65" s="12">
        <v>0.2642625315470622</v>
      </c>
      <c r="BE65" s="12">
        <v>0.4104051322684522</v>
      </c>
      <c r="BF65" s="14" t="s">
        <v>365</v>
      </c>
      <c r="BG65" s="12">
        <v>15.0</v>
      </c>
      <c r="BH65" s="14" t="s">
        <v>287</v>
      </c>
      <c r="BI65" s="12">
        <v>1547.1</v>
      </c>
    </row>
    <row r="66" ht="15.0" customHeight="1">
      <c r="A66" s="32">
        <v>65.0</v>
      </c>
      <c r="B66" s="59">
        <v>46199.0</v>
      </c>
      <c r="C66" s="60" t="s">
        <v>301</v>
      </c>
      <c r="D66" s="61" t="s">
        <v>71</v>
      </c>
      <c r="E66" s="61" t="s">
        <v>74</v>
      </c>
      <c r="F66" s="61" t="s">
        <v>302</v>
      </c>
      <c r="G66" s="62">
        <v>0.9583333333321207</v>
      </c>
      <c r="H66" s="60" t="s">
        <v>343</v>
      </c>
      <c r="I66" s="63">
        <v>0.28956408353932267</v>
      </c>
      <c r="J66" s="63">
        <v>0.3101989532716737</v>
      </c>
      <c r="K66" s="63">
        <v>0.4002369631890036</v>
      </c>
      <c r="L66" s="64">
        <f>IF(Matchday!E68="","",Matchday!E68)</f>
        <v>2.5</v>
      </c>
      <c r="M66" s="64">
        <f>IF(Matchday!F68="","",Matchday!F68)</f>
        <v>2.75</v>
      </c>
      <c r="N66" s="64">
        <f>IF(Matchday!G68="","",Matchday!G68)</f>
        <v>3.75</v>
      </c>
      <c r="O66" s="65">
        <f t="shared" ref="O66:Q66" si="143">IF(L66="","",1/L66)</f>
        <v>0.4</v>
      </c>
      <c r="P66" s="65">
        <f t="shared" si="143"/>
        <v>0.3636363636</v>
      </c>
      <c r="Q66" s="65">
        <f t="shared" si="143"/>
        <v>0.2666666667</v>
      </c>
      <c r="R66" s="65">
        <f t="shared" si="4"/>
        <v>1.03030303</v>
      </c>
      <c r="S66" s="65">
        <f t="array" ref="S66">IF($R66="","",IF(Method!$B$56="proportional",O66/$R66,IF(Method!$B$56="power",IFERROR(INDEX(power_devig($L66,$M66,$N66),1,1),O66/$R66),IFERROR(INDEX(shin($L66,$M66,$N66),1,1),O66/$R66))))</f>
        <v>0.3894732875</v>
      </c>
      <c r="T66" s="65">
        <f t="array" ref="T66">IF($R66="","",IF(Method!$B$56="proportional",P66/$R66,IF(Method!$B$56="power",IFERROR(INDEX(power_devig($L66,$M66,$N66),2,1),P66/$R66),IFERROR(INDEX(shin($L66,$M66,$N66),2,1),P66/$R66))))</f>
        <v>0.3533811877</v>
      </c>
      <c r="U66" s="65">
        <f t="array" ref="U66">IF($R66="","",IF(Method!$B$56="proportional",Q66/$R66,IF(Method!$B$56="power",IFERROR(INDEX(power_devig($L66,$M66,$N66),3,1),Q66/$R66),IFERROR(INDEX(shin($L66,$M66,$N66),3,1),Q66/$R66))))</f>
        <v>0.2571455248</v>
      </c>
      <c r="V66" s="65">
        <f>IF(S66="","",Method!$B$4*IF(BC66="",I66,BC66)+(1-Method!$B$4)*S66/($S66+$T66+$U66))</f>
        <v>0.3571767669</v>
      </c>
      <c r="W66" s="65">
        <f>IF(T66="","",Method!$B$4*IF(BD66="",J66,BD66)+(1-Method!$B$4)*T66/($S66+$T66+$U66))</f>
        <v>0.3228688016</v>
      </c>
      <c r="X66" s="65">
        <f>IF(U66="","",Method!$B$4*IF(BE66="",K66,BE66)+(1-Method!$B$4)*U66/($S66+$T66+$U66))</f>
        <v>0.3199544315</v>
      </c>
      <c r="Y66" s="66">
        <f t="shared" ref="Y66:AA66" si="144">IF(V66="","",V66*L66-1)</f>
        <v>-0.1070580827</v>
      </c>
      <c r="Z66" s="66">
        <f t="shared" si="144"/>
        <v>-0.1121107956</v>
      </c>
      <c r="AA66" s="66">
        <f t="shared" si="144"/>
        <v>0.1998291181</v>
      </c>
      <c r="AB66" s="67">
        <f t="shared" si="6"/>
        <v>3</v>
      </c>
      <c r="AC66" s="67" t="str">
        <f t="shared" si="7"/>
        <v>A</v>
      </c>
      <c r="AD66" s="68" t="str">
        <f t="shared" si="8"/>
        <v>2  Iran</v>
      </c>
      <c r="AE66" s="35">
        <f t="shared" si="9"/>
        <v>3.75</v>
      </c>
      <c r="AF66" s="66">
        <f t="shared" si="10"/>
        <v>0.1998291181</v>
      </c>
      <c r="AG66" s="66">
        <f t="shared" si="11"/>
        <v>0.06280890669</v>
      </c>
      <c r="AH66" s="69" t="str">
        <f t="array" ref="AH66">IF(AB66="","· enter odds",IF(OR(AF66&gt;Method!$B$87,IFERROR(INDEX(BC66:BE66,1,AB66)/INDEX(S66:U66,1,AB66),0)&gt;Method!$B$88),"PASS",IF(AND(AF66&gt;=Method!$B$7,AG66&gt;=Method!$B$8),"BET","PASS")))</f>
        <v>BET</v>
      </c>
      <c r="AI66" s="70">
        <f>IF(AH66&lt;&gt;"BET",0,ROUND(MIN(Method!$B$6,Method!$B$5*AL66)*100,1))</f>
        <v>1.8</v>
      </c>
      <c r="AJ66" s="71">
        <f>IF(OR(AH66&lt;&gt;"BET",Method!$B$55=TRUE()),0,IF(AI66*Method!$B$10/100&lt;Method!$B$9,0,ROUND(AI66*Method!$B$10/100,0)))</f>
        <v>17</v>
      </c>
      <c r="AK66" s="65">
        <f t="shared" si="12"/>
        <v>0.3199544315</v>
      </c>
      <c r="AL66" s="65">
        <f t="shared" si="13"/>
        <v>0.07266513387</v>
      </c>
      <c r="AM66" s="66">
        <f t="shared" si="14"/>
        <v>0.1998941181</v>
      </c>
      <c r="AN66" s="72" t="str">
        <f>IF(Matchday!N68="","",Matchday!N68)</f>
        <v/>
      </c>
      <c r="AO66" s="64" t="str">
        <f>IF(Matchday!P68="","",Matchday!P68)</f>
        <v/>
      </c>
      <c r="AP66" s="73" t="str">
        <f>IF(Matchday!Q68="","",Matchday!Q68)</f>
        <v/>
      </c>
      <c r="AQ66" s="72" t="str">
        <f>IF(Matchday!R68="","",Matchday!R68)</f>
        <v>D</v>
      </c>
      <c r="AR66" s="74" t="str">
        <f t="shared" si="15"/>
        <v/>
      </c>
      <c r="AS66" s="74" t="str">
        <f t="shared" si="16"/>
        <v/>
      </c>
      <c r="AT66" s="33" t="str">
        <f>IFERROR(__xludf.DUMMYFUNCTION("IF(AB66="""",""Type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pauses."")),IF(AH66=""BET"",IF(AJ66=0,""Edge found but stake rounds under £""&amp;Method!$B$9&amp;"" — skip"",IF(AND(AE66&gt;=6,AG66&gt;=0.15),""🟡 WAIT — long-shot review: odds ""&amp;TEXT(AE66,""0.00"")&amp;"" + edge ""&amp;TEXT(AG66,""0.0%"")"&amp;"&amp;"" — verify sharp-book + team news + stake comfort before Placed=Y"",""Value found: EV ""&amp;TEXT(AF66,""0.0%"")&amp;"", edge ""&amp;TEXT(AG66,""0.0%""))),IF(OR(AF66&gt;Method!$B$87,IFERROR(INDEX(BC66:BE66,1,AB66)/INDEX(S66:U66,1,AB66),0)&gt;Method!$B$88),""🛑 Tail trap "&amp;"— auto-PASS · EV ""&amp;TEXT(AF66,""0.0%"")&amp;"" (cap ""&amp;TEXT(Method!$B$87,""0%"")&amp;"") · model/market ""&amp;TEXT(IFERROR(INDEX(BC66:BE66,1,AB66)/INDEX(S66:U66,1,AB66),0),""0.0"")&amp;""× (cap ""&amp;TEXT(Method!$B$88,""0.0"")&amp;""×)"",IF(AF66&lt;Method!$B$7,""Price too short —"&amp;" EV ""&amp;TEXT(AF66,""0.0%"")&amp;"" (need ""&amp;TEXT(Method!$B$7,""0.0%"")&amp;""+)"",""Model ≈ market — edge ""&amp;TEXT(AG66,""0.0%"")&amp;"" (need ""&amp;TEXT(Method!$B$8,""0.0%"")&amp;""+)"")))))"),"Value found: EV 20.0%, edge 6.3%")</f>
        <v>Value found: EV 20.0%, edge 6.3%</v>
      </c>
      <c r="AU66" s="33" t="str">
        <f t="shared" si="17"/>
        <v/>
      </c>
      <c r="AV66" s="32" t="str">
        <f>IF(Matchday!O68="","",Matchday!O68)</f>
        <v/>
      </c>
      <c r="AW66" s="75"/>
      <c r="AX66" s="75"/>
      <c r="AY66" s="75"/>
      <c r="AZ66" s="75" t="str">
        <f t="shared" si="18"/>
        <v>BET</v>
      </c>
      <c r="BA66" s="76">
        <f>IF(AX66&lt;&gt;"",AX66,IF(AH66&lt;&gt;"BET",0,IF(AI66*Method!$B$10/100&lt;Method!$B$9,0,ROUND(AI66*Method!$B$10/100,0))))</f>
        <v>17</v>
      </c>
      <c r="BB66" s="12">
        <v>-32.29</v>
      </c>
      <c r="BC66" s="12">
        <v>0.2971975144089284</v>
      </c>
      <c r="BD66" s="12">
        <v>0.2662029416652308</v>
      </c>
      <c r="BE66" s="12">
        <v>0.4365995439258409</v>
      </c>
      <c r="BF66" s="14" t="s">
        <v>366</v>
      </c>
      <c r="BG66" s="12">
        <v>5.0</v>
      </c>
      <c r="BH66" s="14" t="s">
        <v>266</v>
      </c>
      <c r="BI66" s="12">
        <v>195.6</v>
      </c>
    </row>
    <row r="67" ht="15.0" customHeight="1">
      <c r="A67" s="32">
        <v>66.0</v>
      </c>
      <c r="B67" s="59">
        <v>46199.0</v>
      </c>
      <c r="C67" s="60" t="s">
        <v>301</v>
      </c>
      <c r="D67" s="61" t="s">
        <v>75</v>
      </c>
      <c r="E67" s="61" t="s">
        <v>70</v>
      </c>
      <c r="F67" s="61" t="s">
        <v>280</v>
      </c>
      <c r="G67" s="62">
        <v>0.9583333333321207</v>
      </c>
      <c r="H67" s="60" t="s">
        <v>343</v>
      </c>
      <c r="I67" s="63">
        <v>0.13438850370044558</v>
      </c>
      <c r="J67" s="63">
        <v>0.2381272637192798</v>
      </c>
      <c r="K67" s="63">
        <v>0.6274842325802747</v>
      </c>
      <c r="L67" s="64">
        <f>IF(Matchday!E69="","",Matchday!E69)</f>
        <v>15</v>
      </c>
      <c r="M67" s="64">
        <f>IF(Matchday!F69="","",Matchday!F69)</f>
        <v>8</v>
      </c>
      <c r="N67" s="64">
        <f>IF(Matchday!G69="","",Matchday!G69)</f>
        <v>1.18</v>
      </c>
      <c r="O67" s="65">
        <f t="shared" ref="O67:Q67" si="145">IF(L67="","",1/L67)</f>
        <v>0.06666666667</v>
      </c>
      <c r="P67" s="65">
        <f t="shared" si="145"/>
        <v>0.125</v>
      </c>
      <c r="Q67" s="65">
        <f t="shared" si="145"/>
        <v>0.8474576271</v>
      </c>
      <c r="R67" s="65">
        <f t="shared" si="4"/>
        <v>1.039124294</v>
      </c>
      <c r="S67" s="65">
        <f t="array" ref="S67">IF($R67="","",IF(Method!$B$56="proportional",O67/$R67,IF(Method!$B$56="power",IFERROR(INDEX(power_devig($L67,$M67,$N67),1,1),O67/$R67),IFERROR(INDEX(shin($L67,$M67,$N67),1,1),O67/$R67))))</f>
        <v>0.05647400754</v>
      </c>
      <c r="T67" s="65">
        <f t="array" ref="T67">IF($R67="","",IF(Method!$B$56="proportional",P67/$R67,IF(Method!$B$56="power",IFERROR(INDEX(power_devig($L67,$M67,$N67),2,1),P67/$R67),IFERROR(INDEX(shin($L67,$M67,$N67),2,1),P67/$R67))))</f>
        <v>0.1139127165</v>
      </c>
      <c r="U67" s="65">
        <f t="array" ref="U67">IF($R67="","",IF(Method!$B$56="proportional",Q67/$R67,IF(Method!$B$56="power",IFERROR(INDEX(power_devig($L67,$M67,$N67),3,1),Q67/$R67),IFERROR(INDEX(shin($L67,$M67,$N67),3,1),Q67/$R67))))</f>
        <v>0.8296132759</v>
      </c>
      <c r="V67" s="65">
        <f>IF(S67="","",Method!$B$4*IF(BC67="",I67,BC67)+(1-Method!$B$4)*S67/($S67+$T67+$U67))</f>
        <v>0.07731769953</v>
      </c>
      <c r="W67" s="65">
        <f>IF(T67="","",Method!$B$4*IF(BD67="",J67,BD67)+(1-Method!$B$4)*T67/($S67+$T67+$U67))</f>
        <v>0.1675586824</v>
      </c>
      <c r="X67" s="65">
        <f>IF(U67="","",Method!$B$4*IF(BE67="",K67,BE67)+(1-Method!$B$4)*U67/($S67+$T67+$U67))</f>
        <v>0.7551236181</v>
      </c>
      <c r="Y67" s="66">
        <f t="shared" ref="Y67:AA67" si="146">IF(V67="","",V67*L67-1)</f>
        <v>0.1597654929</v>
      </c>
      <c r="Z67" s="66">
        <f t="shared" si="146"/>
        <v>0.3404694593</v>
      </c>
      <c r="AA67" s="66">
        <f t="shared" si="146"/>
        <v>-0.1089541307</v>
      </c>
      <c r="AB67" s="67">
        <f t="shared" si="6"/>
        <v>2</v>
      </c>
      <c r="AC67" s="67" t="str">
        <f t="shared" si="7"/>
        <v>D</v>
      </c>
      <c r="AD67" s="68" t="str">
        <f t="shared" si="8"/>
        <v>X  Draw</v>
      </c>
      <c r="AE67" s="35">
        <f t="shared" si="9"/>
        <v>8</v>
      </c>
      <c r="AF67" s="66">
        <f t="shared" si="10"/>
        <v>0.3404694593</v>
      </c>
      <c r="AG67" s="66">
        <f t="shared" si="11"/>
        <v>0.05364596587</v>
      </c>
      <c r="AH67" s="69" t="str">
        <f t="array" ref="AH67">IF(AB67="","· enter odds",IF(OR(AF67&gt;Method!$B$87,IFERROR(INDEX(BC67:BE67,1,AB67)/INDEX(S67:U67,1,AB67),0)&gt;Method!$B$88),"PASS",IF(AND(AF67&gt;=Method!$B$7,AG67&gt;=Method!$B$8),"BET","PASS")))</f>
        <v>PASS</v>
      </c>
      <c r="AI67" s="70">
        <f>IF(AH67&lt;&gt;"BET",0,ROUND(MIN(Method!$B$6,Method!$B$5*AL67)*100,1))</f>
        <v>0</v>
      </c>
      <c r="AJ67" s="71">
        <f>IF(OR(AH67&lt;&gt;"BET",Method!$B$55=TRUE()),0,IF(AI67*Method!$B$10/100&lt;Method!$B$9,0,ROUND(AI67*Method!$B$10/100,0)))</f>
        <v>0</v>
      </c>
      <c r="AK67" s="65">
        <f t="shared" si="12"/>
        <v>0.1675586824</v>
      </c>
      <c r="AL67" s="65" t="str">
        <f t="shared" si="13"/>
        <v/>
      </c>
      <c r="AM67" s="66" t="str">
        <f t="shared" si="14"/>
        <v/>
      </c>
      <c r="AN67" s="72" t="str">
        <f>IF(Matchday!N69="","",Matchday!N69)</f>
        <v/>
      </c>
      <c r="AO67" s="64" t="str">
        <f>IF(Matchday!P69="","",Matchday!P69)</f>
        <v/>
      </c>
      <c r="AP67" s="73" t="str">
        <f>IF(Matchday!Q69="","",Matchday!Q69)</f>
        <v/>
      </c>
      <c r="AQ67" s="72" t="str">
        <f>IF(Matchday!R69="","",Matchday!R69)</f>
        <v>A</v>
      </c>
      <c r="AR67" s="74" t="str">
        <f t="shared" si="15"/>
        <v/>
      </c>
      <c r="AS67" s="74" t="str">
        <f t="shared" si="16"/>
        <v/>
      </c>
      <c r="AT67" s="33" t="str">
        <f>IFERROR(__xludf.DUMMYFUNCTION("IF(AB67="""",""Type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pauses."")),IF(AH67=""BET"",IF(AJ67=0,""Edge found but stake rounds under £""&amp;Method!$B$9&amp;"" — skip"",IF(AND(AE67&gt;=6,AG67&gt;=0.15),""🟡 WAIT — long-shot review: odds ""&amp;TEXT(AE67,""0.00"")&amp;"" + edge ""&amp;TEXT(AG67,""0.0%"")"&amp;"&amp;"" — verify sharp-book + team news + stake comfort before Placed=Y"",""Value found: EV ""&amp;TEXT(AF67,""0.0%"")&amp;"", edge ""&amp;TEXT(AG67,""0.0%""))),IF(OR(AF67&gt;Method!$B$87,IFERROR(INDEX(BC67:BE67,1,AB67)/INDEX(S67:U67,1,AB67),0)&gt;Method!$B$88),""🛑 Tail trap "&amp;"— auto-PASS · EV ""&amp;TEXT(AF67,""0.0%"")&amp;"" (cap ""&amp;TEXT(Method!$B$87,""0%"")&amp;"") · model/market ""&amp;TEXT(IFERROR(INDEX(BC67:BE67,1,AB67)/INDEX(S67:U67,1,AB67),0),""0.0"")&amp;""× (cap ""&amp;TEXT(Method!$B$88,""0.0"")&amp;""×)"",IF(AF67&lt;Method!$B$7,""Price too short —"&amp;" EV ""&amp;TEXT(AF67,""0.0%"")&amp;"" (need ""&amp;TEXT(Method!$B$7,""0.0%"")&amp;""+)"",""Model ≈ market — edge ""&amp;TEXT(AG67,""0.0%"")&amp;"" (need ""&amp;TEXT(Method!$B$8,""0.0%"")&amp;""+)"")))))"),"🛑 Tail trap — auto-PASS · EV 34.0% (cap 30%) · model/market 2.3× (cap 2.5×)")</f>
        <v>🛑 Tail trap — auto-PASS · EV 34.0% (cap 30%) · model/market 2.3× (cap 2.5×)</v>
      </c>
      <c r="AU67" s="33" t="str">
        <f t="shared" si="17"/>
        <v/>
      </c>
      <c r="AV67" s="32" t="str">
        <f>IF(Matchday!O69="","",Matchday!O69)</f>
        <v/>
      </c>
      <c r="AW67" s="75"/>
      <c r="AX67" s="75"/>
      <c r="AY67" s="75"/>
      <c r="AZ67" s="75" t="str">
        <f t="shared" si="18"/>
        <v>PASS</v>
      </c>
      <c r="BA67" s="76">
        <f>IF(AX67&lt;&gt;"",AX67,IF(AH67&lt;&gt;"BET",0,IF(AI67*Method!$B$10/100&lt;Method!$B$9,0,ROUND(AI67*Method!$B$10/100,0))))</f>
        <v>0</v>
      </c>
      <c r="BB67" s="12">
        <v>-21.459999999999997</v>
      </c>
      <c r="BC67" s="12">
        <v>0.11602741321056745</v>
      </c>
      <c r="BD67" s="12">
        <v>0.2671869047454085</v>
      </c>
      <c r="BE67" s="12">
        <v>0.6167856820440241</v>
      </c>
      <c r="BF67" s="14" t="s">
        <v>367</v>
      </c>
      <c r="BG67" s="12">
        <v>0.0</v>
      </c>
      <c r="BH67" s="14" t="s">
        <v>283</v>
      </c>
      <c r="BI67" s="12">
        <v>0.0</v>
      </c>
    </row>
    <row r="68" ht="15.0" customHeight="1">
      <c r="A68" s="32">
        <v>67.0</v>
      </c>
      <c r="B68" s="59">
        <v>46200.0</v>
      </c>
      <c r="C68" s="60" t="s">
        <v>318</v>
      </c>
      <c r="D68" s="61" t="s">
        <v>89</v>
      </c>
      <c r="E68" s="61" t="s">
        <v>86</v>
      </c>
      <c r="F68" s="61" t="s">
        <v>275</v>
      </c>
      <c r="G68" s="62">
        <v>0.7083333333321207</v>
      </c>
      <c r="H68" s="62">
        <v>0.9166666666678793</v>
      </c>
      <c r="I68" s="63">
        <v>0.09705115049391325</v>
      </c>
      <c r="J68" s="63">
        <v>0.19528101440380122</v>
      </c>
      <c r="K68" s="63">
        <v>0.7076678351022854</v>
      </c>
      <c r="L68" s="64">
        <f>IF(Matchday!E70="","",Matchday!E70)</f>
        <v>17</v>
      </c>
      <c r="M68" s="64">
        <f>IF(Matchday!F70="","",Matchday!F70)</f>
        <v>8</v>
      </c>
      <c r="N68" s="64">
        <f>IF(Matchday!G70="","",Matchday!G70)</f>
        <v>1.16</v>
      </c>
      <c r="O68" s="65">
        <f t="shared" ref="O68:Q68" si="147">IF(L68="","",1/L68)</f>
        <v>0.05882352941</v>
      </c>
      <c r="P68" s="65">
        <f t="shared" si="147"/>
        <v>0.125</v>
      </c>
      <c r="Q68" s="65">
        <f t="shared" si="147"/>
        <v>0.8620689655</v>
      </c>
      <c r="R68" s="65">
        <f t="shared" si="4"/>
        <v>1.045892495</v>
      </c>
      <c r="S68" s="65">
        <f t="array" ref="S68">IF($R68="","",IF(Method!$B$56="proportional",O68/$R68,IF(Method!$B$56="power",IFERROR(INDEX(power_devig($L68,$M68,$N68),1,1),O68/$R68),IFERROR(INDEX(shin($L68,$M68,$N68),1,1),O68/$R68))))</f>
        <v>0.04708539609</v>
      </c>
      <c r="T68" s="65">
        <f t="array" ref="T68">IF($R68="","",IF(Method!$B$56="proportional",P68/$R68,IF(Method!$B$56="power",IFERROR(INDEX(power_devig($L68,$M68,$N68),2,1),P68/$R68),IFERROR(INDEX(shin($L68,$M68,$N68),2,1),P68/$R68))))</f>
        <v>0.111902393</v>
      </c>
      <c r="U68" s="65">
        <f t="array" ref="U68">IF($R68="","",IF(Method!$B$56="proportional",Q68/$R68,IF(Method!$B$56="power",IFERROR(INDEX(power_devig($L68,$M68,$N68),3,1),Q68/$R68),IFERROR(INDEX(shin($L68,$M68,$N68),3,1),Q68/$R68))))</f>
        <v>0.8410122109</v>
      </c>
      <c r="V68" s="65">
        <f>IF(S68="","",Method!$B$4*IF(BC68="",I68,BC68)+(1-Method!$B$4)*S68/($S68+$T68+$U68))</f>
        <v>0.06226070487</v>
      </c>
      <c r="W68" s="65">
        <f>IF(T68="","",Method!$B$4*IF(BD68="",J68,BD68)+(1-Method!$B$4)*T68/($S68+$T68+$U68))</f>
        <v>0.1488490482</v>
      </c>
      <c r="X68" s="65">
        <f>IF(U68="","",Method!$B$4*IF(BE68="",K68,BE68)+(1-Method!$B$4)*U68/($S68+$T68+$U68))</f>
        <v>0.7888902469</v>
      </c>
      <c r="Y68" s="66">
        <f t="shared" ref="Y68:AA68" si="148">IF(V68="","",V68*L68-1)</f>
        <v>0.05843198273</v>
      </c>
      <c r="Z68" s="66">
        <f t="shared" si="148"/>
        <v>0.1907923855</v>
      </c>
      <c r="AA68" s="66">
        <f t="shared" si="148"/>
        <v>-0.08488731355</v>
      </c>
      <c r="AB68" s="67">
        <f t="shared" si="6"/>
        <v>2</v>
      </c>
      <c r="AC68" s="67" t="str">
        <f t="shared" si="7"/>
        <v>D</v>
      </c>
      <c r="AD68" s="68" t="str">
        <f t="shared" si="8"/>
        <v>X  Draw</v>
      </c>
      <c r="AE68" s="35">
        <f t="shared" si="9"/>
        <v>8</v>
      </c>
      <c r="AF68" s="66">
        <f t="shared" si="10"/>
        <v>0.1907923855</v>
      </c>
      <c r="AG68" s="66">
        <f t="shared" si="11"/>
        <v>0.03694665519</v>
      </c>
      <c r="AH68" s="69" t="str">
        <f t="array" ref="AH68">IF(AB68="","· enter odds",IF(OR(AF68&gt;Method!$B$87,IFERROR(INDEX(BC68:BE68,1,AB68)/INDEX(S68:U68,1,AB68),0)&gt;Method!$B$88),"PASS",IF(AND(AF68&gt;=Method!$B$7,AG68&gt;=Method!$B$8),"BET","PASS")))</f>
        <v>BET</v>
      </c>
      <c r="AI68" s="70">
        <f>IF(AH68&lt;&gt;"BET",0,ROUND(MIN(Method!$B$6,Method!$B$5*AL68)*100,1))</f>
        <v>0.7</v>
      </c>
      <c r="AJ68" s="71">
        <f>IF(OR(AH68&lt;&gt;"BET",Method!$B$55=TRUE()),0,IF(AI68*Method!$B$10/100&lt;Method!$B$9,0,ROUND(AI68*Method!$B$10/100,0)))</f>
        <v>7</v>
      </c>
      <c r="AK68" s="65">
        <f t="shared" si="12"/>
        <v>0.1488490482</v>
      </c>
      <c r="AL68" s="65">
        <f t="shared" si="13"/>
        <v>0.02725605508</v>
      </c>
      <c r="AM68" s="66">
        <f t="shared" si="14"/>
        <v>0.1908593855</v>
      </c>
      <c r="AN68" s="72" t="str">
        <f>IF(Matchday!N70="","",Matchday!N70)</f>
        <v/>
      </c>
      <c r="AO68" s="64" t="str">
        <f>IF(Matchday!P70="","",Matchday!P70)</f>
        <v/>
      </c>
      <c r="AP68" s="73" t="str">
        <f>IF(Matchday!Q70="","",Matchday!Q70)</f>
        <v/>
      </c>
      <c r="AQ68" s="72" t="str">
        <f>IF(Matchday!R70="","",Matchday!R70)</f>
        <v>A</v>
      </c>
      <c r="AR68" s="74" t="str">
        <f t="shared" si="15"/>
        <v/>
      </c>
      <c r="AS68" s="74" t="str">
        <f t="shared" si="16"/>
        <v/>
      </c>
      <c r="AT68" s="33" t="str">
        <f>IFERROR(__xludf.DUMMYFUNCTION("IF(AB68="""",""Type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pauses."")),IF(AH68=""BET"",IF(AJ68=0,""Edge found but stake rounds under £""&amp;Method!$B$9&amp;"" — skip"",IF(AND(AE68&gt;=6,AG68&gt;=0.15),""🟡 WAIT — long-shot review: odds ""&amp;TEXT(AE68,""0.00"")&amp;"" + edge ""&amp;TEXT(AG68,""0.0%"")"&amp;"&amp;"" — verify sharp-book + team news + stake comfort before Placed=Y"",""Value found: EV ""&amp;TEXT(AF68,""0.0%"")&amp;"", edge ""&amp;TEXT(AG68,""0.0%""))),IF(OR(AF68&gt;Method!$B$87,IFERROR(INDEX(BC68:BE68,1,AB68)/INDEX(S68:U68,1,AB68),0)&gt;Method!$B$88),""🛑 Tail trap "&amp;"— auto-PASS · EV ""&amp;TEXT(AF68,""0.0%"")&amp;"" (cap ""&amp;TEXT(Method!$B$87,""0%"")&amp;"") · model/market ""&amp;TEXT(IFERROR(INDEX(BC68:BE68,1,AB68)/INDEX(S68:U68,1,AB68),0),""0.0"")&amp;""× (cap ""&amp;TEXT(Method!$B$88,""0.0"")&amp;""×)"",IF(AF68&lt;Method!$B$7,""Price too short —"&amp;" EV ""&amp;TEXT(AF68,""0.0%"")&amp;"" (need ""&amp;TEXT(Method!$B$7,""0.0%"")&amp;""+)"",""Model ≈ market — edge ""&amp;TEXT(AG68,""0.0%"")&amp;"" (need ""&amp;TEXT(Method!$B$8,""0.0%"")&amp;""+)"")))))"),"Value found: EV 19.1%, edge 3.7%")</f>
        <v>Value found: EV 19.1%, edge 3.7%</v>
      </c>
      <c r="AU68" s="33" t="str">
        <f t="shared" si="17"/>
        <v/>
      </c>
      <c r="AV68" s="32" t="str">
        <f>IF(Matchday!O70="","",Matchday!O70)</f>
        <v/>
      </c>
      <c r="AW68" s="75"/>
      <c r="AX68" s="75"/>
      <c r="AY68" s="75"/>
      <c r="AZ68" s="75" t="str">
        <f t="shared" si="18"/>
        <v>BET</v>
      </c>
      <c r="BA68" s="76">
        <f>IF(AX68&lt;&gt;"",AX68,IF(AH68&lt;&gt;"BET",0,IF(AI68*Method!$B$10/100&lt;Method!$B$9,0,ROUND(AI68*Method!$B$10/100,0))))</f>
        <v>7</v>
      </c>
      <c r="BB68" s="12">
        <v>-18.47</v>
      </c>
      <c r="BC68" s="12">
        <v>0.09044342116145537</v>
      </c>
      <c r="BD68" s="12">
        <v>0.21746426497675286</v>
      </c>
      <c r="BE68" s="12">
        <v>0.6920923138617917</v>
      </c>
      <c r="BF68" s="14" t="s">
        <v>368</v>
      </c>
      <c r="BG68" s="12">
        <v>7.0</v>
      </c>
      <c r="BH68" s="14" t="s">
        <v>262</v>
      </c>
      <c r="BI68" s="12">
        <v>540.1</v>
      </c>
    </row>
    <row r="69" ht="15.0" customHeight="1">
      <c r="A69" s="32">
        <v>68.0</v>
      </c>
      <c r="B69" s="59">
        <v>46200.0</v>
      </c>
      <c r="C69" s="60" t="s">
        <v>318</v>
      </c>
      <c r="D69" s="61" t="s">
        <v>87</v>
      </c>
      <c r="E69" s="61" t="s">
        <v>88</v>
      </c>
      <c r="F69" s="61" t="s">
        <v>292</v>
      </c>
      <c r="G69" s="62">
        <v>0.7083333333321207</v>
      </c>
      <c r="H69" s="62">
        <v>0.9166666666678793</v>
      </c>
      <c r="I69" s="63">
        <v>0.6504392218628379</v>
      </c>
      <c r="J69" s="63">
        <v>0.23159347986527182</v>
      </c>
      <c r="K69" s="63">
        <v>0.11796729827189041</v>
      </c>
      <c r="L69" s="64">
        <f>IF(Matchday!E71="","",Matchday!E71)</f>
        <v>1.75</v>
      </c>
      <c r="M69" s="64">
        <f>IF(Matchday!F71="","",Matchday!F71)</f>
        <v>3.3</v>
      </c>
      <c r="N69" s="64">
        <f>IF(Matchday!G71="","",Matchday!G71)</f>
        <v>5.8</v>
      </c>
      <c r="O69" s="65">
        <f t="shared" ref="O69:Q69" si="149">IF(L69="","",1/L69)</f>
        <v>0.5714285714</v>
      </c>
      <c r="P69" s="65">
        <f t="shared" si="149"/>
        <v>0.303030303</v>
      </c>
      <c r="Q69" s="65">
        <f t="shared" si="149"/>
        <v>0.1724137931</v>
      </c>
      <c r="R69" s="65">
        <f t="shared" si="4"/>
        <v>1.046872668</v>
      </c>
      <c r="S69" s="65">
        <f t="array" ref="S69">IF($R69="","",IF(Method!$B$56="proportional",O69/$R69,IF(Method!$B$56="power",IFERROR(INDEX(power_devig($L69,$M69,$N69),1,1),O69/$R69),IFERROR(INDEX(shin($L69,$M69,$N69),1,1),O69/$R69))))</f>
        <v>0.5532417087</v>
      </c>
      <c r="T69" s="65">
        <f t="array" ref="T69">IF($R69="","",IF(Method!$B$56="proportional",P69/$R69,IF(Method!$B$56="power",IFERROR(INDEX(power_devig($L69,$M69,$N69),2,1),P69/$R69),IFERROR(INDEX(shin($L69,$M69,$N69),2,1),P69/$R69))))</f>
        <v>0.2878834252</v>
      </c>
      <c r="U69" s="65">
        <f t="array" ref="U69">IF($R69="","",IF(Method!$B$56="proportional",Q69/$R69,IF(Method!$B$56="power",IFERROR(INDEX(power_devig($L69,$M69,$N69),3,1),Q69/$R69),IFERROR(INDEX(shin($L69,$M69,$N69),3,1),Q69/$R69))))</f>
        <v>0.158874866</v>
      </c>
      <c r="V69" s="65">
        <f>IF(S69="","",Method!$B$4*IF(BC69="",I69,BC69)+(1-Method!$B$4)*S69/($S69+$T69+$U69))</f>
        <v>0.5761067066</v>
      </c>
      <c r="W69" s="65">
        <f>IF(T69="","",Method!$B$4*IF(BD69="",J69,BD69)+(1-Method!$B$4)*T69/($S69+$T69+$U69))</f>
        <v>0.278245228</v>
      </c>
      <c r="X69" s="65">
        <f>IF(U69="","",Method!$B$4*IF(BE69="",K69,BE69)+(1-Method!$B$4)*U69/($S69+$T69+$U69))</f>
        <v>0.1456480654</v>
      </c>
      <c r="Y69" s="66">
        <f t="shared" ref="Y69:AA69" si="150">IF(V69="","",V69*L69-1)</f>
        <v>0.008186736511</v>
      </c>
      <c r="Z69" s="66">
        <f t="shared" si="150"/>
        <v>-0.08179074757</v>
      </c>
      <c r="AA69" s="66">
        <f t="shared" si="150"/>
        <v>-0.1552412206</v>
      </c>
      <c r="AB69" s="67">
        <f t="shared" si="6"/>
        <v>1</v>
      </c>
      <c r="AC69" s="67" t="str">
        <f t="shared" si="7"/>
        <v>H</v>
      </c>
      <c r="AD69" s="68" t="str">
        <f t="shared" si="8"/>
        <v>1  Croatia</v>
      </c>
      <c r="AE69" s="35">
        <f t="shared" si="9"/>
        <v>1.75</v>
      </c>
      <c r="AF69" s="66">
        <f t="shared" si="10"/>
        <v>0.008186736511</v>
      </c>
      <c r="AG69" s="66">
        <f t="shared" si="11"/>
        <v>0.02286499783</v>
      </c>
      <c r="AH69" s="69" t="str">
        <f t="array" ref="AH69">IF(AB69="","· enter odds",IF(OR(AF69&gt;Method!$B$87,IFERROR(INDEX(BC69:BE69,1,AB69)/INDEX(S69:U69,1,AB69),0)&gt;Method!$B$88),"PASS",IF(AND(AF69&gt;=Method!$B$7,AG69&gt;=Method!$B$8),"BET","PASS")))</f>
        <v>PASS</v>
      </c>
      <c r="AI69" s="70">
        <f>IF(AH69&lt;&gt;"BET",0,ROUND(MIN(Method!$B$6,Method!$B$5*AL69)*100,1))</f>
        <v>0</v>
      </c>
      <c r="AJ69" s="71">
        <f>IF(OR(AH69&lt;&gt;"BET",Method!$B$55=TRUE()),0,IF(AI69*Method!$B$10/100&lt;Method!$B$9,0,ROUND(AI69*Method!$B$10/100,0)))</f>
        <v>0</v>
      </c>
      <c r="AK69" s="65">
        <f t="shared" si="12"/>
        <v>0.5761067066</v>
      </c>
      <c r="AL69" s="65" t="str">
        <f t="shared" si="13"/>
        <v/>
      </c>
      <c r="AM69" s="67" t="str">
        <f t="shared" si="14"/>
        <v/>
      </c>
      <c r="AN69" s="72" t="str">
        <f>IF(Matchday!N71="","",Matchday!N71)</f>
        <v/>
      </c>
      <c r="AO69" s="64" t="str">
        <f>IF(Matchday!P71="","",Matchday!P71)</f>
        <v/>
      </c>
      <c r="AP69" s="73" t="str">
        <f>IF(Matchday!Q71="","",Matchday!Q71)</f>
        <v/>
      </c>
      <c r="AQ69" s="72" t="str">
        <f>IF(Matchday!R71="","",Matchday!R71)</f>
        <v>H</v>
      </c>
      <c r="AR69" s="74" t="str">
        <f t="shared" si="15"/>
        <v/>
      </c>
      <c r="AS69" s="74" t="str">
        <f t="shared" si="16"/>
        <v/>
      </c>
      <c r="AT69" s="33" t="str">
        <f>IFERROR(__xludf.DUMMYFUNCTION("IF(AB69="""",""Type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pauses."")),IF(AH69=""BET"",IF(AJ69=0,""Edge found but stake rounds under £""&amp;Method!$B$9&amp;"" — skip"",IF(AND(AE69&gt;=6,AG69&gt;=0.15),""🟡 WAIT — long-shot review: odds ""&amp;TEXT(AE69,""0.00"")&amp;"" + edge ""&amp;TEXT(AG69,""0.0%"")"&amp;"&amp;"" — verify sharp-book + team news + stake comfort before Placed=Y"",""Value found: EV ""&amp;TEXT(AF69,""0.0%"")&amp;"", edge ""&amp;TEXT(AG69,""0.0%""))),IF(OR(AF69&gt;Method!$B$87,IFERROR(INDEX(BC69:BE69,1,AB69)/INDEX(S69:U69,1,AB69),0)&gt;Method!$B$88),""🛑 Tail trap "&amp;"— auto-PASS · EV ""&amp;TEXT(AF69,""0.0%"")&amp;"" (cap ""&amp;TEXT(Method!$B$87,""0%"")&amp;"") · model/market ""&amp;TEXT(IFERROR(INDEX(BC69:BE69,1,AB69)/INDEX(S69:U69,1,AB69),0),""0.0"")&amp;""× (cap ""&amp;TEXT(Method!$B$88,""0.0"")&amp;""×)"",IF(AF69&lt;Method!$B$7,""Price too short —"&amp;" EV ""&amp;TEXT(AF69,""0.0%"")&amp;"" (need ""&amp;TEXT(Method!$B$7,""0.0%"")&amp;""+)"",""Model ≈ market — edge ""&amp;TEXT(AG69,""0.0%"")&amp;"" (need ""&amp;TEXT(Method!$B$8,""0.0%"")&amp;""+)"")))))"),"Price too short — EV 0.8% (need 2.5%+)")</f>
        <v>Price too short — EV 0.8% (need 2.5%+)</v>
      </c>
      <c r="AU69" s="33" t="str">
        <f t="shared" si="17"/>
        <v/>
      </c>
      <c r="AV69" s="32" t="str">
        <f>IF(Matchday!O71="","",Matchday!O71)</f>
        <v/>
      </c>
      <c r="AW69" s="75"/>
      <c r="AX69" s="75"/>
      <c r="AY69" s="75"/>
      <c r="AZ69" s="75" t="str">
        <f t="shared" si="18"/>
        <v>PASS</v>
      </c>
      <c r="BA69" s="76">
        <f>IF(AX69&lt;&gt;"",AX69,IF(AH69&lt;&gt;"BET",0,IF(AI69*Method!$B$10/100&lt;Method!$B$9,0,ROUND(AI69*Method!$B$10/100,0))))</f>
        <v>0</v>
      </c>
      <c r="BB69" s="12">
        <v>-17.05</v>
      </c>
      <c r="BC69" s="12">
        <v>0.6185702739837127</v>
      </c>
      <c r="BD69" s="12">
        <v>0.2603457188580957</v>
      </c>
      <c r="BE69" s="12">
        <v>0.12108400715819154</v>
      </c>
      <c r="BF69" s="14" t="s">
        <v>369</v>
      </c>
      <c r="BG69" s="12">
        <v>12.0</v>
      </c>
      <c r="BH69" s="14" t="s">
        <v>262</v>
      </c>
      <c r="BI69" s="12">
        <v>544.4</v>
      </c>
    </row>
    <row r="70" ht="15.0" customHeight="1">
      <c r="A70" s="32">
        <v>69.0</v>
      </c>
      <c r="B70" s="59">
        <v>46200.0</v>
      </c>
      <c r="C70" s="60" t="s">
        <v>316</v>
      </c>
      <c r="D70" s="61" t="s">
        <v>91</v>
      </c>
      <c r="E70" s="61" t="s">
        <v>84</v>
      </c>
      <c r="F70" s="61" t="s">
        <v>304</v>
      </c>
      <c r="G70" s="62">
        <v>0.8125</v>
      </c>
      <c r="H70" s="60" t="s">
        <v>370</v>
      </c>
      <c r="I70" s="63">
        <v>0.4257386488235737</v>
      </c>
      <c r="J70" s="63">
        <v>0.2873370811386136</v>
      </c>
      <c r="K70" s="63">
        <v>0.2869242700378127</v>
      </c>
      <c r="L70" s="64">
        <f>IF(Matchday!E72="","",Matchday!E72)</f>
        <v>3.5</v>
      </c>
      <c r="M70" s="64">
        <f>IF(Matchday!F72="","",Matchday!F72)</f>
        <v>3.8</v>
      </c>
      <c r="N70" s="64">
        <f>IF(Matchday!G72="","",Matchday!G72)</f>
        <v>2</v>
      </c>
      <c r="O70" s="65">
        <f t="shared" ref="O70:Q70" si="151">IF(L70="","",1/L70)</f>
        <v>0.2857142857</v>
      </c>
      <c r="P70" s="65">
        <f t="shared" si="151"/>
        <v>0.2631578947</v>
      </c>
      <c r="Q70" s="65">
        <f t="shared" si="151"/>
        <v>0.5</v>
      </c>
      <c r="R70" s="65">
        <f t="shared" si="4"/>
        <v>1.04887218</v>
      </c>
      <c r="S70" s="65">
        <f t="array" ref="S70">IF($R70="","",IF(Method!$B$56="proportional",O70/$R70,IF(Method!$B$56="power",IFERROR(INDEX(power_devig($L70,$M70,$N70),1,1),O70/$R70),IFERROR(INDEX(shin($L70,$M70,$N70),1,1),O70/$R70))))</f>
        <v>0.2701835351</v>
      </c>
      <c r="T70" s="65">
        <f t="array" ref="T70">IF($R70="","",IF(Method!$B$56="proportional",P70/$R70,IF(Method!$B$56="power",IFERROR(INDEX(power_devig($L70,$M70,$N70),2,1),P70/$R70),IFERROR(INDEX(shin($L70,$M70,$N70),2,1),P70/$R70))))</f>
        <v>0.247908002</v>
      </c>
      <c r="U70" s="65">
        <f t="array" ref="U70">IF($R70="","",IF(Method!$B$56="proportional",Q70/$R70,IF(Method!$B$56="power",IFERROR(INDEX(power_devig($L70,$M70,$N70),3,1),Q70/$R70),IFERROR(INDEX(shin($L70,$M70,$N70),3,1),Q70/$R70))))</f>
        <v>0.4819084628</v>
      </c>
      <c r="V70" s="65">
        <f>IF(S70="","",Method!$B$4*IF(BC70="",I70,BC70)+(1-Method!$B$4)*S70/($S70+$T70+$U70))</f>
        <v>0.3243359812</v>
      </c>
      <c r="W70" s="65">
        <f>IF(T70="","",Method!$B$4*IF(BD70="",J70,BD70)+(1-Method!$B$4)*T70/($S70+$T70+$U70))</f>
        <v>0.2542700413</v>
      </c>
      <c r="X70" s="65">
        <f>IF(U70="","",Method!$B$4*IF(BE70="",K70,BE70)+(1-Method!$B$4)*U70/($S70+$T70+$U70))</f>
        <v>0.4213939775</v>
      </c>
      <c r="Y70" s="66">
        <f t="shared" ref="Y70:AA70" si="152">IF(V70="","",V70*L70-1)</f>
        <v>0.1351759341</v>
      </c>
      <c r="Z70" s="66">
        <f t="shared" si="152"/>
        <v>-0.03377384295</v>
      </c>
      <c r="AA70" s="66">
        <f t="shared" si="152"/>
        <v>-0.157212045</v>
      </c>
      <c r="AB70" s="67">
        <f t="shared" si="6"/>
        <v>1</v>
      </c>
      <c r="AC70" s="67" t="str">
        <f t="shared" si="7"/>
        <v>H</v>
      </c>
      <c r="AD70" s="68" t="str">
        <f t="shared" si="8"/>
        <v>1  Colombia</v>
      </c>
      <c r="AE70" s="35">
        <f t="shared" si="9"/>
        <v>3.5</v>
      </c>
      <c r="AF70" s="66">
        <f t="shared" si="10"/>
        <v>0.1351759341</v>
      </c>
      <c r="AG70" s="66">
        <f t="shared" si="11"/>
        <v>0.05415244604</v>
      </c>
      <c r="AH70" s="69" t="str">
        <f t="array" ref="AH70">IF(AB70="","· enter odds",IF(OR(AF70&gt;Method!$B$87,IFERROR(INDEX(BC70:BE70,1,AB70)/INDEX(S70:U70,1,AB70),0)&gt;Method!$B$88),"PASS",IF(AND(AF70&gt;=Method!$B$7,AG70&gt;=Method!$B$8),"BET","PASS")))</f>
        <v>BET</v>
      </c>
      <c r="AI70" s="70">
        <f>IF(AH70&lt;&gt;"BET",0,ROUND(MIN(Method!$B$6,Method!$B$5*AL70)*100,1))</f>
        <v>1.4</v>
      </c>
      <c r="AJ70" s="71">
        <f>IF(OR(AH70&lt;&gt;"BET",Method!$B$55=TRUE()),0,IF(AI70*Method!$B$10/100&lt;Method!$B$9,0,ROUND(AI70*Method!$B$10/100,0)))</f>
        <v>14</v>
      </c>
      <c r="AK70" s="65">
        <f t="shared" si="12"/>
        <v>0.3243359812</v>
      </c>
      <c r="AL70" s="65">
        <f t="shared" si="13"/>
        <v>0.05407037366</v>
      </c>
      <c r="AM70" s="66">
        <f t="shared" si="14"/>
        <v>0.1352449341</v>
      </c>
      <c r="AN70" s="72" t="str">
        <f>IF(Matchday!N72="","",Matchday!N72)</f>
        <v>Y</v>
      </c>
      <c r="AO70" s="64">
        <f>IF(Matchday!P72="","",Matchday!P72)</f>
        <v>4.2</v>
      </c>
      <c r="AP70" s="73">
        <f>IF(Matchday!Q72="","",Matchday!Q72)</f>
        <v>15</v>
      </c>
      <c r="AQ70" s="72" t="str">
        <f>IF(Matchday!R72="","",Matchday!R72)</f>
        <v>D</v>
      </c>
      <c r="AR70" s="74">
        <f t="shared" si="15"/>
        <v>-15</v>
      </c>
      <c r="AS70" s="74">
        <f t="shared" si="16"/>
        <v>-14.6</v>
      </c>
      <c r="AT70" s="33" t="str">
        <f>IFERROR(__xludf.DUMMYFUNCTION("IF(AB70="""",""Type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pauses."")),IF(AH70=""BET"",IF(AJ70=0,""Edge found but stake rounds under £""&amp;Method!$B$9&amp;"" — skip"",IF(AND(AE70&gt;=6,AG70&gt;=0.15),""🟡 WAIT — long-shot review: odds ""&amp;TEXT(AE70,""0.00"")&amp;"" + edge ""&amp;TEXT(AG70,""0.0%"")"&amp;"&amp;"" — verify sharp-book + team news + stake comfort before Placed=Y"",""Value found: EV ""&amp;TEXT(AF70,""0.0%"")&amp;"", edge ""&amp;TEXT(AG70,""0.0%""))),IF(OR(AF70&gt;Method!$B$87,IFERROR(INDEX(BC70:BE70,1,AB70)/INDEX(S70:U70,1,AB70),0)&gt;Method!$B$88),""🛑 Tail trap "&amp;"— auto-PASS · EV ""&amp;TEXT(AF70,""0.0%"")&amp;"" (cap ""&amp;TEXT(Method!$B$87,""0%"")&amp;"") · model/market ""&amp;TEXT(IFERROR(INDEX(BC70:BE70,1,AB70)/INDEX(S70:U70,1,AB70),0),""0.0"")&amp;""× (cap ""&amp;TEXT(Method!$B$88,""0.0"")&amp;""×)"",IF(AF70&lt;Method!$B$7,""Price too short —"&amp;" EV ""&amp;TEXT(AF70,""0.0%"")&amp;"" (need ""&amp;TEXT(Method!$B$7,""0.0%"")&amp;""+)"",""Model ≈ market — edge ""&amp;TEXT(AG70,""0.0%"")&amp;"" (need ""&amp;TEXT(Method!$B$8,""0.0%"")&amp;""+)"")))))"),"Value found: EV 13.5%, edge 5.4%")</f>
        <v>Value found: EV 13.5%, edge 5.4%</v>
      </c>
      <c r="AU70" s="33" t="str">
        <f t="shared" si="17"/>
        <v>⚠ odds moved — re-check value</v>
      </c>
      <c r="AV70" s="32" t="str">
        <f>IF(Matchday!O72="","",Matchday!O72)</f>
        <v>H</v>
      </c>
      <c r="AW70" s="75" t="s">
        <v>260</v>
      </c>
      <c r="AX70" s="75">
        <v>19.0</v>
      </c>
      <c r="AY70" s="75" t="s">
        <v>111</v>
      </c>
      <c r="AZ70" s="75" t="str">
        <f t="shared" si="18"/>
        <v>BET</v>
      </c>
      <c r="BA70" s="76">
        <f>IF(AX70&lt;&gt;"",AX70,IF(AH70&lt;&gt;"BET",0,IF(AI70*Method!$B$10/100&lt;Method!$B$9,0,ROUND(AI70*Method!$B$10/100,0))))</f>
        <v>19</v>
      </c>
      <c r="BB70" s="12">
        <v>0.69</v>
      </c>
      <c r="BC70" s="12">
        <v>0.424904809547898</v>
      </c>
      <c r="BD70" s="12">
        <v>0.2660852571600624</v>
      </c>
      <c r="BE70" s="12">
        <v>0.3090099332920396</v>
      </c>
      <c r="BF70" s="14" t="s">
        <v>371</v>
      </c>
      <c r="BG70" s="12">
        <v>2.0</v>
      </c>
      <c r="BH70" s="14" t="s">
        <v>306</v>
      </c>
      <c r="BI70" s="12">
        <v>2439.1</v>
      </c>
    </row>
    <row r="71" ht="15.0" customHeight="1">
      <c r="A71" s="32">
        <v>70.0</v>
      </c>
      <c r="B71" s="59">
        <v>46200.0</v>
      </c>
      <c r="C71" s="60" t="s">
        <v>316</v>
      </c>
      <c r="D71" s="61" t="s">
        <v>85</v>
      </c>
      <c r="E71" s="61" t="s">
        <v>90</v>
      </c>
      <c r="F71" s="61" t="s">
        <v>298</v>
      </c>
      <c r="G71" s="62">
        <v>0.8125</v>
      </c>
      <c r="H71" s="60" t="s">
        <v>370</v>
      </c>
      <c r="I71" s="63">
        <v>0.2975112800166501</v>
      </c>
      <c r="J71" s="63">
        <v>0.3248511069503018</v>
      </c>
      <c r="K71" s="63">
        <v>0.3776376130330484</v>
      </c>
      <c r="L71" s="64">
        <f>IF(Matchday!E73="","",Matchday!E73)</f>
        <v>1.66</v>
      </c>
      <c r="M71" s="64">
        <f>IF(Matchday!F73="","",Matchday!F73)</f>
        <v>4</v>
      </c>
      <c r="N71" s="64">
        <f>IF(Matchday!G73="","",Matchday!G73)</f>
        <v>5</v>
      </c>
      <c r="O71" s="65">
        <f t="shared" ref="O71:Q71" si="153">IF(L71="","",1/L71)</f>
        <v>0.6024096386</v>
      </c>
      <c r="P71" s="65">
        <f t="shared" si="153"/>
        <v>0.25</v>
      </c>
      <c r="Q71" s="65">
        <f t="shared" si="153"/>
        <v>0.2</v>
      </c>
      <c r="R71" s="65">
        <f t="shared" si="4"/>
        <v>1.052409639</v>
      </c>
      <c r="S71" s="65">
        <f t="array" ref="S71">IF($R71="","",IF(Method!$B$56="proportional",O71/$R71,IF(Method!$B$56="power",IFERROR(INDEX(power_devig($L71,$M71,$N71),1,1),O71/$R71),IFERROR(INDEX(shin($L71,$M71,$N71),1,1),O71/$R71))))</f>
        <v>0.5817222589</v>
      </c>
      <c r="T71" s="65">
        <f t="array" ref="T71">IF($R71="","",IF(Method!$B$56="proportional",P71/$R71,IF(Method!$B$56="power",IFERROR(INDEX(power_devig($L71,$M71,$N71),2,1),P71/$R71),IFERROR(INDEX(shin($L71,$M71,$N71),2,1),P71/$R71))))</f>
        <v>0.2337902604</v>
      </c>
      <c r="U71" s="65">
        <f t="array" ref="U71">IF($R71="","",IF(Method!$B$56="proportional",Q71/$R71,IF(Method!$B$56="power",IFERROR(INDEX(power_devig($L71,$M71,$N71),3,1),Q71/$R71),IFERROR(INDEX(shin($L71,$M71,$N71),3,1),Q71/$R71))))</f>
        <v>0.1844874808</v>
      </c>
      <c r="V71" s="65">
        <f>IF(S71="","",Method!$B$4*IF(BC71="",I71,BC71)+(1-Method!$B$4)*S71/($S71+$T71+$U71))</f>
        <v>0.4858020595</v>
      </c>
      <c r="W71" s="65">
        <f>IF(T71="","",Method!$B$4*IF(BD71="",J71,BD71)+(1-Method!$B$4)*T71/($S71+$T71+$U71))</f>
        <v>0.2455513118</v>
      </c>
      <c r="X71" s="65">
        <f>IF(U71="","",Method!$B$4*IF(BE71="",K71,BE71)+(1-Method!$B$4)*U71/($S71+$T71+$U71))</f>
        <v>0.2686466287</v>
      </c>
      <c r="Y71" s="66">
        <f t="shared" ref="Y71:AA71" si="154">IF(V71="","",V71*L71-1)</f>
        <v>-0.1935685813</v>
      </c>
      <c r="Z71" s="66">
        <f t="shared" si="154"/>
        <v>-0.01779475272</v>
      </c>
      <c r="AA71" s="66">
        <f t="shared" si="154"/>
        <v>0.3432331436</v>
      </c>
      <c r="AB71" s="67">
        <f t="shared" si="6"/>
        <v>3</v>
      </c>
      <c r="AC71" s="67" t="str">
        <f t="shared" si="7"/>
        <v>A</v>
      </c>
      <c r="AD71" s="68" t="str">
        <f t="shared" si="8"/>
        <v>2  Uzbekistan</v>
      </c>
      <c r="AE71" s="35">
        <f t="shared" si="9"/>
        <v>5</v>
      </c>
      <c r="AF71" s="66">
        <f t="shared" si="10"/>
        <v>0.3432331436</v>
      </c>
      <c r="AG71" s="66">
        <f t="shared" si="11"/>
        <v>0.08415914795</v>
      </c>
      <c r="AH71" s="69" t="str">
        <f t="array" ref="AH71">IF(AB71="","· enter odds",IF(OR(AF71&gt;Method!$B$87,IFERROR(INDEX(BC71:BE71,1,AB71)/INDEX(S71:U71,1,AB71),0)&gt;Method!$B$88),"PASS",IF(AND(AF71&gt;=Method!$B$7,AG71&gt;=Method!$B$8),"BET","PASS")))</f>
        <v>PASS</v>
      </c>
      <c r="AI71" s="70">
        <f>IF(AH71&lt;&gt;"BET",0,ROUND(MIN(Method!$B$6,Method!$B$5*AL71)*100,1))</f>
        <v>0</v>
      </c>
      <c r="AJ71" s="71">
        <f>IF(OR(AH71&lt;&gt;"BET",Method!$B$55=TRUE()),0,IF(AI71*Method!$B$10/100&lt;Method!$B$9,0,ROUND(AI71*Method!$B$10/100,0)))</f>
        <v>0</v>
      </c>
      <c r="AK71" s="65">
        <f t="shared" si="12"/>
        <v>0.2686466287</v>
      </c>
      <c r="AL71" s="65" t="str">
        <f t="shared" si="13"/>
        <v/>
      </c>
      <c r="AM71" s="66" t="str">
        <f t="shared" si="14"/>
        <v/>
      </c>
      <c r="AN71" s="72" t="str">
        <f>IF(Matchday!N73="","",Matchday!N73)</f>
        <v>Y</v>
      </c>
      <c r="AO71" s="64">
        <f>IF(Matchday!P73="","",Matchday!P73)</f>
        <v>5</v>
      </c>
      <c r="AP71" s="73">
        <f>IF(Matchday!Q73="","",Matchday!Q73)</f>
        <v>16</v>
      </c>
      <c r="AQ71" s="72" t="str">
        <f>IF(Matchday!R73="","",Matchday!R73)</f>
        <v>H</v>
      </c>
      <c r="AR71" s="74">
        <f t="shared" si="15"/>
        <v>-16</v>
      </c>
      <c r="AS71" s="74">
        <f t="shared" si="16"/>
        <v>-30.6</v>
      </c>
      <c r="AT71" s="33" t="str">
        <f>IFERROR(__xludf.DUMMYFUNCTION("IF(AB71="""",""Type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pauses."")),IF(AH71=""BET"",IF(AJ71=0,""Edge found but stake rounds under £""&amp;Method!$B$9&amp;"" — skip"",IF(AND(AE71&gt;=6,AG71&gt;=0.15),""🟡 WAIT — long-shot review: odds ""&amp;TEXT(AE71,""0.00"")&amp;"" + edge ""&amp;TEXT(AG71,""0.0%"")"&amp;"&amp;"" — verify sharp-book + team news + stake comfort before Placed=Y"",""Value found: EV ""&amp;TEXT(AF71,""0.0%"")&amp;"", edge ""&amp;TEXT(AG71,""0.0%""))),IF(OR(AF71&gt;Method!$B$87,IFERROR(INDEX(BC71:BE71,1,AB71)/INDEX(S71:U71,1,AB71),0)&gt;Method!$B$88),""🛑 Tail trap "&amp;"— auto-PASS · EV ""&amp;TEXT(AF71,""0.0%"")&amp;"" (cap ""&amp;TEXT(Method!$B$87,""0%"")&amp;"") · model/market ""&amp;TEXT(IFERROR(INDEX(BC71:BE71,1,AB71)/INDEX(S71:U71,1,AB71),0),""0.0"")&amp;""× (cap ""&amp;TEXT(Method!$B$88,""0.0"")&amp;""×)"",IF(AF71&lt;Method!$B$7,""Price too short —"&amp;" EV ""&amp;TEXT(AF71,""0.0%"")&amp;"" (need ""&amp;TEXT(Method!$B$7,""0.0%"")&amp;""+)"",""Model ≈ market — edge ""&amp;TEXT(AG71,""0.0%"")&amp;"" (need ""&amp;TEXT(Method!$B$8,""0.0%"")&amp;""+)"")))))"),"🛑 Tail trap — auto-PASS · EV 34.3% (cap 30%) · model/market 2.3× (cap 2.5×)")</f>
        <v>🛑 Tail trap — auto-PASS · EV 34.3% (cap 30%) · model/market 2.3× (cap 2.5×)</v>
      </c>
      <c r="AU71" s="33" t="str">
        <f t="shared" si="17"/>
        <v>✓ engine bet</v>
      </c>
      <c r="AV71" s="32" t="str">
        <f>IF(Matchday!O73="","",Matchday!O73)</f>
        <v>A</v>
      </c>
      <c r="AW71" s="75" t="s">
        <v>260</v>
      </c>
      <c r="AX71" s="75">
        <v>16.0</v>
      </c>
      <c r="AY71" s="75" t="s">
        <v>112</v>
      </c>
      <c r="AZ71" s="75" t="str">
        <f t="shared" si="18"/>
        <v>BET</v>
      </c>
      <c r="BA71" s="76">
        <f>IF(AX71&lt;&gt;"",AX71,IF(AH71&lt;&gt;"BET",0,IF(AI71*Method!$B$10/100&lt;Method!$B$9,0,ROUND(AI71*Method!$B$10/100,0))))</f>
        <v>16</v>
      </c>
      <c r="BB71" s="12">
        <v>-15.030000000000001</v>
      </c>
      <c r="BC71" s="12">
        <v>0.30766454628129686</v>
      </c>
      <c r="BD71" s="12">
        <v>0.26739326452780476</v>
      </c>
      <c r="BE71" s="12">
        <v>0.42494218919089843</v>
      </c>
      <c r="BF71" s="14" t="s">
        <v>372</v>
      </c>
      <c r="BG71" s="12">
        <v>320.0</v>
      </c>
      <c r="BH71" s="14" t="s">
        <v>300</v>
      </c>
      <c r="BI71" s="12">
        <v>2373.1</v>
      </c>
    </row>
    <row r="72" ht="15.0" customHeight="1">
      <c r="A72" s="32">
        <v>71.0</v>
      </c>
      <c r="B72" s="59">
        <v>46200.0</v>
      </c>
      <c r="C72" s="60" t="s">
        <v>311</v>
      </c>
      <c r="D72" s="61" t="s">
        <v>81</v>
      </c>
      <c r="E72" s="61" t="s">
        <v>82</v>
      </c>
      <c r="F72" s="61" t="s">
        <v>312</v>
      </c>
      <c r="G72" s="62">
        <v>0.9166666666678793</v>
      </c>
      <c r="H72" s="60" t="s">
        <v>353</v>
      </c>
      <c r="I72" s="63">
        <v>0.2865579532560364</v>
      </c>
      <c r="J72" s="63">
        <v>0.31139396829866106</v>
      </c>
      <c r="K72" s="63">
        <v>0.4020480784453024</v>
      </c>
      <c r="L72" s="64">
        <f>IF(Matchday!E74="","",Matchday!E74)</f>
        <v>4</v>
      </c>
      <c r="M72" s="64">
        <f>IF(Matchday!F74="","",Matchday!F74)</f>
        <v>2.25</v>
      </c>
      <c r="N72" s="64">
        <f>IF(Matchday!G74="","",Matchday!G74)</f>
        <v>3</v>
      </c>
      <c r="O72" s="65">
        <f t="shared" ref="O72:Q72" si="155">IF(L72="","",1/L72)</f>
        <v>0.25</v>
      </c>
      <c r="P72" s="65">
        <f t="shared" si="155"/>
        <v>0.4444444444</v>
      </c>
      <c r="Q72" s="65">
        <f t="shared" si="155"/>
        <v>0.3333333333</v>
      </c>
      <c r="R72" s="65">
        <f t="shared" si="4"/>
        <v>1.027777778</v>
      </c>
      <c r="S72" s="65">
        <f t="array" ref="S72">IF($R72="","",IF(Method!$B$56="proportional",O72/$R72,IF(Method!$B$56="power",IFERROR(INDEX(power_devig($L72,$M72,$N72),1,1),O72/$R72),IFERROR(INDEX(shin($L72,$M72,$N72),1,1),O72/$R72))))</f>
        <v>0.2413819594</v>
      </c>
      <c r="T72" s="65">
        <f t="array" ref="T72">IF($R72="","",IF(Method!$B$56="proportional",P72/$R72,IF(Method!$B$56="power",IFERROR(INDEX(power_devig($L72,$M72,$N72),2,1),P72/$R72),IFERROR(INDEX(shin($L72,$M72,$N72),2,1),P72/$R72))))</f>
        <v>0.434484218</v>
      </c>
      <c r="U72" s="65">
        <f t="array" ref="U72">IF($R72="","",IF(Method!$B$56="proportional",Q72/$R72,IF(Method!$B$56="power",IFERROR(INDEX(power_devig($L72,$M72,$N72),3,1),Q72/$R72),IFERROR(INDEX(shin($L72,$M72,$N72),3,1),Q72/$R72))))</f>
        <v>0.3241338226</v>
      </c>
      <c r="V72" s="65">
        <f>IF(S72="","",Method!$B$4*IF(BC72="",I72,BC72)+(1-Method!$B$4)*S72/($S72+$T72+$U72))</f>
        <v>0.2599557171</v>
      </c>
      <c r="W72" s="65">
        <f>IF(T72="","",Method!$B$4*IF(BD72="",J72,BD72)+(1-Method!$B$4)*T72/($S72+$T72+$U72))</f>
        <v>0.3758057448</v>
      </c>
      <c r="X72" s="65">
        <f>IF(U72="","",Method!$B$4*IF(BE72="",K72,BE72)+(1-Method!$B$4)*U72/($S72+$T72+$U72))</f>
        <v>0.3642385381</v>
      </c>
      <c r="Y72" s="66">
        <f t="shared" ref="Y72:AA72" si="156">IF(V72="","",V72*L72-1)</f>
        <v>0.03982286827</v>
      </c>
      <c r="Z72" s="66">
        <f t="shared" si="156"/>
        <v>-0.1544370742</v>
      </c>
      <c r="AA72" s="66">
        <f t="shared" si="156"/>
        <v>0.09271561434</v>
      </c>
      <c r="AB72" s="67">
        <f t="shared" si="6"/>
        <v>3</v>
      </c>
      <c r="AC72" s="67" t="str">
        <f t="shared" si="7"/>
        <v>A</v>
      </c>
      <c r="AD72" s="68" t="str">
        <f t="shared" si="8"/>
        <v>2  Austria</v>
      </c>
      <c r="AE72" s="35">
        <f t="shared" si="9"/>
        <v>3</v>
      </c>
      <c r="AF72" s="66">
        <f t="shared" si="10"/>
        <v>0.09271561434</v>
      </c>
      <c r="AG72" s="66">
        <f t="shared" si="11"/>
        <v>0.04010471551</v>
      </c>
      <c r="AH72" s="69" t="str">
        <f t="array" ref="AH72">IF(AB72="","· enter odds",IF(OR(AF72&gt;Method!$B$87,IFERROR(INDEX(BC72:BE72,1,AB72)/INDEX(S72:U72,1,AB72),0)&gt;Method!$B$88),"PASS",IF(AND(AF72&gt;=Method!$B$7,AG72&gt;=Method!$B$8),"BET","PASS")))</f>
        <v>BET</v>
      </c>
      <c r="AI72" s="70">
        <f>IF(AH72&lt;&gt;"BET",0,ROUND(MIN(Method!$B$6,Method!$B$5*AL72)*100,1))</f>
        <v>1.2</v>
      </c>
      <c r="AJ72" s="71">
        <f>IF(OR(AH72&lt;&gt;"BET",Method!$B$55=TRUE()),0,IF(AI72*Method!$B$10/100&lt;Method!$B$9,0,ROUND(AI72*Method!$B$10/100,0)))</f>
        <v>12</v>
      </c>
      <c r="AK72" s="65">
        <f t="shared" si="12"/>
        <v>0.3642385381</v>
      </c>
      <c r="AL72" s="65">
        <f t="shared" si="13"/>
        <v>0.04635780717</v>
      </c>
      <c r="AM72" s="66">
        <f t="shared" si="14"/>
        <v>0.09278661434</v>
      </c>
      <c r="AN72" s="72" t="str">
        <f>IF(Matchday!N74="","",Matchday!N74)</f>
        <v/>
      </c>
      <c r="AO72" s="64" t="str">
        <f>IF(Matchday!P74="","",Matchday!P74)</f>
        <v/>
      </c>
      <c r="AP72" s="73" t="str">
        <f>IF(Matchday!Q74="","",Matchday!Q74)</f>
        <v/>
      </c>
      <c r="AQ72" s="72" t="str">
        <f>IF(Matchday!R74="","",Matchday!R74)</f>
        <v>D</v>
      </c>
      <c r="AR72" s="74" t="str">
        <f t="shared" si="15"/>
        <v/>
      </c>
      <c r="AS72" s="74" t="str">
        <f t="shared" si="16"/>
        <v/>
      </c>
      <c r="AT72" s="33" t="str">
        <f>IFERROR(__xludf.DUMMYFUNCTION("IF(AB72="""",""Type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pauses."")),IF(AH72=""BET"",IF(AJ72=0,""Edge found but stake rounds under £""&amp;Method!$B$9&amp;"" — skip"",IF(AND(AE72&gt;=6,AG72&gt;=0.15),""🟡 WAIT — long-shot review: odds ""&amp;TEXT(AE72,""0.00"")&amp;"" + edge ""&amp;TEXT(AG72,""0.0%"")"&amp;"&amp;"" — verify sharp-book + team news + stake comfort before Placed=Y"",""Value found: EV ""&amp;TEXT(AF72,""0.0%"")&amp;"", edge ""&amp;TEXT(AG72,""0.0%""))),IF(OR(AF72&gt;Method!$B$87,IFERROR(INDEX(BC72:BE72,1,AB72)/INDEX(S72:U72,1,AB72),0)&gt;Method!$B$88),""🛑 Tail trap "&amp;"— auto-PASS · EV ""&amp;TEXT(AF72,""0.0%"")&amp;"" (cap ""&amp;TEXT(Method!$B$87,""0%"")&amp;"") · model/market ""&amp;TEXT(IFERROR(INDEX(BC72:BE72,1,AB72)/INDEX(S72:U72,1,AB72),0),""0.0"")&amp;""× (cap ""&amp;TEXT(Method!$B$88,""0.0"")&amp;""×)"",IF(AF72&lt;Method!$B$7,""Price too short —"&amp;" EV ""&amp;TEXT(AF72,""0.0%"")&amp;"" (need ""&amp;TEXT(Method!$B$7,""0.0%"")&amp;""+)"",""Model ≈ market — edge ""&amp;TEXT(AG72,""0.0%"")&amp;"" (need ""&amp;TEXT(Method!$B$8,""0.0%"")&amp;""+)"")))))"),"Value found: EV 9.3%, edge 4.0%")</f>
        <v>Value found: EV 9.3%, edge 4.0%</v>
      </c>
      <c r="AU72" s="33" t="str">
        <f t="shared" si="17"/>
        <v/>
      </c>
      <c r="AV72" s="32" t="str">
        <f>IF(Matchday!O74="","",Matchday!O74)</f>
        <v/>
      </c>
      <c r="AW72" s="75"/>
      <c r="AX72" s="75"/>
      <c r="AY72" s="75"/>
      <c r="AZ72" s="75" t="str">
        <f t="shared" si="18"/>
        <v>BET</v>
      </c>
      <c r="BA72" s="76">
        <f>IF(AX72&lt;&gt;"",AX72,IF(AH72&lt;&gt;"BET",0,IF(AI72*Method!$B$10/100&lt;Method!$B$9,0,ROUND(AI72*Method!$B$10/100,0))))</f>
        <v>12</v>
      </c>
      <c r="BB72" s="12">
        <v>-33.15</v>
      </c>
      <c r="BC72" s="12">
        <v>0.2944498385250482</v>
      </c>
      <c r="BD72" s="12">
        <v>0.26683143742214427</v>
      </c>
      <c r="BE72" s="12">
        <v>0.43871872405280754</v>
      </c>
      <c r="BF72" s="14" t="s">
        <v>373</v>
      </c>
      <c r="BG72" s="12">
        <v>270.0</v>
      </c>
      <c r="BH72" s="14" t="s">
        <v>314</v>
      </c>
      <c r="BI72" s="12">
        <v>2398.8</v>
      </c>
    </row>
    <row r="73" ht="15.0" customHeight="1">
      <c r="A73" s="32">
        <v>72.0</v>
      </c>
      <c r="B73" s="59">
        <v>46200.0</v>
      </c>
      <c r="C73" s="60" t="s">
        <v>311</v>
      </c>
      <c r="D73" s="61" t="s">
        <v>83</v>
      </c>
      <c r="E73" s="61" t="s">
        <v>80</v>
      </c>
      <c r="F73" s="61" t="s">
        <v>289</v>
      </c>
      <c r="G73" s="62">
        <v>0.9166666666678793</v>
      </c>
      <c r="H73" s="60" t="s">
        <v>353</v>
      </c>
      <c r="I73" s="63">
        <v>0.026774773538179458</v>
      </c>
      <c r="J73" s="63">
        <v>0.10479874609161781</v>
      </c>
      <c r="K73" s="63">
        <v>0.8684264803702026</v>
      </c>
      <c r="L73" s="64">
        <f>IF(Matchday!E75="","",Matchday!E75)</f>
        <v>15</v>
      </c>
      <c r="M73" s="64">
        <f>IF(Matchday!F75="","",Matchday!F75)</f>
        <v>8</v>
      </c>
      <c r="N73" s="64">
        <f>IF(Matchday!G75="","",Matchday!G75)</f>
        <v>1.18</v>
      </c>
      <c r="O73" s="65">
        <f t="shared" ref="O73:Q73" si="157">IF(L73="","",1/L73)</f>
        <v>0.06666666667</v>
      </c>
      <c r="P73" s="65">
        <f t="shared" si="157"/>
        <v>0.125</v>
      </c>
      <c r="Q73" s="65">
        <f t="shared" si="157"/>
        <v>0.8474576271</v>
      </c>
      <c r="R73" s="65">
        <f t="shared" si="4"/>
        <v>1.039124294</v>
      </c>
      <c r="S73" s="65">
        <f t="array" ref="S73">IF($R73="","",IF(Method!$B$56="proportional",O73/$R73,IF(Method!$B$56="power",IFERROR(INDEX(power_devig($L73,$M73,$N73),1,1),O73/$R73),IFERROR(INDEX(shin($L73,$M73,$N73),1,1),O73/$R73))))</f>
        <v>0.05647400754</v>
      </c>
      <c r="T73" s="65">
        <f t="array" ref="T73">IF($R73="","",IF(Method!$B$56="proportional",P73/$R73,IF(Method!$B$56="power",IFERROR(INDEX(power_devig($L73,$M73,$N73),2,1),P73/$R73),IFERROR(INDEX(shin($L73,$M73,$N73),2,1),P73/$R73))))</f>
        <v>0.1139127165</v>
      </c>
      <c r="U73" s="65">
        <f t="array" ref="U73">IF($R73="","",IF(Method!$B$56="proportional",Q73/$R73,IF(Method!$B$56="power",IFERROR(INDEX(power_devig($L73,$M73,$N73),3,1),Q73/$R73),IFERROR(INDEX(shin($L73,$M73,$N73),3,1),Q73/$R73))))</f>
        <v>0.8296132759</v>
      </c>
      <c r="V73" s="65">
        <f>IF(S73="","",Method!$B$4*IF(BC73="",I73,BC73)+(1-Method!$B$4)*S73/($S73+$T73+$U73))</f>
        <v>0.05562400171</v>
      </c>
      <c r="W73" s="65">
        <f>IF(T73="","",Method!$B$4*IF(BD73="",J73,BD73)+(1-Method!$B$4)*T73/($S73+$T73+$U73))</f>
        <v>0.110992088</v>
      </c>
      <c r="X73" s="65">
        <f>IF(U73="","",Method!$B$4*IF(BE73="",K73,BE73)+(1-Method!$B$4)*U73/($S73+$T73+$U73))</f>
        <v>0.8333839103</v>
      </c>
      <c r="Y73" s="66">
        <f t="shared" ref="Y73:AA73" si="158">IF(V73="","",V73*L73-1)</f>
        <v>-0.1656399743</v>
      </c>
      <c r="Z73" s="66">
        <f t="shared" si="158"/>
        <v>-0.1120632957</v>
      </c>
      <c r="AA73" s="66">
        <f t="shared" si="158"/>
        <v>-0.0166069859</v>
      </c>
      <c r="AB73" s="67">
        <f t="shared" si="6"/>
        <v>3</v>
      </c>
      <c r="AC73" s="67" t="str">
        <f t="shared" si="7"/>
        <v>A</v>
      </c>
      <c r="AD73" s="68" t="str">
        <f t="shared" si="8"/>
        <v>2  Argentina</v>
      </c>
      <c r="AE73" s="35">
        <f t="shared" si="9"/>
        <v>1.18</v>
      </c>
      <c r="AF73" s="66">
        <f t="shared" si="10"/>
        <v>-0.0166069859</v>
      </c>
      <c r="AG73" s="66">
        <f t="shared" si="11"/>
        <v>0.003770634346</v>
      </c>
      <c r="AH73" s="69" t="str">
        <f t="array" ref="AH73">IF(AB73="","· enter odds",IF(OR(AF73&gt;Method!$B$87,IFERROR(INDEX(BC73:BE73,1,AB73)/INDEX(S73:U73,1,AB73),0)&gt;Method!$B$88),"PASS",IF(AND(AF73&gt;=Method!$B$7,AG73&gt;=Method!$B$8),"BET","PASS")))</f>
        <v>PASS</v>
      </c>
      <c r="AI73" s="70">
        <f>IF(AH73&lt;&gt;"BET",0,ROUND(MIN(Method!$B$6,Method!$B$5*AL73)*100,1))</f>
        <v>0</v>
      </c>
      <c r="AJ73" s="71">
        <f>IF(OR(AH73&lt;&gt;"BET",Method!$B$55=TRUE()),0,IF(AI73*Method!$B$10/100&lt;Method!$B$9,0,ROUND(AI73*Method!$B$10/100,0)))</f>
        <v>0</v>
      </c>
      <c r="AK73" s="65">
        <f t="shared" si="12"/>
        <v>0.8333839103</v>
      </c>
      <c r="AL73" s="65" t="str">
        <f t="shared" si="13"/>
        <v/>
      </c>
      <c r="AM73" s="67" t="str">
        <f t="shared" si="14"/>
        <v/>
      </c>
      <c r="AN73" s="72" t="str">
        <f>IF(Matchday!N75="","",Matchday!N75)</f>
        <v/>
      </c>
      <c r="AO73" s="64" t="str">
        <f>IF(Matchday!P75="","",Matchday!P75)</f>
        <v/>
      </c>
      <c r="AP73" s="73" t="str">
        <f>IF(Matchday!Q75="","",Matchday!Q75)</f>
        <v/>
      </c>
      <c r="AQ73" s="72" t="str">
        <f>IF(Matchday!R75="","",Matchday!R75)</f>
        <v>A</v>
      </c>
      <c r="AR73" s="74" t="str">
        <f t="shared" si="15"/>
        <v/>
      </c>
      <c r="AS73" s="74" t="str">
        <f t="shared" si="16"/>
        <v/>
      </c>
      <c r="AT73" s="33" t="str">
        <f>IFERROR(__xludf.DUMMYFUNCTION("IF(AB73="""",""Type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pauses."")),IF(AH73=""BET"",IF(AJ73=0,""Edge found but stake rounds under £""&amp;Method!$B$9&amp;"" — skip"",IF(AND(AE73&gt;=6,AG73&gt;=0.15),""🟡 WAIT — long-shot review: odds ""&amp;TEXT(AE73,""0.00"")&amp;"" + edge ""&amp;TEXT(AG73,""0.0%"")"&amp;"&amp;"" — verify sharp-book + team news + stake comfort before Placed=Y"",""Value found: EV ""&amp;TEXT(AF73,""0.0%"")&amp;"", edge ""&amp;TEXT(AG73,""0.0%""))),IF(OR(AF73&gt;Method!$B$87,IFERROR(INDEX(BC73:BE73,1,AB73)/INDEX(S73:U73,1,AB73),0)&gt;Method!$B$88),""🛑 Tail trap "&amp;"— auto-PASS · EV ""&amp;TEXT(AF73,""0.0%"")&amp;"" (cap ""&amp;TEXT(Method!$B$87,""0%"")&amp;"") · model/market ""&amp;TEXT(IFERROR(INDEX(BC73:BE73,1,AB73)/INDEX(S73:U73,1,AB73),0),""0.0"")&amp;""× (cap ""&amp;TEXT(Method!$B$88,""0.0"")&amp;""×)"",IF(AF73&lt;Method!$B$7,""Price too short —"&amp;" EV ""&amp;TEXT(AF73,""0.0%"")&amp;"" (need ""&amp;TEXT(Method!$B$7,""0.0%"")&amp;""+)"",""Model ≈ market — edge ""&amp;TEXT(AG73,""0.0%"")&amp;"" (need ""&amp;TEXT(Method!$B$8,""0.0%"")&amp;""+)"")))))"),"Price too short — EV -1.7% (need 2.5%+)")</f>
        <v>Price too short — EV -1.7% (need 2.5%+)</v>
      </c>
      <c r="AU73" s="33" t="str">
        <f t="shared" si="17"/>
        <v/>
      </c>
      <c r="AV73" s="32" t="str">
        <f>IF(Matchday!O75="","",Matchday!O75)</f>
        <v/>
      </c>
      <c r="AW73" s="75"/>
      <c r="AX73" s="75"/>
      <c r="AY73" s="75"/>
      <c r="AZ73" s="75" t="str">
        <f t="shared" si="18"/>
        <v>PASS</v>
      </c>
      <c r="BA73" s="76">
        <f>IF(AX73&lt;&gt;"",AX73,IF(AH73&lt;&gt;"BET",0,IF(AI73*Method!$B$10/100&lt;Method!$B$9,0,ROUND(AI73*Method!$B$10/100,0))))</f>
        <v>0</v>
      </c>
      <c r="BB73" s="12">
        <v>5.07</v>
      </c>
      <c r="BC73" s="12">
        <v>0.05404541945840963</v>
      </c>
      <c r="BD73" s="12">
        <v>0.10556806364576997</v>
      </c>
      <c r="BE73" s="12">
        <v>0.8403865168958204</v>
      </c>
      <c r="BF73" s="14" t="s">
        <v>374</v>
      </c>
      <c r="BG73" s="12">
        <v>175.0</v>
      </c>
      <c r="BH73" s="14" t="s">
        <v>291</v>
      </c>
      <c r="BI73" s="12">
        <v>2314.9</v>
      </c>
    </row>
    <row r="74" ht="15.75" customHeight="1">
      <c r="A74" s="54">
        <v>73.0</v>
      </c>
      <c r="B74" s="77">
        <v>46201.0</v>
      </c>
      <c r="C74" s="55" t="s">
        <v>375</v>
      </c>
      <c r="D74" s="55" t="s">
        <v>45</v>
      </c>
      <c r="E74" s="55" t="s">
        <v>48</v>
      </c>
      <c r="F74" s="55" t="s">
        <v>376</v>
      </c>
      <c r="G74" s="78">
        <v>0.5</v>
      </c>
      <c r="H74" s="1"/>
      <c r="I74" s="54">
        <v>0.14263586045411045</v>
      </c>
      <c r="J74" s="54">
        <v>0.2685121909201046</v>
      </c>
      <c r="K74" s="54">
        <v>0.588851948625785</v>
      </c>
      <c r="L74" s="79">
        <f>IF(Matchday!E76="","",Matchday!E76)</f>
        <v>4.1</v>
      </c>
      <c r="M74" s="79">
        <f>IF(Matchday!F76="","",Matchday!F76)</f>
        <v>2.5</v>
      </c>
      <c r="N74" s="79">
        <f>IF(Matchday!G76="","",Matchday!G76)</f>
        <v>0.85</v>
      </c>
      <c r="O74" s="1">
        <f t="shared" ref="O74:Q74" si="159">IF(L74="","",1/L74)</f>
        <v>0.243902439</v>
      </c>
      <c r="P74" s="1">
        <f t="shared" si="159"/>
        <v>0.4</v>
      </c>
      <c r="Q74" s="1">
        <f t="shared" si="159"/>
        <v>1.176470588</v>
      </c>
      <c r="R74" s="1">
        <f t="shared" si="4"/>
        <v>1.820373027</v>
      </c>
      <c r="S74" s="1">
        <f t="array" ref="S74">IF($R74="","",IF(Method!$B$56="proportional",O74/$R74,IF(Method!$B$56="power",IFERROR(INDEX(power_devig($L74,$M74,$N74),1,1),O74/$R74),IFERROR(INDEX(shin($L74,$M74,$N74),1,1),O74/$R74))))</f>
        <v>0.1339848676</v>
      </c>
      <c r="T74" s="1">
        <f t="array" ref="T74">IF($R74="","",IF(Method!$B$56="proportional",P74/$R74,IF(Method!$B$56="power",IFERROR(INDEX(power_devig($L74,$M74,$N74),2,1),P74/$R74),IFERROR(INDEX(shin($L74,$M74,$N74),2,1),P74/$R74))))</f>
        <v>0.2197351828</v>
      </c>
      <c r="U74" s="1">
        <f t="array" ref="U74">IF($R74="","",IF(Method!$B$56="proportional",Q74/$R74,IF(Method!$B$56="power",IFERROR(INDEX(power_devig($L74,$M74,$N74),3,1),Q74/$R74),IFERROR(INDEX(shin($L74,$M74,$N74),3,1),Q74/$R74))))</f>
        <v>0.6462799496</v>
      </c>
      <c r="V74" s="1">
        <f>IF(S74="","",Method!$B$4*IF(BC74="",I74,BC74)+(1-Method!$B$4)*S74/($S74+$T74+$U74))</f>
        <v>0.1370127151</v>
      </c>
      <c r="W74" s="1">
        <f>IF(T74="","",Method!$B$4*IF(BD74="",J74,BD74)+(1-Method!$B$4)*T74/($S74+$T74+$U74))</f>
        <v>0.2368071357</v>
      </c>
      <c r="X74" s="1">
        <f>IF(U74="","",Method!$B$4*IF(BE74="",K74,BE74)+(1-Method!$B$4)*U74/($S74+$T74+$U74))</f>
        <v>0.6261801492</v>
      </c>
      <c r="Y74" s="1">
        <f t="shared" ref="Y74:AA74" si="160">IF(V74="","",V74*L74-1)</f>
        <v>-0.4382478681</v>
      </c>
      <c r="Z74" s="1">
        <f t="shared" si="160"/>
        <v>-0.4079821608</v>
      </c>
      <c r="AA74" s="1">
        <f t="shared" si="160"/>
        <v>-0.4677468732</v>
      </c>
      <c r="AB74" s="1">
        <f t="shared" si="6"/>
        <v>2</v>
      </c>
      <c r="AC74" s="1" t="str">
        <f t="shared" si="7"/>
        <v>D</v>
      </c>
      <c r="AD74" s="1" t="str">
        <f t="shared" si="8"/>
        <v>X  Draw</v>
      </c>
      <c r="AE74" s="79">
        <f t="shared" si="9"/>
        <v>2.5</v>
      </c>
      <c r="AF74" s="1">
        <f t="shared" si="10"/>
        <v>-0.4079821608</v>
      </c>
      <c r="AG74" s="1">
        <f t="shared" si="11"/>
        <v>0.01707195282</v>
      </c>
      <c r="AH74" s="1" t="str">
        <f t="array" ref="AH74">IF(AB74="","· enter odds",IF(OR(AF74&gt;Method!$B$87,IFERROR(INDEX(BC74:BE74,1,AB74)/INDEX(S74:U74,1,AB74),0)&gt;Method!$B$88),"PASS",IF(AND(AF74&gt;=Method!$B$7,AG74&gt;=Method!$B$8),"BET","PASS")))</f>
        <v>PASS</v>
      </c>
      <c r="AI74" s="1">
        <f>IF(AH74&lt;&gt;"BET",0,ROUND(MIN(Method!$B$6,Method!$B$5*AL74)*100,1))</f>
        <v>0</v>
      </c>
      <c r="AJ74" s="1">
        <f>IF(OR(AH74&lt;&gt;"BET",Method!$B$55=TRUE()),0,IF(AI74*Method!$B$10/100&lt;Method!$B$9,0,ROUND(AI74*Method!$B$10/100,0)))</f>
        <v>0</v>
      </c>
      <c r="AK74" s="1">
        <f t="shared" si="12"/>
        <v>0.2368071357</v>
      </c>
      <c r="AL74" s="1" t="str">
        <f t="shared" si="13"/>
        <v/>
      </c>
      <c r="AM74" s="1" t="str">
        <f t="shared" si="14"/>
        <v/>
      </c>
      <c r="AN74" s="1" t="str">
        <f>IF(Matchday!N76="","",Matchday!N76)</f>
        <v/>
      </c>
      <c r="AO74" s="1" t="str">
        <f>IF(Matchday!P76="","",Matchday!P76)</f>
        <v/>
      </c>
      <c r="AP74" s="1" t="str">
        <f>IF(Matchday!Q76="","",Matchday!Q76)</f>
        <v/>
      </c>
      <c r="AQ74" s="1" t="str">
        <f>IF(Matchday!R76="","",Matchday!R76)</f>
        <v>A</v>
      </c>
      <c r="AR74" s="1" t="str">
        <f t="shared" si="15"/>
        <v/>
      </c>
      <c r="AS74" s="1" t="str">
        <f t="shared" si="16"/>
        <v/>
      </c>
      <c r="AT74" s="1" t="str">
        <f>IFERROR(__xludf.DUMMYFUNCTION("IF(AB74="""",""Type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pauses."")),IF(AH74=""BET"",IF(AJ74=0,""Edge found but stake rounds under £""&amp;Method!$B$9&amp;"" — skip"",IF(AND(AE74&gt;=6,AG74&gt;=0.15),""🟡 WAIT — long-shot review: odds ""&amp;TEXT(AE74,""0.00"")&amp;"" + edge ""&amp;TEXT(AG74,""0.0%"")"&amp;"&amp;"" — verify sharp-book + team news + stake comfort before Placed=Y"",""Value found: EV ""&amp;TEXT(AF74,""0.0%"")&amp;"", edge ""&amp;TEXT(AG74,""0.0%""))),IF(OR(AF74&gt;Method!$B$87,IFERROR(INDEX(BC74:BE74,1,AB74)/INDEX(S74:U74,1,AB74),0)&gt;Method!$B$88),""🛑 Tail trap "&amp;"— auto-PASS · EV ""&amp;TEXT(AF74,""0.0%"")&amp;"" (cap ""&amp;TEXT(Method!$B$87,""0%"")&amp;"") · model/market ""&amp;TEXT(IFERROR(INDEX(BC74:BE74,1,AB74)/INDEX(S74:U74,1,AB74),0),""0.0"")&amp;""× (cap ""&amp;TEXT(Method!$B$88,""0.0"")&amp;""×)"",IF(AF74&lt;Method!$B$7,""Price too short —"&amp;" EV ""&amp;TEXT(AF74,""0.0%"")&amp;"" (need ""&amp;TEXT(Method!$B$7,""0.0%"")&amp;""+)"",""Model ≈ market — edge ""&amp;TEXT(AG74,""0.0%"")&amp;"" (need ""&amp;TEXT(Method!$B$8,""0.0%"")&amp;""+)"")))))"),"Price too short — EV -40.8% (need 2.5%+)")</f>
        <v>Price too short — EV -40.8% (need 2.5%+)</v>
      </c>
      <c r="AU74" s="1" t="str">
        <f t="shared" si="17"/>
        <v/>
      </c>
      <c r="AV74" s="1" t="str">
        <f>IF(Matchday!O76="","",Matchday!O76)</f>
        <v/>
      </c>
      <c r="AW74" s="1"/>
      <c r="AX74" s="1"/>
      <c r="AY74" s="1"/>
      <c r="AZ74" s="1" t="str">
        <f t="shared" si="18"/>
        <v>PASS</v>
      </c>
      <c r="BA74" s="1">
        <f>IF(AX74&lt;&gt;"",AX74,IF(AH74&lt;&gt;"BET",0,IF(AI74*Method!$B$10/100&lt;Method!$B$9,0,ROUND(AI74*Method!$B$10/100,0))))</f>
        <v>0</v>
      </c>
      <c r="BB74" s="12">
        <v>-37.980000000000004</v>
      </c>
      <c r="BC74" s="12">
        <v>0.14263586045411045</v>
      </c>
      <c r="BD74" s="12">
        <v>0.2685121909201046</v>
      </c>
      <c r="BE74" s="12">
        <v>0.588851948625785</v>
      </c>
      <c r="BF74" s="14" t="s">
        <v>377</v>
      </c>
      <c r="BG74" s="12">
        <v>0.0</v>
      </c>
    </row>
    <row r="75" ht="15.75" customHeight="1">
      <c r="A75" s="54">
        <v>74.0</v>
      </c>
      <c r="B75" s="77">
        <v>46202.0</v>
      </c>
      <c r="C75" s="55" t="s">
        <v>375</v>
      </c>
      <c r="D75" s="55" t="s">
        <v>60</v>
      </c>
      <c r="E75" s="55" t="s">
        <v>51</v>
      </c>
      <c r="F75" s="55" t="s">
        <v>378</v>
      </c>
      <c r="G75" s="78">
        <v>0.6875</v>
      </c>
      <c r="H75" s="1"/>
      <c r="I75" s="54">
        <v>0.4720904197061152</v>
      </c>
      <c r="J75" s="54">
        <v>0.29332577362258905</v>
      </c>
      <c r="K75" s="54">
        <v>0.23458380667129572</v>
      </c>
      <c r="L75" s="79">
        <f>IF(Matchday!E77="","",Matchday!E77)</f>
        <v>1.37</v>
      </c>
      <c r="M75" s="79">
        <f>IF(Matchday!F77="","",Matchday!F77)</f>
        <v>5.33</v>
      </c>
      <c r="N75" s="79">
        <f>IF(Matchday!G77="","",Matchday!G77)</f>
        <v>10</v>
      </c>
      <c r="O75" s="1">
        <f t="shared" ref="O75:Q75" si="161">IF(L75="","",1/L75)</f>
        <v>0.7299270073</v>
      </c>
      <c r="P75" s="1">
        <f t="shared" si="161"/>
        <v>0.1876172608</v>
      </c>
      <c r="Q75" s="1">
        <f t="shared" si="161"/>
        <v>0.1</v>
      </c>
      <c r="R75" s="1">
        <f t="shared" si="4"/>
        <v>1.017544268</v>
      </c>
      <c r="S75" s="1">
        <f t="array" ref="S75">IF($R75="","",IF(Method!$B$56="proportional",O75/$R75,IF(Method!$B$56="power",IFERROR(INDEX(power_devig($L75,$M75,$N75),1,1),O75/$R75),IFERROR(INDEX(shin($L75,$M75,$N75),1,1),O75/$R75))))</f>
        <v>0.7223794536</v>
      </c>
      <c r="T75" s="1">
        <f t="array" ref="T75">IF($R75="","",IF(Method!$B$56="proportional",P75/$R75,IF(Method!$B$56="power",IFERROR(INDEX(power_devig($L75,$M75,$N75),2,1),P75/$R75),IFERROR(INDEX(shin($L75,$M75,$N75),2,1),P75/$R75))))</f>
        <v>0.1824097215</v>
      </c>
      <c r="U75" s="1">
        <f t="array" ref="U75">IF($R75="","",IF(Method!$B$56="proportional",Q75/$R75,IF(Method!$B$56="power",IFERROR(INDEX(power_devig($L75,$M75,$N75),3,1),Q75/$R75),IFERROR(INDEX(shin($L75,$M75,$N75),3,1),Q75/$R75))))</f>
        <v>0.09521082494</v>
      </c>
      <c r="V75" s="1">
        <f>IF(S75="","",Method!$B$4*IF(BC75="",I75,BC75)+(1-Method!$B$4)*S75/($S75+$T75+$U75))</f>
        <v>0.6347782917</v>
      </c>
      <c r="W75" s="1">
        <f>IF(T75="","",Method!$B$4*IF(BD75="",J75,BD75)+(1-Method!$B$4)*T75/($S75+$T75+$U75))</f>
        <v>0.2212303397</v>
      </c>
      <c r="X75" s="1">
        <f>IF(U75="","",Method!$B$4*IF(BE75="",K75,BE75)+(1-Method!$B$4)*U75/($S75+$T75+$U75))</f>
        <v>0.1439913685</v>
      </c>
      <c r="Y75" s="1">
        <f t="shared" ref="Y75:AA75" si="162">IF(V75="","",V75*L75-1)</f>
        <v>-0.1303537403</v>
      </c>
      <c r="Z75" s="1">
        <f t="shared" si="162"/>
        <v>0.1791577107</v>
      </c>
      <c r="AA75" s="1">
        <f t="shared" si="162"/>
        <v>0.4399136855</v>
      </c>
      <c r="AB75" s="1">
        <f t="shared" si="6"/>
        <v>3</v>
      </c>
      <c r="AC75" s="1" t="str">
        <f t="shared" si="7"/>
        <v>A</v>
      </c>
      <c r="AD75" s="1" t="str">
        <f t="shared" si="8"/>
        <v>2  Paraguay</v>
      </c>
      <c r="AE75" s="79">
        <f t="shared" si="9"/>
        <v>10</v>
      </c>
      <c r="AF75" s="1">
        <f t="shared" si="10"/>
        <v>0.4399136855</v>
      </c>
      <c r="AG75" s="1">
        <f t="shared" si="11"/>
        <v>0.04878054361</v>
      </c>
      <c r="AH75" s="1" t="str">
        <f t="array" ref="AH75">IF(AB75="","· enter odds",IF(OR(AF75&gt;Method!$B$87,IFERROR(INDEX(BC75:BE75,1,AB75)/INDEX(S75:U75,1,AB75),0)&gt;Method!$B$88),"PASS",IF(AND(AF75&gt;=Method!$B$7,AG75&gt;=Method!$B$8),"BET","PASS")))</f>
        <v>PASS</v>
      </c>
      <c r="AI75" s="1">
        <f>IF(AH75&lt;&gt;"BET",0,ROUND(MIN(Method!$B$6,Method!$B$5*AL75)*100,1))</f>
        <v>0</v>
      </c>
      <c r="AJ75" s="1">
        <f>IF(OR(AH75&lt;&gt;"BET",Method!$B$55=TRUE()),0,IF(AI75*Method!$B$10/100&lt;Method!$B$9,0,ROUND(AI75*Method!$B$10/100,0)))</f>
        <v>0</v>
      </c>
      <c r="AK75" s="1">
        <f t="shared" si="12"/>
        <v>0.1439913685</v>
      </c>
      <c r="AL75" s="1" t="str">
        <f t="shared" si="13"/>
        <v/>
      </c>
      <c r="AM75" s="1" t="str">
        <f t="shared" si="14"/>
        <v/>
      </c>
      <c r="AN75" s="1" t="str">
        <f>IF(Matchday!N77="","",Matchday!N77)</f>
        <v/>
      </c>
      <c r="AO75" s="1" t="str">
        <f>IF(Matchday!P77="","",Matchday!P77)</f>
        <v/>
      </c>
      <c r="AP75" s="1" t="str">
        <f>IF(Matchday!Q77="","",Matchday!Q77)</f>
        <v/>
      </c>
      <c r="AQ75" s="1" t="str">
        <f>IF(Matchday!R77="","",Matchday!R77)</f>
        <v>D</v>
      </c>
      <c r="AR75" s="1" t="str">
        <f t="shared" si="15"/>
        <v/>
      </c>
      <c r="AS75" s="1" t="str">
        <f t="shared" si="16"/>
        <v/>
      </c>
      <c r="AT75" s="1" t="str">
        <f>IFERROR(__xludf.DUMMYFUNCTION("IF(AB75="""",""Type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pauses."")),IF(AH75=""BET"",IF(AJ75=0,""Edge found but stake rounds under £""&amp;Method!$B$9&amp;"" — skip"",IF(AND(AE75&gt;=6,AG75&gt;=0.15),""🟡 WAIT — long-shot review: odds ""&amp;TEXT(AE75,""0.00"")&amp;"" + edge ""&amp;TEXT(AG75,""0.0%"")"&amp;"&amp;"" — verify sharp-book + team news + stake comfort before Placed=Y"",""Value found: EV ""&amp;TEXT(AF75,""0.0%"")&amp;"", edge ""&amp;TEXT(AG75,""0.0%""))),IF(OR(AF75&gt;Method!$B$87,IFERROR(INDEX(BC75:BE75,1,AB75)/INDEX(S75:U75,1,AB75),0)&gt;Method!$B$88),""🛑 Tail trap "&amp;"— auto-PASS · EV ""&amp;TEXT(AF75,""0.0%"")&amp;"" (cap ""&amp;TEXT(Method!$B$87,""0%"")&amp;"") · model/market ""&amp;TEXT(IFERROR(INDEX(BC75:BE75,1,AB75)/INDEX(S75:U75,1,AB75),0),""0.0"")&amp;""× (cap ""&amp;TEXT(Method!$B$88,""0.0"")&amp;""×)"",IF(AF75&lt;Method!$B$7,""Price too short —"&amp;" EV ""&amp;TEXT(AF75,""0.0%"")&amp;"" (need ""&amp;TEXT(Method!$B$7,""0.0%"")&amp;""+)"",""Model ≈ market — edge ""&amp;TEXT(AG75,""0.0%"")&amp;"" (need ""&amp;TEXT(Method!$B$8,""0.0%"")&amp;""+)"")))))"),"🛑 Tail trap — auto-PASS · EV 44.0% (cap 30%) · model/market 2.5× (cap 2.5×)")</f>
        <v>🛑 Tail trap — auto-PASS · EV 44.0% (cap 30%) · model/market 2.5× (cap 2.5×)</v>
      </c>
      <c r="AU75" s="1" t="str">
        <f t="shared" si="17"/>
        <v/>
      </c>
      <c r="AV75" s="1" t="str">
        <f>IF(Matchday!O77="","",Matchday!O77)</f>
        <v/>
      </c>
      <c r="AW75" s="1"/>
      <c r="AX75" s="1"/>
      <c r="AY75" s="1"/>
      <c r="AZ75" s="1" t="str">
        <f t="shared" si="18"/>
        <v>PASS</v>
      </c>
      <c r="BA75" s="1">
        <f>IF(AX75&lt;&gt;"",AX75,IF(AH75&lt;&gt;"BET",0,IF(AI75*Method!$B$10/100&lt;Method!$B$9,0,ROUND(AI75*Method!$B$10/100,0))))</f>
        <v>0</v>
      </c>
      <c r="BB75" s="12">
        <v>-52.07</v>
      </c>
      <c r="BC75" s="12">
        <v>0.4720904197061152</v>
      </c>
      <c r="BD75" s="12">
        <v>0.29332577362258905</v>
      </c>
      <c r="BE75" s="12">
        <v>0.23458380667129572</v>
      </c>
      <c r="BF75" s="14" t="s">
        <v>379</v>
      </c>
      <c r="BG75" s="12">
        <v>0.0</v>
      </c>
    </row>
    <row r="76" ht="15.75" customHeight="1">
      <c r="A76" s="54">
        <v>75.0</v>
      </c>
      <c r="B76" s="77">
        <v>46202.0</v>
      </c>
      <c r="C76" s="55" t="s">
        <v>375</v>
      </c>
      <c r="D76" s="55" t="s">
        <v>62</v>
      </c>
      <c r="E76" s="55" t="s">
        <v>55</v>
      </c>
      <c r="F76" s="55" t="s">
        <v>380</v>
      </c>
      <c r="G76" s="78">
        <v>0.7916666666678793</v>
      </c>
      <c r="H76" s="1"/>
      <c r="I76" s="54">
        <v>0.3793470575011987</v>
      </c>
      <c r="J76" s="54">
        <v>0.30988676644596297</v>
      </c>
      <c r="K76" s="54">
        <v>0.3107661760528384</v>
      </c>
      <c r="L76" s="79">
        <f>IF(Matchday!E78="","",Matchday!E78)</f>
        <v>2.35</v>
      </c>
      <c r="M76" s="79">
        <f>IF(Matchday!F78="","",Matchday!F78)</f>
        <v>3.25</v>
      </c>
      <c r="N76" s="79">
        <f>IF(Matchday!G78="","",Matchday!G78)</f>
        <v>3.5</v>
      </c>
      <c r="O76" s="1">
        <f t="shared" ref="O76:Q76" si="163">IF(L76="","",1/L76)</f>
        <v>0.4255319149</v>
      </c>
      <c r="P76" s="1">
        <f t="shared" si="163"/>
        <v>0.3076923077</v>
      </c>
      <c r="Q76" s="1">
        <f t="shared" si="163"/>
        <v>0.2857142857</v>
      </c>
      <c r="R76" s="1">
        <f t="shared" si="4"/>
        <v>1.018938508</v>
      </c>
      <c r="S76" s="1">
        <f t="array" ref="S76">IF($R76="","",IF(Method!$B$56="proportional",O76/$R76,IF(Method!$B$56="power",IFERROR(INDEX(power_devig($L76,$M76,$N76),1,1),O76/$R76),IFERROR(INDEX(shin($L76,$M76,$N76),1,1),O76/$R76))))</f>
        <v>0.4188151878</v>
      </c>
      <c r="T76" s="1">
        <f t="array" ref="T76">IF($R76="","",IF(Method!$B$56="proportional",P76/$R76,IF(Method!$B$56="power",IFERROR(INDEX(power_devig($L76,$M76,$N76),2,1),P76/$R76),IFERROR(INDEX(shin($L76,$M76,$N76),2,1),P76/$R76))))</f>
        <v>0.3015293083</v>
      </c>
      <c r="U76" s="1">
        <f t="array" ref="U76">IF($R76="","",IF(Method!$B$56="proportional",Q76/$R76,IF(Method!$B$56="power",IFERROR(INDEX(power_devig($L76,$M76,$N76),3,1),Q76/$R76),IFERROR(INDEX(shin($L76,$M76,$N76),3,1),Q76/$R76))))</f>
        <v>0.2796555039</v>
      </c>
      <c r="V76" s="1">
        <f>IF(S76="","",Method!$B$4*IF(BC76="",I76,BC76)+(1-Method!$B$4)*S76/($S76+$T76+$U76))</f>
        <v>0.4050013422</v>
      </c>
      <c r="W76" s="1">
        <f>IF(T76="","",Method!$B$4*IF(BD76="",J76,BD76)+(1-Method!$B$4)*T76/($S76+$T76+$U76))</f>
        <v>0.3044544186</v>
      </c>
      <c r="X76" s="1">
        <f>IF(U76="","",Method!$B$4*IF(BE76="",K76,BE76)+(1-Method!$B$4)*U76/($S76+$T76+$U76))</f>
        <v>0.2905442392</v>
      </c>
      <c r="Y76" s="1">
        <f t="shared" ref="Y76:AA76" si="164">IF(V76="","",V76*L76-1)</f>
        <v>-0.04824684582</v>
      </c>
      <c r="Z76" s="1">
        <f t="shared" si="164"/>
        <v>-0.01052313946</v>
      </c>
      <c r="AA76" s="1">
        <f t="shared" si="164"/>
        <v>0.01690483709</v>
      </c>
      <c r="AB76" s="1">
        <f t="shared" si="6"/>
        <v>3</v>
      </c>
      <c r="AC76" s="1" t="str">
        <f t="shared" si="7"/>
        <v>A</v>
      </c>
      <c r="AD76" s="1" t="str">
        <f t="shared" si="8"/>
        <v>2  Morocco</v>
      </c>
      <c r="AE76" s="79">
        <f t="shared" si="9"/>
        <v>3.5</v>
      </c>
      <c r="AF76" s="1">
        <f t="shared" si="10"/>
        <v>0.01690483709</v>
      </c>
      <c r="AG76" s="1">
        <f t="shared" si="11"/>
        <v>0.01088873525</v>
      </c>
      <c r="AH76" s="1" t="str">
        <f t="array" ref="AH76">IF(AB76="","· enter odds",IF(OR(AF76&gt;Method!$B$87,IFERROR(INDEX(BC76:BE76,1,AB76)/INDEX(S76:U76,1,AB76),0)&gt;Method!$B$88),"PASS",IF(AND(AF76&gt;=Method!$B$7,AG76&gt;=Method!$B$8),"BET","PASS")))</f>
        <v>PASS</v>
      </c>
      <c r="AI76" s="1">
        <f>IF(AH76&lt;&gt;"BET",0,ROUND(MIN(Method!$B$6,Method!$B$5*AL76)*100,1))</f>
        <v>0</v>
      </c>
      <c r="AJ76" s="1">
        <f>IF(OR(AH76&lt;&gt;"BET",Method!$B$55=TRUE()),0,IF(AI76*Method!$B$10/100&lt;Method!$B$9,0,ROUND(AI76*Method!$B$10/100,0)))</f>
        <v>0</v>
      </c>
      <c r="AK76" s="1">
        <f t="shared" si="12"/>
        <v>0.2905442392</v>
      </c>
      <c r="AL76" s="1" t="str">
        <f t="shared" si="13"/>
        <v/>
      </c>
      <c r="AM76" s="1" t="str">
        <f t="shared" si="14"/>
        <v/>
      </c>
      <c r="AN76" s="1" t="str">
        <f>IF(Matchday!N78="","",Matchday!N78)</f>
        <v/>
      </c>
      <c r="AO76" s="1" t="str">
        <f>IF(Matchday!P78="","",Matchday!P78)</f>
        <v/>
      </c>
      <c r="AP76" s="1" t="str">
        <f>IF(Matchday!Q78="","",Matchday!Q78)</f>
        <v/>
      </c>
      <c r="AQ76" s="1" t="str">
        <f>IF(Matchday!R78="","",Matchday!R78)</f>
        <v>D</v>
      </c>
      <c r="AR76" s="1" t="str">
        <f t="shared" si="15"/>
        <v/>
      </c>
      <c r="AS76" s="1" t="str">
        <f t="shared" si="16"/>
        <v/>
      </c>
      <c r="AT76" s="1" t="str">
        <f>IFERROR(__xludf.DUMMYFUNCTION("IF(AB76="""",""Type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pauses."")),IF(AH76=""BET"",IF(AJ76=0,""Edge found but stake rounds under £""&amp;Method!$B$9&amp;"" — skip"",IF(AND(AE76&gt;=6,AG76&gt;=0.15),""🟡 WAIT — long-shot review: odds ""&amp;TEXT(AE76,""0.00"")&amp;"" + edge ""&amp;TEXT(AG76,""0.0%"")"&amp;"&amp;"" — verify sharp-book + team news + stake comfort before Placed=Y"",""Value found: EV ""&amp;TEXT(AF76,""0.0%"")&amp;"", edge ""&amp;TEXT(AG76,""0.0%""))),IF(OR(AF76&gt;Method!$B$87,IFERROR(INDEX(BC76:BE76,1,AB76)/INDEX(S76:U76,1,AB76),0)&gt;Method!$B$88),""🛑 Tail trap "&amp;"— auto-PASS · EV ""&amp;TEXT(AF76,""0.0%"")&amp;"" (cap ""&amp;TEXT(Method!$B$87,""0%"")&amp;"") · model/market ""&amp;TEXT(IFERROR(INDEX(BC76:BE76,1,AB76)/INDEX(S76:U76,1,AB76),0),""0.0"")&amp;""× (cap ""&amp;TEXT(Method!$B$88,""0.0"")&amp;""×)"",IF(AF76&lt;Method!$B$7,""Price too short —"&amp;" EV ""&amp;TEXT(AF76,""0.0%"")&amp;"" (need ""&amp;TEXT(Method!$B$7,""0.0%"")&amp;""+)"",""Model ≈ market — edge ""&amp;TEXT(AG76,""0.0%"")&amp;"" (need ""&amp;TEXT(Method!$B$8,""0.0%"")&amp;""+)"")))))"),"Price too short — EV 1.7% (need 2.5%+)")</f>
        <v>Price too short — EV 1.7% (need 2.5%+)</v>
      </c>
      <c r="AU76" s="1" t="str">
        <f t="shared" si="17"/>
        <v/>
      </c>
      <c r="AV76" s="1" t="str">
        <f>IF(Matchday!O78="","",Matchday!O78)</f>
        <v/>
      </c>
      <c r="AW76" s="1"/>
      <c r="AX76" s="1"/>
      <c r="AY76" s="1"/>
      <c r="AZ76" s="1" t="str">
        <f t="shared" si="18"/>
        <v>PASS</v>
      </c>
      <c r="BA76" s="1">
        <f>IF(AX76&lt;&gt;"",AX76,IF(AH76&lt;&gt;"BET",0,IF(AI76*Method!$B$10/100&lt;Method!$B$9,0,ROUND(AI76*Method!$B$10/100,0))))</f>
        <v>0</v>
      </c>
      <c r="BB76" s="12">
        <v>-3.3</v>
      </c>
      <c r="BC76" s="12">
        <v>0.3793470575011987</v>
      </c>
      <c r="BD76" s="12">
        <v>0.30988676644596297</v>
      </c>
      <c r="BE76" s="12">
        <v>0.3107661760528384</v>
      </c>
      <c r="BF76" s="14" t="s">
        <v>381</v>
      </c>
      <c r="BG76" s="12">
        <v>0.0</v>
      </c>
    </row>
    <row r="77" ht="15.75" customHeight="1">
      <c r="A77" s="54">
        <v>76.0</v>
      </c>
      <c r="B77" s="77">
        <v>46202.0</v>
      </c>
      <c r="C77" s="55" t="s">
        <v>375</v>
      </c>
      <c r="D77" s="55" t="s">
        <v>54</v>
      </c>
      <c r="E77" s="55" t="s">
        <v>63</v>
      </c>
      <c r="F77" s="55" t="s">
        <v>382</v>
      </c>
      <c r="G77" s="78">
        <v>0.5</v>
      </c>
      <c r="H77" s="1"/>
      <c r="I77" s="54">
        <v>0.4579553118173424</v>
      </c>
      <c r="J77" s="54">
        <v>0.2877505774063109</v>
      </c>
      <c r="K77" s="54">
        <v>0.25429411077634684</v>
      </c>
      <c r="L77" s="79">
        <f>IF(Matchday!E79="","",Matchday!E79)</f>
        <v>1.73</v>
      </c>
      <c r="M77" s="79">
        <f>IF(Matchday!F79="","",Matchday!F79)</f>
        <v>3.75</v>
      </c>
      <c r="N77" s="79">
        <f>IF(Matchday!G79="","",Matchday!G79)</f>
        <v>5.6</v>
      </c>
      <c r="O77" s="1">
        <f t="shared" ref="O77:Q77" si="165">IF(L77="","",1/L77)</f>
        <v>0.5780346821</v>
      </c>
      <c r="P77" s="1">
        <f t="shared" si="165"/>
        <v>0.2666666667</v>
      </c>
      <c r="Q77" s="1">
        <f t="shared" si="165"/>
        <v>0.1785714286</v>
      </c>
      <c r="R77" s="1">
        <f t="shared" si="4"/>
        <v>1.023272777</v>
      </c>
      <c r="S77" s="1">
        <f t="array" ref="S77">IF($R77="","",IF(Method!$B$56="proportional",O77/$R77,IF(Method!$B$56="power",IFERROR(INDEX(power_devig($L77,$M77,$N77),1,1),O77/$R77),IFERROR(INDEX(shin($L77,$M77,$N77),1,1),O77/$R77))))</f>
        <v>0.5689123229</v>
      </c>
      <c r="T77" s="1">
        <f t="array" ref="T77">IF($R77="","",IF(Method!$B$56="proportional",P77/$R77,IF(Method!$B$56="power",IFERROR(INDEX(power_devig($L77,$M77,$N77),2,1),P77/$R77),IFERROR(INDEX(shin($L77,$M77,$N77),2,1),P77/$R77))))</f>
        <v>0.2593279297</v>
      </c>
      <c r="U77" s="1">
        <f t="array" ref="U77">IF($R77="","",IF(Method!$B$56="proportional",Q77/$R77,IF(Method!$B$56="power",IFERROR(INDEX(power_devig($L77,$M77,$N77),3,1),Q77/$R77),IFERROR(INDEX(shin($L77,$M77,$N77),3,1),Q77/$R77))))</f>
        <v>0.1717597474</v>
      </c>
      <c r="V77" s="1">
        <f>IF(S77="","",Method!$B$4*IF(BC77="",I77,BC77)+(1-Method!$B$4)*S77/($S77+$T77+$U77))</f>
        <v>0.530077369</v>
      </c>
      <c r="W77" s="1">
        <f>IF(T77="","",Method!$B$4*IF(BD77="",J77,BD77)+(1-Method!$B$4)*T77/($S77+$T77+$U77))</f>
        <v>0.2692758564</v>
      </c>
      <c r="X77" s="1">
        <f>IF(U77="","",Method!$B$4*IF(BE77="",K77,BE77)+(1-Method!$B$4)*U77/($S77+$T77+$U77))</f>
        <v>0.2006467746</v>
      </c>
      <c r="Y77" s="1">
        <f t="shared" ref="Y77:AA77" si="166">IF(V77="","",V77*L77-1)</f>
        <v>-0.08296615157</v>
      </c>
      <c r="Z77" s="1">
        <f t="shared" si="166"/>
        <v>0.009784461429</v>
      </c>
      <c r="AA77" s="1">
        <f t="shared" si="166"/>
        <v>0.1236219377</v>
      </c>
      <c r="AB77" s="1">
        <f t="shared" si="6"/>
        <v>3</v>
      </c>
      <c r="AC77" s="1" t="str">
        <f t="shared" si="7"/>
        <v>A</v>
      </c>
      <c r="AD77" s="1" t="str">
        <f t="shared" si="8"/>
        <v>2  Japan</v>
      </c>
      <c r="AE77" s="79">
        <f t="shared" si="9"/>
        <v>5.6</v>
      </c>
      <c r="AF77" s="1">
        <f t="shared" si="10"/>
        <v>0.1236219377</v>
      </c>
      <c r="AG77" s="1">
        <f t="shared" si="11"/>
        <v>0.02888702718</v>
      </c>
      <c r="AH77" s="1" t="str">
        <f t="array" ref="AH77">IF(AB77="","· enter odds",IF(OR(AF77&gt;Method!$B$87,IFERROR(INDEX(BC77:BE77,1,AB77)/INDEX(S77:U77,1,AB77),0)&gt;Method!$B$88),"PASS",IF(AND(AF77&gt;=Method!$B$7,AG77&gt;=Method!$B$8),"BET","PASS")))</f>
        <v>BET</v>
      </c>
      <c r="AI77" s="1">
        <f>IF(AH77&lt;&gt;"BET",0,ROUND(MIN(Method!$B$6,Method!$B$5*AL77)*100,1))</f>
        <v>0.7</v>
      </c>
      <c r="AJ77" s="1">
        <f>IF(OR(AH77&lt;&gt;"BET",Method!$B$55=TRUE()),0,IF(AI77*Method!$B$10/100&lt;Method!$B$9,0,ROUND(AI77*Method!$B$10/100,0)))</f>
        <v>7</v>
      </c>
      <c r="AK77" s="1">
        <f t="shared" si="12"/>
        <v>0.2006467746</v>
      </c>
      <c r="AL77" s="1">
        <f t="shared" si="13"/>
        <v>0.02687433428</v>
      </c>
      <c r="AM77" s="1">
        <f t="shared" si="14"/>
        <v>0.1236979377</v>
      </c>
      <c r="AN77" s="1" t="str">
        <f>IF(Matchday!N79="","",Matchday!N79)</f>
        <v/>
      </c>
      <c r="AO77" s="1" t="str">
        <f>IF(Matchday!P79="","",Matchday!P79)</f>
        <v/>
      </c>
      <c r="AP77" s="1" t="str">
        <f>IF(Matchday!Q79="","",Matchday!Q79)</f>
        <v/>
      </c>
      <c r="AQ77" s="1" t="str">
        <f>IF(Matchday!R79="","",Matchday!R79)</f>
        <v>H</v>
      </c>
      <c r="AR77" s="1" t="str">
        <f t="shared" si="15"/>
        <v/>
      </c>
      <c r="AS77" s="1" t="str">
        <f t="shared" si="16"/>
        <v/>
      </c>
      <c r="AT77" s="1" t="str">
        <f>IFERROR(__xludf.DUMMYFUNCTION("IF(AB77="""",""Type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pauses."")),IF(AH77=""BET"",IF(AJ77=0,""Edge found but stake rounds under £""&amp;Method!$B$9&amp;"" — skip"",IF(AND(AE77&gt;=6,AG77&gt;=0.15),""🟡 WAIT — long-shot review: odds ""&amp;TEXT(AE77,""0.00"")&amp;"" + edge ""&amp;TEXT(AG77,""0.0%"")"&amp;"&amp;"" — verify sharp-book + team news + stake comfort before Placed=Y"",""Value found: EV ""&amp;TEXT(AF77,""0.0%"")&amp;"", edge ""&amp;TEXT(AG77,""0.0%""))),IF(OR(AF77&gt;Method!$B$87,IFERROR(INDEX(BC77:BE77,1,AB77)/INDEX(S77:U77,1,AB77),0)&gt;Method!$B$88),""🛑 Tail trap "&amp;"— auto-PASS · EV ""&amp;TEXT(AF77,""0.0%"")&amp;"" (cap ""&amp;TEXT(Method!$B$87,""0%"")&amp;"") · model/market ""&amp;TEXT(IFERROR(INDEX(BC77:BE77,1,AB77)/INDEX(S77:U77,1,AB77),0),""0.0"")&amp;""× (cap ""&amp;TEXT(Method!$B$88,""0.0"")&amp;""×)"",IF(AF77&lt;Method!$B$7,""Price too short —"&amp;" EV ""&amp;TEXT(AF77,""0.0%"")&amp;"" (need ""&amp;TEXT(Method!$B$7,""0.0%"")&amp;""+)"",""Model ≈ market — edge ""&amp;TEXT(AG77,""0.0%"")&amp;"" (need ""&amp;TEXT(Method!$B$8,""0.0%"")&amp;""+)"")))))"),"Value found: EV 12.4%, edge 2.9%")</f>
        <v>Value found: EV 12.4%, edge 2.9%</v>
      </c>
      <c r="AU77" s="1" t="str">
        <f t="shared" si="17"/>
        <v/>
      </c>
      <c r="AV77" s="1" t="str">
        <f>IF(Matchday!O79="","",Matchday!O79)</f>
        <v/>
      </c>
      <c r="AW77" s="1"/>
      <c r="AX77" s="1"/>
      <c r="AY77" s="1"/>
      <c r="AZ77" s="1" t="str">
        <f t="shared" si="18"/>
        <v>BET</v>
      </c>
      <c r="BA77" s="1">
        <f>IF(AX77&lt;&gt;"",AX77,IF(AH77&lt;&gt;"BET",0,IF(AI77*Method!$B$10/100&lt;Method!$B$9,0,ROUND(AI77*Method!$B$10/100,0))))</f>
        <v>7</v>
      </c>
      <c r="BB77" s="12">
        <v>-46.31</v>
      </c>
      <c r="BC77" s="12">
        <v>0.4579553118173424</v>
      </c>
      <c r="BD77" s="12">
        <v>0.2877505774063109</v>
      </c>
      <c r="BE77" s="12">
        <v>0.25429411077634684</v>
      </c>
      <c r="BF77" s="14" t="s">
        <v>383</v>
      </c>
      <c r="BG77" s="12">
        <v>15.0</v>
      </c>
      <c r="BH77" s="14" t="s">
        <v>287</v>
      </c>
    </row>
    <row r="78" ht="15.75" customHeight="1">
      <c r="A78" s="54">
        <v>77.0</v>
      </c>
      <c r="B78" s="77">
        <v>46203.0</v>
      </c>
      <c r="C78" s="55" t="s">
        <v>375</v>
      </c>
      <c r="D78" s="55" t="s">
        <v>76</v>
      </c>
      <c r="E78" s="55" t="s">
        <v>66</v>
      </c>
      <c r="F78" s="55" t="s">
        <v>384</v>
      </c>
      <c r="G78" s="78">
        <v>0.7083333333321207</v>
      </c>
      <c r="H78" s="1"/>
      <c r="I78" s="54">
        <v>0.7733921132792198</v>
      </c>
      <c r="J78" s="54">
        <v>0.15656188947920804</v>
      </c>
      <c r="K78" s="54">
        <v>0.07004599724157214</v>
      </c>
      <c r="L78" s="79">
        <f>IF(Matchday!E80="","",Matchday!E80)</f>
        <v>1.29</v>
      </c>
      <c r="M78" s="79">
        <f>IF(Matchday!F80="","",Matchday!F80)</f>
        <v>6</v>
      </c>
      <c r="N78" s="79">
        <f>IF(Matchday!G80="","",Matchday!G80)</f>
        <v>11.5</v>
      </c>
      <c r="O78" s="1">
        <f t="shared" ref="O78:Q78" si="167">IF(L78="","",1/L78)</f>
        <v>0.7751937984</v>
      </c>
      <c r="P78" s="1">
        <f t="shared" si="167"/>
        <v>0.1666666667</v>
      </c>
      <c r="Q78" s="1">
        <f t="shared" si="167"/>
        <v>0.08695652174</v>
      </c>
      <c r="R78" s="1">
        <f t="shared" si="4"/>
        <v>1.028816987</v>
      </c>
      <c r="S78" s="1">
        <f t="array" ref="S78">IF($R78="","",IF(Method!$B$56="proportional",O78/$R78,IF(Method!$B$56="power",IFERROR(INDEX(power_devig($L78,$M78,$N78),1,1),O78/$R78),IFERROR(INDEX(shin($L78,$M78,$N78),1,1),O78/$R78))))</f>
        <v>0.7625177569</v>
      </c>
      <c r="T78" s="1">
        <f t="array" ref="T78">IF($R78="","",IF(Method!$B$56="proportional",P78/$R78,IF(Method!$B$56="power",IFERROR(INDEX(power_devig($L78,$M78,$N78),2,1),P78/$R78),IFERROR(INDEX(shin($L78,$M78,$N78),2,1),P78/$R78))))</f>
        <v>0.1582492224</v>
      </c>
      <c r="U78" s="1">
        <f t="array" ref="U78">IF($R78="","",IF(Method!$B$56="proportional",Q78/$R78,IF(Method!$B$56="power",IFERROR(INDEX(power_devig($L78,$M78,$N78),3,1),Q78/$R78),IFERROR(INDEX(shin($L78,$M78,$N78),3,1),Q78/$R78))))</f>
        <v>0.07923302068</v>
      </c>
      <c r="V78" s="1">
        <f>IF(S78="","",Method!$B$4*IF(BC78="",I78,BC78)+(1-Method!$B$4)*S78/($S78+$T78+$U78))</f>
        <v>0.7663237816</v>
      </c>
      <c r="W78" s="1">
        <f>IF(T78="","",Method!$B$4*IF(BD78="",J78,BD78)+(1-Method!$B$4)*T78/($S78+$T78+$U78))</f>
        <v>0.1576586559</v>
      </c>
      <c r="X78" s="1">
        <f>IF(U78="","",Method!$B$4*IF(BE78="",K78,BE78)+(1-Method!$B$4)*U78/($S78+$T78+$U78))</f>
        <v>0.07601756248</v>
      </c>
      <c r="Y78" s="1">
        <f t="shared" ref="Y78:AA78" si="168">IF(V78="","",V78*L78-1)</f>
        <v>-0.01144232168</v>
      </c>
      <c r="Z78" s="1">
        <f t="shared" si="168"/>
        <v>-0.05404806471</v>
      </c>
      <c r="AA78" s="1">
        <f t="shared" si="168"/>
        <v>-0.1257980315</v>
      </c>
      <c r="AB78" s="1">
        <f t="shared" si="6"/>
        <v>1</v>
      </c>
      <c r="AC78" s="1" t="str">
        <f t="shared" si="7"/>
        <v>H</v>
      </c>
      <c r="AD78" s="1" t="str">
        <f t="shared" si="8"/>
        <v>1  France</v>
      </c>
      <c r="AE78" s="79">
        <f t="shared" si="9"/>
        <v>1.29</v>
      </c>
      <c r="AF78" s="1">
        <f t="shared" si="10"/>
        <v>-0.01144232168</v>
      </c>
      <c r="AG78" s="1">
        <f t="shared" si="11"/>
        <v>0.003806024728</v>
      </c>
      <c r="AH78" s="1" t="str">
        <f t="array" ref="AH78">IF(AB78="","· enter odds",IF(OR(AF78&gt;Method!$B$87,IFERROR(INDEX(BC78:BE78,1,AB78)/INDEX(S78:U78,1,AB78),0)&gt;Method!$B$88),"PASS",IF(AND(AF78&gt;=Method!$B$7,AG78&gt;=Method!$B$8),"BET","PASS")))</f>
        <v>PASS</v>
      </c>
      <c r="AI78" s="1">
        <f>IF(AH78&lt;&gt;"BET",0,ROUND(MIN(Method!$B$6,Method!$B$5*AL78)*100,1))</f>
        <v>0</v>
      </c>
      <c r="AJ78" s="1">
        <f>IF(OR(AH78&lt;&gt;"BET",Method!$B$55=TRUE()),0,IF(AI78*Method!$B$10/100&lt;Method!$B$9,0,ROUND(AI78*Method!$B$10/100,0)))</f>
        <v>0</v>
      </c>
      <c r="AK78" s="1">
        <f t="shared" si="12"/>
        <v>0.7663237816</v>
      </c>
      <c r="AL78" s="1" t="str">
        <f t="shared" si="13"/>
        <v/>
      </c>
      <c r="AM78" s="1" t="str">
        <f t="shared" si="14"/>
        <v/>
      </c>
      <c r="AN78" s="1" t="str">
        <f>IF(Matchday!N80="","",Matchday!N80)</f>
        <v/>
      </c>
      <c r="AO78" s="1" t="str">
        <f>IF(Matchday!P80="","",Matchday!P80)</f>
        <v/>
      </c>
      <c r="AP78" s="1" t="str">
        <f>IF(Matchday!Q80="","",Matchday!Q80)</f>
        <v/>
      </c>
      <c r="AQ78" s="1" t="str">
        <f>IF(Matchday!R80="","",Matchday!R80)</f>
        <v>H</v>
      </c>
      <c r="AR78" s="1" t="str">
        <f t="shared" si="15"/>
        <v/>
      </c>
      <c r="AS78" s="1" t="str">
        <f t="shared" si="16"/>
        <v/>
      </c>
      <c r="AT78" s="1" t="str">
        <f>IFERROR(__xludf.DUMMYFUNCTION("IF(AB78="""",""Type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pauses."")),IF(AH78=""BET"",IF(AJ78=0,""Edge found but stake rounds under £""&amp;Method!$B$9&amp;"" — skip"",IF(AND(AE78&gt;=6,AG78&gt;=0.15),""🟡 WAIT — long-shot review: odds ""&amp;TEXT(AE78,""0.00"")&amp;"" + edge ""&amp;TEXT(AG78,""0.0%"")"&amp;"&amp;"" — verify sharp-book + team news + stake comfort before Placed=Y"",""Value found: EV ""&amp;TEXT(AF78,""0.0%"")&amp;"", edge ""&amp;TEXT(AG78,""0.0%""))),IF(OR(AF78&gt;Method!$B$87,IFERROR(INDEX(BC78:BE78,1,AB78)/INDEX(S78:U78,1,AB78),0)&gt;Method!$B$88),""🛑 Tail trap "&amp;"— auto-PASS · EV ""&amp;TEXT(AF78,""0.0%"")&amp;"" (cap ""&amp;TEXT(Method!$B$87,""0%"")&amp;"") · model/market ""&amp;TEXT(IFERROR(INDEX(BC78:BE78,1,AB78)/INDEX(S78:U78,1,AB78),0),""0.0"")&amp;""× (cap ""&amp;TEXT(Method!$B$88,""0.0"")&amp;""×)"",IF(AF78&lt;Method!$B$7,""Price too short —"&amp;" EV ""&amp;TEXT(AF78,""0.0%"")&amp;"" (need ""&amp;TEXT(Method!$B$7,""0.0%"")&amp;""+)"",""Model ≈ market — edge ""&amp;TEXT(AG78,""0.0%"")&amp;"" (need ""&amp;TEXT(Method!$B$8,""0.0%"")&amp;""+)"")))))"),"Price too short — EV -1.1% (need 2.5%+)")</f>
        <v>Price too short — EV -1.1% (need 2.5%+)</v>
      </c>
      <c r="AU78" s="1" t="str">
        <f t="shared" si="17"/>
        <v/>
      </c>
      <c r="AV78" s="1" t="str">
        <f>IF(Matchday!O80="","",Matchday!O80)</f>
        <v/>
      </c>
      <c r="AW78" s="1"/>
      <c r="AX78" s="1"/>
      <c r="AY78" s="1"/>
      <c r="AZ78" s="1" t="str">
        <f t="shared" si="18"/>
        <v>PASS</v>
      </c>
      <c r="BA78" s="1">
        <f>IF(AX78&lt;&gt;"",AX78,IF(AH78&lt;&gt;"BET",0,IF(AI78*Method!$B$10/100&lt;Method!$B$9,0,ROUND(AI78*Method!$B$10/100,0))))</f>
        <v>0</v>
      </c>
      <c r="BB78" s="12">
        <v>8.45</v>
      </c>
      <c r="BC78" s="12">
        <v>0.7733921132792198</v>
      </c>
      <c r="BD78" s="12">
        <v>0.15656188947920804</v>
      </c>
      <c r="BE78" s="12">
        <v>0.07004599724157214</v>
      </c>
      <c r="BF78" s="14" t="s">
        <v>385</v>
      </c>
      <c r="BG78" s="12">
        <v>0.0</v>
      </c>
    </row>
    <row r="79" ht="15.75" customHeight="1">
      <c r="A79" s="54">
        <v>78.0</v>
      </c>
      <c r="B79" s="77">
        <v>46203.0</v>
      </c>
      <c r="C79" s="55" t="s">
        <v>375</v>
      </c>
      <c r="D79" s="55" t="s">
        <v>64</v>
      </c>
      <c r="E79" s="55" t="s">
        <v>79</v>
      </c>
      <c r="F79" s="55" t="s">
        <v>386</v>
      </c>
      <c r="G79" s="78">
        <v>0.5</v>
      </c>
      <c r="H79" s="1"/>
      <c r="I79" s="54">
        <v>0.1850383831702513</v>
      </c>
      <c r="J79" s="54">
        <v>0.27683704586383096</v>
      </c>
      <c r="K79" s="54">
        <v>0.5381245709659177</v>
      </c>
      <c r="L79" s="79">
        <f>IF(Matchday!E81="","",Matchday!E81)</f>
        <v>3.75</v>
      </c>
      <c r="M79" s="79">
        <f>IF(Matchday!F81="","",Matchday!F81)</f>
        <v>3.65</v>
      </c>
      <c r="N79" s="79">
        <f>IF(Matchday!G81="","",Matchday!G81)</f>
        <v>2.05</v>
      </c>
      <c r="O79" s="1">
        <f t="shared" ref="O79:Q79" si="169">IF(L79="","",1/L79)</f>
        <v>0.2666666667</v>
      </c>
      <c r="P79" s="1">
        <f t="shared" si="169"/>
        <v>0.2739726027</v>
      </c>
      <c r="Q79" s="1">
        <f t="shared" si="169"/>
        <v>0.487804878</v>
      </c>
      <c r="R79" s="1">
        <f t="shared" si="4"/>
        <v>1.028444147</v>
      </c>
      <c r="S79" s="1">
        <f t="array" ref="S79">IF($R79="","",IF(Method!$B$56="proportional",O79/$R79,IF(Method!$B$56="power",IFERROR(INDEX(power_devig($L79,$M79,$N79),1,1),O79/$R79),IFERROR(INDEX(shin($L79,$M79,$N79),1,1),O79/$R79))))</f>
        <v>0.257721029</v>
      </c>
      <c r="T79" s="1">
        <f t="array" ref="T79">IF($R79="","",IF(Method!$B$56="proportional",P79/$R79,IF(Method!$B$56="power",IFERROR(INDEX(power_devig($L79,$M79,$N79),2,1),P79/$R79),IFERROR(INDEX(shin($L79,$M79,$N79),2,1),P79/$R79))))</f>
        <v>0.26497445</v>
      </c>
      <c r="U79" s="1">
        <f t="array" ref="U79">IF($R79="","",IF(Method!$B$56="proportional",Q79/$R79,IF(Method!$B$56="power",IFERROR(INDEX(power_devig($L79,$M79,$N79),3,1),Q79/$R79),IFERROR(INDEX(shin($L79,$M79,$N79),3,1),Q79/$R79))))</f>
        <v>0.477304521</v>
      </c>
      <c r="V79" s="1">
        <f>IF(S79="","",Method!$B$4*IF(BC79="",I79,BC79)+(1-Method!$B$4)*S79/($S79+$T79+$U79))</f>
        <v>0.232282103</v>
      </c>
      <c r="W79" s="1">
        <f>IF(T79="","",Method!$B$4*IF(BD79="",J79,BD79)+(1-Method!$B$4)*T79/($S79+$T79+$U79))</f>
        <v>0.2691263585</v>
      </c>
      <c r="X79" s="1">
        <f>IF(U79="","",Method!$B$4*IF(BE79="",K79,BE79)+(1-Method!$B$4)*U79/($S79+$T79+$U79))</f>
        <v>0.4985915385</v>
      </c>
      <c r="Y79" s="1">
        <f t="shared" ref="Y79:AA79" si="170">IF(V79="","",V79*L79-1)</f>
        <v>-0.1289421139</v>
      </c>
      <c r="Z79" s="1">
        <f t="shared" si="170"/>
        <v>-0.01768879135</v>
      </c>
      <c r="AA79" s="1">
        <f t="shared" si="170"/>
        <v>0.02211265395</v>
      </c>
      <c r="AB79" s="1">
        <f t="shared" si="6"/>
        <v>3</v>
      </c>
      <c r="AC79" s="1" t="str">
        <f t="shared" si="7"/>
        <v>A</v>
      </c>
      <c r="AD79" s="1" t="str">
        <f t="shared" si="8"/>
        <v>2  Norway</v>
      </c>
      <c r="AE79" s="79">
        <f t="shared" si="9"/>
        <v>2.05</v>
      </c>
      <c r="AF79" s="1">
        <f t="shared" si="10"/>
        <v>0.02211265395</v>
      </c>
      <c r="AG79" s="1">
        <f t="shared" si="11"/>
        <v>0.02128701747</v>
      </c>
      <c r="AH79" s="1" t="str">
        <f t="array" ref="AH79">IF(AB79="","· enter odds",IF(OR(AF79&gt;Method!$B$87,IFERROR(INDEX(BC79:BE79,1,AB79)/INDEX(S79:U79,1,AB79),0)&gt;Method!$B$88),"PASS",IF(AND(AF79&gt;=Method!$B$7,AG79&gt;=Method!$B$8),"BET","PASS")))</f>
        <v>PASS</v>
      </c>
      <c r="AI79" s="1">
        <f>IF(AH79&lt;&gt;"BET",0,ROUND(MIN(Method!$B$6,Method!$B$5*AL79)*100,1))</f>
        <v>0</v>
      </c>
      <c r="AJ79" s="1">
        <f>IF(OR(AH79&lt;&gt;"BET",Method!$B$55=TRUE()),0,IF(AI79*Method!$B$10/100&lt;Method!$B$9,0,ROUND(AI79*Method!$B$10/100,0)))</f>
        <v>0</v>
      </c>
      <c r="AK79" s="1">
        <f t="shared" si="12"/>
        <v>0.4985915385</v>
      </c>
      <c r="AL79" s="1" t="str">
        <f t="shared" si="13"/>
        <v/>
      </c>
      <c r="AM79" s="1" t="str">
        <f t="shared" si="14"/>
        <v/>
      </c>
      <c r="AN79" s="1" t="str">
        <f>IF(Matchday!N81="","",Matchday!N81)</f>
        <v/>
      </c>
      <c r="AO79" s="1" t="str">
        <f>IF(Matchday!P81="","",Matchday!P81)</f>
        <v/>
      </c>
      <c r="AP79" s="1" t="str">
        <f>IF(Matchday!Q81="","",Matchday!Q81)</f>
        <v/>
      </c>
      <c r="AQ79" s="1" t="str">
        <f>IF(Matchday!R81="","",Matchday!R81)</f>
        <v>A</v>
      </c>
      <c r="AR79" s="1" t="str">
        <f t="shared" si="15"/>
        <v/>
      </c>
      <c r="AS79" s="1" t="str">
        <f t="shared" si="16"/>
        <v/>
      </c>
      <c r="AT79" s="1" t="str">
        <f>IFERROR(__xludf.DUMMYFUNCTION("IF(AB79="""",""Type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pauses."")),IF(AH79=""BET"",IF(AJ79=0,""Edge found but stake rounds under £""&amp;Method!$B$9&amp;"" — skip"",IF(AND(AE79&gt;=6,AG79&gt;=0.15),""🟡 WAIT — long-shot review: odds ""&amp;TEXT(AE79,""0.00"")&amp;"" + edge ""&amp;TEXT(AG79,""0.0%"")"&amp;"&amp;"" — verify sharp-book + team news + stake comfort before Placed=Y"",""Value found: EV ""&amp;TEXT(AF79,""0.0%"")&amp;"", edge ""&amp;TEXT(AG79,""0.0%""))),IF(OR(AF79&gt;Method!$B$87,IFERROR(INDEX(BC79:BE79,1,AB79)/INDEX(S79:U79,1,AB79),0)&gt;Method!$B$88),""🛑 Tail trap "&amp;"— auto-PASS · EV ""&amp;TEXT(AF79,""0.0%"")&amp;"" (cap ""&amp;TEXT(Method!$B$87,""0%"")&amp;"") · model/market ""&amp;TEXT(IFERROR(INDEX(BC79:BE79,1,AB79)/INDEX(S79:U79,1,AB79),0),""0.0"")&amp;""× (cap ""&amp;TEXT(Method!$B$88,""0.0"")&amp;""×)"",IF(AF79&lt;Method!$B$7,""Price too short —"&amp;" EV ""&amp;TEXT(AF79,""0.0%"")&amp;"" (need ""&amp;TEXT(Method!$B$7,""0.0%"")&amp;""+)"",""Model ≈ market — edge ""&amp;TEXT(AG79,""0.0%"")&amp;"" (need ""&amp;TEXT(Method!$B$8,""0.0%"")&amp;""+)"")))))"),"Price too short — EV 2.2% (need 2.5%+)")</f>
        <v>Price too short — EV 2.2% (need 2.5%+)</v>
      </c>
      <c r="AU79" s="1" t="str">
        <f t="shared" si="17"/>
        <v/>
      </c>
      <c r="AV79" s="1" t="str">
        <f>IF(Matchday!O81="","",Matchday!O81)</f>
        <v/>
      </c>
      <c r="AW79" s="1"/>
      <c r="AX79" s="1"/>
      <c r="AY79" s="1"/>
      <c r="AZ79" s="1" t="str">
        <f t="shared" si="18"/>
        <v>PASS</v>
      </c>
      <c r="BA79" s="1">
        <f>IF(AX79&lt;&gt;"",AX79,IF(AH79&lt;&gt;"BET",0,IF(AI79*Method!$B$10/100&lt;Method!$B$9,0,ROUND(AI79*Method!$B$10/100,0))))</f>
        <v>0</v>
      </c>
      <c r="BB79" s="12">
        <v>-9.66</v>
      </c>
      <c r="BC79" s="12">
        <v>0.1850383831702513</v>
      </c>
      <c r="BD79" s="12">
        <v>0.27683704586383096</v>
      </c>
      <c r="BE79" s="12">
        <v>0.5381245709659177</v>
      </c>
      <c r="BF79" s="14" t="s">
        <v>387</v>
      </c>
      <c r="BG79" s="12">
        <v>0.0</v>
      </c>
    </row>
    <row r="80" ht="15.75" customHeight="1">
      <c r="A80" s="54">
        <v>79.0</v>
      </c>
      <c r="B80" s="77">
        <v>46203.0</v>
      </c>
      <c r="C80" s="55" t="s">
        <v>375</v>
      </c>
      <c r="D80" s="55" t="s">
        <v>44</v>
      </c>
      <c r="E80" s="55" t="s">
        <v>65</v>
      </c>
      <c r="F80" s="55" t="s">
        <v>255</v>
      </c>
      <c r="G80" s="78">
        <v>0.7916666666678793</v>
      </c>
      <c r="H80" s="1"/>
      <c r="I80" s="54">
        <v>0.34522131570736975</v>
      </c>
      <c r="J80" s="54">
        <v>0.31065549411826376</v>
      </c>
      <c r="K80" s="54">
        <v>0.3441231901743663</v>
      </c>
      <c r="L80" s="79">
        <f>IF(Matchday!E82="","",Matchday!E82)</f>
        <v>2.25</v>
      </c>
      <c r="M80" s="79">
        <f>IF(Matchday!F82="","",Matchday!F82)</f>
        <v>3</v>
      </c>
      <c r="N80" s="79">
        <f>IF(Matchday!G82="","",Matchday!G82)</f>
        <v>4</v>
      </c>
      <c r="O80" s="1">
        <f t="shared" ref="O80:Q80" si="171">IF(L80="","",1/L80)</f>
        <v>0.4444444444</v>
      </c>
      <c r="P80" s="1">
        <f t="shared" si="171"/>
        <v>0.3333333333</v>
      </c>
      <c r="Q80" s="1">
        <f t="shared" si="171"/>
        <v>0.25</v>
      </c>
      <c r="R80" s="1">
        <f t="shared" si="4"/>
        <v>1.027777778</v>
      </c>
      <c r="S80" s="1">
        <f t="array" ref="S80">IF($R80="","",IF(Method!$B$56="proportional",O80/$R80,IF(Method!$B$56="power",IFERROR(INDEX(power_devig($L80,$M80,$N80),1,1),O80/$R80),IFERROR(INDEX(shin($L80,$M80,$N80),1,1),O80/$R80))))</f>
        <v>0.434484218</v>
      </c>
      <c r="T80" s="1">
        <f t="array" ref="T80">IF($R80="","",IF(Method!$B$56="proportional",P80/$R80,IF(Method!$B$56="power",IFERROR(INDEX(power_devig($L80,$M80,$N80),2,1),P80/$R80),IFERROR(INDEX(shin($L80,$M80,$N80),2,1),P80/$R80))))</f>
        <v>0.3241338226</v>
      </c>
      <c r="U80" s="1">
        <f t="array" ref="U80">IF($R80="","",IF(Method!$B$56="proportional",Q80/$R80,IF(Method!$B$56="power",IFERROR(INDEX(power_devig($L80,$M80,$N80),3,1),Q80/$R80),IFERROR(INDEX(shin($L80,$M80,$N80),3,1),Q80/$R80))))</f>
        <v>0.2413819594</v>
      </c>
      <c r="V80" s="1">
        <f>IF(S80="","",Method!$B$4*IF(BC80="",I80,BC80)+(1-Method!$B$4)*S80/($S80+$T80+$U80))</f>
        <v>0.4032422022</v>
      </c>
      <c r="W80" s="1">
        <f>IF(T80="","",Method!$B$4*IF(BD80="",J80,BD80)+(1-Method!$B$4)*T80/($S80+$T80+$U80))</f>
        <v>0.3194164076</v>
      </c>
      <c r="X80" s="1">
        <f>IF(U80="","",Method!$B$4*IF(BE80="",K80,BE80)+(1-Method!$B$4)*U80/($S80+$T80+$U80))</f>
        <v>0.2773413901</v>
      </c>
      <c r="Y80" s="1">
        <f t="shared" ref="Y80:AA80" si="172">IF(V80="","",V80*L80-1)</f>
        <v>-0.09270504501</v>
      </c>
      <c r="Z80" s="1">
        <f t="shared" si="172"/>
        <v>-0.04175077709</v>
      </c>
      <c r="AA80" s="1">
        <f t="shared" si="172"/>
        <v>0.1093655606</v>
      </c>
      <c r="AB80" s="1">
        <f t="shared" si="6"/>
        <v>3</v>
      </c>
      <c r="AC80" s="1" t="str">
        <f t="shared" si="7"/>
        <v>A</v>
      </c>
      <c r="AD80" s="1" t="str">
        <f t="shared" si="8"/>
        <v>2  Ecuador</v>
      </c>
      <c r="AE80" s="79">
        <f t="shared" si="9"/>
        <v>4</v>
      </c>
      <c r="AF80" s="1">
        <f t="shared" si="10"/>
        <v>0.1093655606</v>
      </c>
      <c r="AG80" s="1">
        <f t="shared" si="11"/>
        <v>0.03595943079</v>
      </c>
      <c r="AH80" s="1" t="str">
        <f t="array" ref="AH80">IF(AB80="","· enter odds",IF(OR(AF80&gt;Method!$B$87,IFERROR(INDEX(BC80:BE80,1,AB80)/INDEX(S80:U80,1,AB80),0)&gt;Method!$B$88),"PASS",IF(AND(AF80&gt;=Method!$B$7,AG80&gt;=Method!$B$8),"BET","PASS")))</f>
        <v>BET</v>
      </c>
      <c r="AI80" s="1">
        <f>IF(AH80&lt;&gt;"BET",0,ROUND(MIN(Method!$B$6,Method!$B$5*AL80)*100,1))</f>
        <v>0.9</v>
      </c>
      <c r="AJ80" s="1">
        <f>IF(OR(AH80&lt;&gt;"BET",Method!$B$55=TRUE()),0,IF(AI80*Method!$B$10/100&lt;Method!$B$9,0,ROUND(AI80*Method!$B$10/100,0)))</f>
        <v>9</v>
      </c>
      <c r="AK80" s="1">
        <f t="shared" si="12"/>
        <v>0.2773413901</v>
      </c>
      <c r="AL80" s="1">
        <f t="shared" si="13"/>
        <v>0.03645518686</v>
      </c>
      <c r="AM80" s="1">
        <f t="shared" si="14"/>
        <v>0.1094445606</v>
      </c>
      <c r="AN80" s="1" t="str">
        <f>IF(Matchday!N82="","",Matchday!N82)</f>
        <v/>
      </c>
      <c r="AO80" s="1" t="str">
        <f>IF(Matchday!P82="","",Matchday!P82)</f>
        <v/>
      </c>
      <c r="AP80" s="1" t="str">
        <f>IF(Matchday!Q82="","",Matchday!Q82)</f>
        <v/>
      </c>
      <c r="AQ80" s="1" t="str">
        <f>IF(Matchday!R82="","",Matchday!R82)</f>
        <v>H</v>
      </c>
      <c r="AR80" s="1" t="str">
        <f t="shared" si="15"/>
        <v/>
      </c>
      <c r="AS80" s="1" t="str">
        <f t="shared" si="16"/>
        <v/>
      </c>
      <c r="AT80" s="1" t="str">
        <f>IFERROR(__xludf.DUMMYFUNCTION("IF(AB80="""",""Type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pauses."")),IF(AH80=""BET"",IF(AJ80=0,""Edge found but stake rounds under £""&amp;Method!$B$9&amp;"" — skip"",IF(AND(AE80&gt;=6,AG80&gt;=0.15),""🟡 WAIT — long-shot review: odds ""&amp;TEXT(AE80,""0.00"")&amp;"" + edge ""&amp;TEXT(AG80,""0.0%"")"&amp;"&amp;"" — verify sharp-book + team news + stake comfort before Placed=Y"",""Value found: EV ""&amp;TEXT(AF80,""0.0%"")&amp;"", edge ""&amp;TEXT(AG80,""0.0%""))),IF(OR(AF80&gt;Method!$B$87,IFERROR(INDEX(BC80:BE80,1,AB80)/INDEX(S80:U80,1,AB80),0)&gt;Method!$B$88),""🛑 Tail trap "&amp;"— auto-PASS · EV ""&amp;TEXT(AF80,""0.0%"")&amp;"" (cap ""&amp;TEXT(Method!$B$87,""0%"")&amp;"") · model/market ""&amp;TEXT(IFERROR(INDEX(BC80:BE80,1,AB80)/INDEX(S80:U80,1,AB80),0),""0.0"")&amp;""× (cap ""&amp;TEXT(Method!$B$88,""0.0"")&amp;""×)"",IF(AF80&lt;Method!$B$7,""Price too short —"&amp;" EV ""&amp;TEXT(AF80,""0.0%"")&amp;"" (need ""&amp;TEXT(Method!$B$7,""0.0%"")&amp;""+)"",""Model ≈ market — edge ""&amp;TEXT(AG80,""0.0%"")&amp;"" (need ""&amp;TEXT(Method!$B$8,""0.0%"")&amp;""+)"")))))"),"Value found: EV 10.9%, edge 3.6%")</f>
        <v>Value found: EV 10.9%, edge 3.6%</v>
      </c>
      <c r="AU80" s="1" t="str">
        <f t="shared" si="17"/>
        <v/>
      </c>
      <c r="AV80" s="1" t="str">
        <f>IF(Matchday!O82="","",Matchday!O82)</f>
        <v/>
      </c>
      <c r="AW80" s="1"/>
      <c r="AX80" s="1"/>
      <c r="AY80" s="1"/>
      <c r="AZ80" s="1" t="str">
        <f t="shared" si="18"/>
        <v>BET</v>
      </c>
      <c r="BA80" s="1">
        <f>IF(AX80&lt;&gt;"",AX80,IF(AH80&lt;&gt;"BET",0,IF(AI80*Method!$B$10/100&lt;Method!$B$9,0,ROUND(AI80*Method!$B$10/100,0))))</f>
        <v>9</v>
      </c>
      <c r="BB80" s="12">
        <v>10.620000000000001</v>
      </c>
      <c r="BC80" s="12">
        <v>0.34522131570736975</v>
      </c>
      <c r="BD80" s="12">
        <v>0.31065549411826376</v>
      </c>
      <c r="BE80" s="12">
        <v>0.3441231901743663</v>
      </c>
      <c r="BF80" s="14" t="s">
        <v>388</v>
      </c>
      <c r="BG80" s="12">
        <v>2240.0</v>
      </c>
      <c r="BH80" s="14" t="s">
        <v>257</v>
      </c>
    </row>
    <row r="81" ht="15.75" customHeight="1">
      <c r="A81" s="54">
        <v>80.0</v>
      </c>
      <c r="B81" s="77">
        <v>46204.0</v>
      </c>
      <c r="C81" s="55" t="s">
        <v>375</v>
      </c>
      <c r="D81" s="55" t="s">
        <v>86</v>
      </c>
      <c r="E81" s="55" t="s">
        <v>85</v>
      </c>
      <c r="F81" s="55" t="s">
        <v>389</v>
      </c>
      <c r="G81" s="78">
        <v>0.5</v>
      </c>
      <c r="H81" s="1"/>
      <c r="I81" s="54">
        <v>0.6434920089313181</v>
      </c>
      <c r="J81" s="54">
        <v>0.23820117740896324</v>
      </c>
      <c r="K81" s="54">
        <v>0.11830681365971868</v>
      </c>
      <c r="L81" s="79">
        <f>IF(Matchday!E83="","",Matchday!E83)</f>
        <v>1.29</v>
      </c>
      <c r="M81" s="79">
        <f>IF(Matchday!F83="","",Matchday!F83)</f>
        <v>5.75</v>
      </c>
      <c r="N81" s="79">
        <f>IF(Matchday!G83="","",Matchday!G83)</f>
        <v>14.5</v>
      </c>
      <c r="O81" s="1">
        <f t="shared" ref="O81:Q81" si="173">IF(L81="","",1/L81)</f>
        <v>0.7751937984</v>
      </c>
      <c r="P81" s="1">
        <f t="shared" si="173"/>
        <v>0.1739130435</v>
      </c>
      <c r="Q81" s="1">
        <f t="shared" si="173"/>
        <v>0.06896551724</v>
      </c>
      <c r="R81" s="1">
        <f t="shared" si="4"/>
        <v>1.018072359</v>
      </c>
      <c r="S81" s="1">
        <f t="array" ref="S81">IF($R81="","",IF(Method!$B$56="proportional",O81/$R81,IF(Method!$B$56="power",IFERROR(INDEX(power_devig($L81,$M81,$N81),1,1),O81/$R81),IFERROR(INDEX(shin($L81,$M81,$N81),1,1),O81/$R81))))</f>
        <v>0.7672155895</v>
      </c>
      <c r="T81" s="1">
        <f t="array" ref="T81">IF($R81="","",IF(Method!$B$56="proportional",P81/$R81,IF(Method!$B$56="power",IFERROR(INDEX(power_devig($L81,$M81,$N81),2,1),P81/$R81),IFERROR(INDEX(shin($L81,$M81,$N81),2,1),P81/$R81))))</f>
        <v>0.1685913274</v>
      </c>
      <c r="U81" s="1">
        <f t="array" ref="U81">IF($R81="","",IF(Method!$B$56="proportional",Q81/$R81,IF(Method!$B$56="power",IFERROR(INDEX(power_devig($L81,$M81,$N81),3,1),Q81/$R81),IFERROR(INDEX(shin($L81,$M81,$N81),3,1),Q81/$R81))))</f>
        <v>0.0641930831</v>
      </c>
      <c r="V81" s="1">
        <f>IF(S81="","",Method!$B$4*IF(BC81="",I81,BC81)+(1-Method!$B$4)*S81/($S81+$T81+$U81))</f>
        <v>0.7239123363</v>
      </c>
      <c r="W81" s="1">
        <f>IF(T81="","",Method!$B$4*IF(BD81="",J81,BD81)+(1-Method!$B$4)*T81/($S81+$T81+$U81))</f>
        <v>0.1929547749</v>
      </c>
      <c r="X81" s="1">
        <f>IF(U81="","",Method!$B$4*IF(BE81="",K81,BE81)+(1-Method!$B$4)*U81/($S81+$T81+$U81))</f>
        <v>0.0831328888</v>
      </c>
      <c r="Y81" s="1">
        <f t="shared" ref="Y81:AA81" si="174">IF(V81="","",V81*L81-1)</f>
        <v>-0.06615308618</v>
      </c>
      <c r="Z81" s="1">
        <f t="shared" si="174"/>
        <v>0.1094899557</v>
      </c>
      <c r="AA81" s="1">
        <f t="shared" si="174"/>
        <v>0.2054268876</v>
      </c>
      <c r="AB81" s="1">
        <f t="shared" si="6"/>
        <v>3</v>
      </c>
      <c r="AC81" s="1" t="str">
        <f t="shared" si="7"/>
        <v>A</v>
      </c>
      <c r="AD81" s="1" t="str">
        <f t="shared" si="8"/>
        <v>2  DR Congo</v>
      </c>
      <c r="AE81" s="79">
        <f t="shared" si="9"/>
        <v>14.5</v>
      </c>
      <c r="AF81" s="1">
        <f t="shared" si="10"/>
        <v>0.2054268876</v>
      </c>
      <c r="AG81" s="1">
        <f t="shared" si="11"/>
        <v>0.01893980569</v>
      </c>
      <c r="AH81" s="1" t="str">
        <f t="array" ref="AH81">IF(AB81="","· enter odds",IF(OR(AF81&gt;Method!$B$87,IFERROR(INDEX(BC81:BE81,1,AB81)/INDEX(S81:U81,1,AB81),0)&gt;Method!$B$88),"PASS",IF(AND(AF81&gt;=Method!$B$7,AG81&gt;=Method!$B$8),"BET","PASS")))</f>
        <v>PASS</v>
      </c>
      <c r="AI81" s="1">
        <f>IF(AH81&lt;&gt;"BET",0,ROUND(MIN(Method!$B$6,Method!$B$5*AL81)*100,1))</f>
        <v>0</v>
      </c>
      <c r="AJ81" s="1">
        <f>IF(OR(AH81&lt;&gt;"BET",Method!$B$55=TRUE()),0,IF(AI81*Method!$B$10/100&lt;Method!$B$9,0,ROUND(AI81*Method!$B$10/100,0)))</f>
        <v>0</v>
      </c>
      <c r="AK81" s="1">
        <f t="shared" si="12"/>
        <v>0.0831328888</v>
      </c>
      <c r="AL81" s="1" t="str">
        <f t="shared" si="13"/>
        <v/>
      </c>
      <c r="AM81" s="1" t="str">
        <f t="shared" si="14"/>
        <v/>
      </c>
      <c r="AN81" s="1" t="str">
        <f>IF(Matchday!N83="","",Matchday!N83)</f>
        <v/>
      </c>
      <c r="AO81" s="1" t="str">
        <f>IF(Matchday!P83="","",Matchday!P83)</f>
        <v/>
      </c>
      <c r="AP81" s="1" t="str">
        <f>IF(Matchday!Q83="","",Matchday!Q83)</f>
        <v/>
      </c>
      <c r="AQ81" s="1" t="str">
        <f>IF(Matchday!R83="","",Matchday!R83)</f>
        <v>H</v>
      </c>
      <c r="AR81" s="1" t="str">
        <f t="shared" si="15"/>
        <v/>
      </c>
      <c r="AS81" s="1" t="str">
        <f t="shared" si="16"/>
        <v/>
      </c>
      <c r="AT81" s="1" t="str">
        <f>IFERROR(__xludf.DUMMYFUNCTION("IF(AB81="""",""Type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pauses."")),IF(AH81=""BET"",IF(AJ81=0,""Edge found but stake rounds under £""&amp;Method!$B$9&amp;"" — skip"",IF(AND(AE81&gt;=6,AG81&gt;=0.15),""🟡 WAIT — long-shot review: odds ""&amp;TEXT(AE81,""0.00"")&amp;"" + edge ""&amp;TEXT(AG81,""0.0%"")"&amp;"&amp;"" — verify sharp-book + team news + stake comfort before Placed=Y"",""Value found: EV ""&amp;TEXT(AF81,""0.0%"")&amp;"", edge ""&amp;TEXT(AG81,""0.0%""))),IF(OR(AF81&gt;Method!$B$87,IFERROR(INDEX(BC81:BE81,1,AB81)/INDEX(S81:U81,1,AB81),0)&gt;Method!$B$88),""🛑 Tail trap "&amp;"— auto-PASS · EV ""&amp;TEXT(AF81,""0.0%"")&amp;"" (cap ""&amp;TEXT(Method!$B$87,""0%"")&amp;"") · model/market ""&amp;TEXT(IFERROR(INDEX(BC81:BE81,1,AB81)/INDEX(S81:U81,1,AB81),0),""0.0"")&amp;""× (cap ""&amp;TEXT(Method!$B$88,""0.0"")&amp;""×)"",IF(AF81&lt;Method!$B$7,""Price too short —"&amp;" EV ""&amp;TEXT(AF81,""0.0%"")&amp;"" (need ""&amp;TEXT(Method!$B$7,""0.0%"")&amp;""+)"",""Model ≈ market — edge ""&amp;TEXT(AG81,""0.0%"")&amp;"" (need ""&amp;TEXT(Method!$B$8,""0.0%"")&amp;""+)"")))))"),"Model ≈ market — edge 1.9% (need 2.5%+)")</f>
        <v>Model ≈ market — edge 1.9% (need 2.5%+)</v>
      </c>
      <c r="AU81" s="1" t="str">
        <f t="shared" si="17"/>
        <v/>
      </c>
      <c r="AV81" s="1" t="str">
        <f>IF(Matchday!O83="","",Matchday!O83)</f>
        <v/>
      </c>
      <c r="AW81" s="1"/>
      <c r="AX81" s="1"/>
      <c r="AY81" s="1"/>
      <c r="AZ81" s="1" t="str">
        <f t="shared" si="18"/>
        <v>PASS</v>
      </c>
      <c r="BA81" s="1">
        <f>IF(AX81&lt;&gt;"",AX81,IF(AH81&lt;&gt;"BET",0,IF(AI81*Method!$B$10/100&lt;Method!$B$9,0,ROUND(AI81*Method!$B$10/100,0))))</f>
        <v>0</v>
      </c>
      <c r="BB81" s="12">
        <v>-19.810000000000002</v>
      </c>
      <c r="BC81" s="12">
        <v>0.6434920089313181</v>
      </c>
      <c r="BD81" s="12">
        <v>0.23820117740896324</v>
      </c>
      <c r="BE81" s="12">
        <v>0.11830681365971868</v>
      </c>
      <c r="BF81" s="14" t="s">
        <v>390</v>
      </c>
      <c r="BG81" s="12">
        <v>320.0</v>
      </c>
      <c r="BH81" s="14" t="s">
        <v>300</v>
      </c>
    </row>
    <row r="82" ht="15.75" customHeight="1">
      <c r="A82" s="54">
        <v>81.0</v>
      </c>
      <c r="B82" s="77">
        <v>46204.0</v>
      </c>
      <c r="C82" s="55" t="s">
        <v>375</v>
      </c>
      <c r="D82" s="55" t="s">
        <v>50</v>
      </c>
      <c r="E82" s="55" t="s">
        <v>49</v>
      </c>
      <c r="F82" s="55" t="s">
        <v>391</v>
      </c>
      <c r="G82" s="78">
        <v>0.7083333333321207</v>
      </c>
      <c r="H82" s="1"/>
      <c r="I82" s="54">
        <v>0.5268464276903279</v>
      </c>
      <c r="J82" s="54">
        <v>0.26723200623654536</v>
      </c>
      <c r="K82" s="54">
        <v>0.20592156607312684</v>
      </c>
      <c r="L82" s="79">
        <f>IF(Matchday!E84="","",Matchday!E84)</f>
        <v>1.36</v>
      </c>
      <c r="M82" s="79">
        <f>IF(Matchday!F84="","",Matchday!F84)</f>
        <v>4.75</v>
      </c>
      <c r="N82" s="79">
        <f>IF(Matchday!G84="","",Matchday!G84)</f>
        <v>8.5</v>
      </c>
      <c r="O82" s="1">
        <f t="shared" ref="O82:Q82" si="175">IF(L82="","",1/L82)</f>
        <v>0.7352941176</v>
      </c>
      <c r="P82" s="1">
        <f t="shared" si="175"/>
        <v>0.2105263158</v>
      </c>
      <c r="Q82" s="1">
        <f t="shared" si="175"/>
        <v>0.1176470588</v>
      </c>
      <c r="R82" s="1">
        <f t="shared" si="4"/>
        <v>1.063467492</v>
      </c>
      <c r="S82" s="1">
        <f t="array" ref="S82">IF($R82="","",IF(Method!$B$56="proportional",O82/$R82,IF(Method!$B$56="power",IFERROR(INDEX(power_devig($L82,$M82,$N82),1,1),O82/$R82),IFERROR(INDEX(shin($L82,$M82,$N82),1,1),O82/$R82))))</f>
        <v>0.7082722344</v>
      </c>
      <c r="T82" s="1">
        <f t="array" ref="T82">IF($R82="","",IF(Method!$B$56="proportional",P82/$R82,IF(Method!$B$56="power",IFERROR(INDEX(power_devig($L82,$M82,$N82),2,1),P82/$R82),IFERROR(INDEX(shin($L82,$M82,$N82),2,1),P82/$R82))))</f>
        <v>0.1913817868</v>
      </c>
      <c r="U82" s="1">
        <f t="array" ref="U82">IF($R82="","",IF(Method!$B$56="proportional",Q82/$R82,IF(Method!$B$56="power",IFERROR(INDEX(power_devig($L82,$M82,$N82),3,1),Q82/$R82),IFERROR(INDEX(shin($L82,$M82,$N82),3,1),Q82/$R82))))</f>
        <v>0.1003459788</v>
      </c>
      <c r="V82" s="1">
        <f>IF(S82="","",Method!$B$4*IF(BC82="",I82,BC82)+(1-Method!$B$4)*S82/($S82+$T82+$U82))</f>
        <v>0.6447732021</v>
      </c>
      <c r="W82" s="1">
        <f>IF(T82="","",Method!$B$4*IF(BD82="",J82,BD82)+(1-Method!$B$4)*T82/($S82+$T82+$U82))</f>
        <v>0.2179293636</v>
      </c>
      <c r="X82" s="1">
        <f>IF(U82="","",Method!$B$4*IF(BE82="",K82,BE82)+(1-Method!$B$4)*U82/($S82+$T82+$U82))</f>
        <v>0.1372974343</v>
      </c>
      <c r="Y82" s="1">
        <f t="shared" ref="Y82:AA82" si="176">IF(V82="","",V82*L82-1)</f>
        <v>-0.1231084452</v>
      </c>
      <c r="Z82" s="1">
        <f t="shared" si="176"/>
        <v>0.03516447717</v>
      </c>
      <c r="AA82" s="1">
        <f t="shared" si="176"/>
        <v>0.1670281918</v>
      </c>
      <c r="AB82" s="1">
        <f t="shared" si="6"/>
        <v>3</v>
      </c>
      <c r="AC82" s="1" t="str">
        <f t="shared" si="7"/>
        <v>A</v>
      </c>
      <c r="AD82" s="1" t="str">
        <f t="shared" si="8"/>
        <v>2  Bosnia and Herzegovina</v>
      </c>
      <c r="AE82" s="79">
        <f t="shared" si="9"/>
        <v>8.5</v>
      </c>
      <c r="AF82" s="1">
        <f t="shared" si="10"/>
        <v>0.1670281918</v>
      </c>
      <c r="AG82" s="1">
        <f t="shared" si="11"/>
        <v>0.03695145555</v>
      </c>
      <c r="AH82" s="1" t="str">
        <f t="array" ref="AH82">IF(AB82="","· enter odds",IF(OR(AF82&gt;Method!$B$87,IFERROR(INDEX(BC82:BE82,1,AB82)/INDEX(S82:U82,1,AB82),0)&gt;Method!$B$88),"PASS",IF(AND(AF82&gt;=Method!$B$7,AG82&gt;=Method!$B$8),"BET","PASS")))</f>
        <v>BET</v>
      </c>
      <c r="AI82" s="1">
        <f>IF(AH82&lt;&gt;"BET",0,ROUND(MIN(Method!$B$6,Method!$B$5*AL82)*100,1))</f>
        <v>0.6</v>
      </c>
      <c r="AJ82" s="1">
        <f>IF(OR(AH82&lt;&gt;"BET",Method!$B$55=TRUE()),0,IF(AI82*Method!$B$10/100&lt;Method!$B$9,0,ROUND(AI82*Method!$B$10/100,0)))</f>
        <v>6</v>
      </c>
      <c r="AK82" s="1">
        <f t="shared" si="12"/>
        <v>0.1372974343</v>
      </c>
      <c r="AL82" s="1">
        <f t="shared" si="13"/>
        <v>0.02227042558</v>
      </c>
      <c r="AM82" s="1">
        <f t="shared" si="14"/>
        <v>0.1671091918</v>
      </c>
      <c r="AN82" s="1" t="str">
        <f>IF(Matchday!N84="","",Matchday!N84)</f>
        <v/>
      </c>
      <c r="AO82" s="1" t="str">
        <f>IF(Matchday!P84="","",Matchday!P84)</f>
        <v/>
      </c>
      <c r="AP82" s="1" t="str">
        <f>IF(Matchday!Q84="","",Matchday!Q84)</f>
        <v/>
      </c>
      <c r="AQ82" s="1" t="str">
        <f>IF(Matchday!R84="","",Matchday!R84)</f>
        <v>H</v>
      </c>
      <c r="AR82" s="1" t="str">
        <f t="shared" si="15"/>
        <v/>
      </c>
      <c r="AS82" s="1" t="str">
        <f t="shared" si="16"/>
        <v/>
      </c>
      <c r="AT82" s="1" t="str">
        <f>IFERROR(__xludf.DUMMYFUNCTION("IF(AB82="""",""Type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pauses."")),IF(AH82=""BET"",IF(AJ82=0,""Edge found but stake rounds under £""&amp;Method!$B$9&amp;"" — skip"",IF(AND(AE82&gt;=6,AG82&gt;=0.15),""🟡 WAIT — long-shot review: odds ""&amp;TEXT(AE82,""0.00"")&amp;"" + edge ""&amp;TEXT(AG82,""0.0%"")"&amp;"&amp;"" — verify sharp-book + team news + stake comfort before Placed=Y"",""Value found: EV ""&amp;TEXT(AF82,""0.0%"")&amp;"", edge ""&amp;TEXT(AG82,""0.0%""))),IF(OR(AF82&gt;Method!$B$87,IFERROR(INDEX(BC82:BE82,1,AB82)/INDEX(S82:U82,1,AB82),0)&gt;Method!$B$88),""🛑 Tail trap "&amp;"— auto-PASS · EV ""&amp;TEXT(AF82,""0.0%"")&amp;"" (cap ""&amp;TEXT(Method!$B$87,""0%"")&amp;"") · model/market ""&amp;TEXT(IFERROR(INDEX(BC82:BE82,1,AB82)/INDEX(S82:U82,1,AB82),0),""0.0"")&amp;""× (cap ""&amp;TEXT(Method!$B$88,""0.0"")&amp;""×)"",IF(AF82&lt;Method!$B$7,""Price too short —"&amp;" EV ""&amp;TEXT(AF82,""0.0%"")&amp;"" (need ""&amp;TEXT(Method!$B$7,""0.0%"")&amp;""+)"",""Model ≈ market — edge ""&amp;TEXT(AG82,""0.0%"")&amp;"" (need ""&amp;TEXT(Method!$B$8,""0.0%"")&amp;""+)"")))))"),"Value found: EV 16.7%, edge 3.7%")</f>
        <v>Value found: EV 16.7%, edge 3.7%</v>
      </c>
      <c r="AU82" s="1" t="str">
        <f t="shared" si="17"/>
        <v/>
      </c>
      <c r="AV82" s="1" t="str">
        <f>IF(Matchday!O84="","",Matchday!O84)</f>
        <v/>
      </c>
      <c r="AW82" s="1"/>
      <c r="AX82" s="1"/>
      <c r="AY82" s="1"/>
      <c r="AZ82" s="1" t="str">
        <f t="shared" si="18"/>
        <v>BET</v>
      </c>
      <c r="BA82" s="1">
        <f>IF(AX82&lt;&gt;"",AX82,IF(AH82&lt;&gt;"BET",0,IF(AI82*Method!$B$10/100&lt;Method!$B$9,0,ROUND(AI82*Method!$B$10/100,0))))</f>
        <v>6</v>
      </c>
      <c r="BB82" s="12">
        <v>-39.19</v>
      </c>
      <c r="BC82" s="12">
        <v>0.5268464276903279</v>
      </c>
      <c r="BD82" s="12">
        <v>0.26723200623654536</v>
      </c>
      <c r="BE82" s="12">
        <v>0.20592156607312684</v>
      </c>
      <c r="BF82" s="14" t="s">
        <v>392</v>
      </c>
      <c r="BG82" s="12">
        <v>0.0</v>
      </c>
    </row>
    <row r="83" ht="15.75" customHeight="1">
      <c r="A83" s="54">
        <v>82.0</v>
      </c>
      <c r="B83" s="77">
        <v>46204.0</v>
      </c>
      <c r="C83" s="55" t="s">
        <v>375</v>
      </c>
      <c r="D83" s="55" t="s">
        <v>70</v>
      </c>
      <c r="E83" s="55" t="s">
        <v>77</v>
      </c>
      <c r="F83" s="55" t="s">
        <v>393</v>
      </c>
      <c r="G83" s="78">
        <v>0.5416666666678793</v>
      </c>
      <c r="H83" s="1"/>
      <c r="I83" s="54">
        <v>0.45240094490526506</v>
      </c>
      <c r="J83" s="54">
        <v>0.28638079501442726</v>
      </c>
      <c r="K83" s="54">
        <v>0.2612182600803077</v>
      </c>
      <c r="L83" s="79">
        <f>IF(Matchday!E85="","",Matchday!E85)</f>
        <v>2.2</v>
      </c>
      <c r="M83" s="79">
        <f>IF(Matchday!F85="","",Matchday!F85)</f>
        <v>3.25</v>
      </c>
      <c r="N83" s="79">
        <f>IF(Matchday!G85="","",Matchday!G85)</f>
        <v>3.5</v>
      </c>
      <c r="O83" s="1">
        <f t="shared" ref="O83:Q83" si="177">IF(L83="","",1/L83)</f>
        <v>0.4545454545</v>
      </c>
      <c r="P83" s="1">
        <f t="shared" si="177"/>
        <v>0.3076923077</v>
      </c>
      <c r="Q83" s="1">
        <f t="shared" si="177"/>
        <v>0.2857142857</v>
      </c>
      <c r="R83" s="1">
        <f t="shared" si="4"/>
        <v>1.047952048</v>
      </c>
      <c r="S83" s="1">
        <f t="array" ref="S83">IF($R83="","",IF(Method!$B$56="proportional",O83/$R83,IF(Method!$B$56="power",IFERROR(INDEX(power_devig($L83,$M83,$N83),1,1),O83/$R83),IFERROR(INDEX(shin($L83,$M83,$N83),1,1),O83/$R83))))</f>
        <v>0.4373222757</v>
      </c>
      <c r="T83" s="1">
        <f t="array" ref="T83">IF($R83="","",IF(Method!$B$56="proportional",P83/$R83,IF(Method!$B$56="power",IFERROR(INDEX(power_devig($L83,$M83,$N83),2,1),P83/$R83),IFERROR(INDEX(shin($L83,$M83,$N83),2,1),P83/$R83))))</f>
        <v>0.2921951707</v>
      </c>
      <c r="U83" s="1">
        <f t="array" ref="U83">IF($R83="","",IF(Method!$B$56="proportional",Q83/$R83,IF(Method!$B$56="power",IFERROR(INDEX(power_devig($L83,$M83,$N83),3,1),Q83/$R83),IFERROR(INDEX(shin($L83,$M83,$N83),3,1),Q83/$R83))))</f>
        <v>0.2704825536</v>
      </c>
      <c r="V83" s="1">
        <f>IF(S83="","",Method!$B$4*IF(BC83="",I83,BC83)+(1-Method!$B$4)*S83/($S83+$T83+$U83))</f>
        <v>0.4425998099</v>
      </c>
      <c r="W83" s="1">
        <f>IF(T83="","",Method!$B$4*IF(BD83="",J83,BD83)+(1-Method!$B$4)*T83/($S83+$T83+$U83))</f>
        <v>0.2901601392</v>
      </c>
      <c r="X83" s="1">
        <f>IF(U83="","",Method!$B$4*IF(BE83="",K83,BE83)+(1-Method!$B$4)*U83/($S83+$T83+$U83))</f>
        <v>0.2672400509</v>
      </c>
      <c r="Y83" s="1">
        <f t="shared" ref="Y83:AA83" si="178">IF(V83="","",V83*L83-1)</f>
        <v>-0.02628041822</v>
      </c>
      <c r="Z83" s="1">
        <f t="shared" si="178"/>
        <v>-0.0569795476</v>
      </c>
      <c r="AA83" s="1">
        <f t="shared" si="178"/>
        <v>-0.06465982185</v>
      </c>
      <c r="AB83" s="1">
        <f t="shared" si="6"/>
        <v>1</v>
      </c>
      <c r="AC83" s="1" t="str">
        <f t="shared" si="7"/>
        <v>H</v>
      </c>
      <c r="AD83" s="1" t="str">
        <f t="shared" si="8"/>
        <v>1  Belgium</v>
      </c>
      <c r="AE83" s="79">
        <f t="shared" si="9"/>
        <v>2.2</v>
      </c>
      <c r="AF83" s="1">
        <f t="shared" si="10"/>
        <v>-0.02628041822</v>
      </c>
      <c r="AG83" s="1">
        <f t="shared" si="11"/>
        <v>0.005277534233</v>
      </c>
      <c r="AH83" s="1" t="str">
        <f t="array" ref="AH83">IF(AB83="","· enter odds",IF(OR(AF83&gt;Method!$B$87,IFERROR(INDEX(BC83:BE83,1,AB83)/INDEX(S83:U83,1,AB83),0)&gt;Method!$B$88),"PASS",IF(AND(AF83&gt;=Method!$B$7,AG83&gt;=Method!$B$8),"BET","PASS")))</f>
        <v>PASS</v>
      </c>
      <c r="AI83" s="1">
        <f>IF(AH83&lt;&gt;"BET",0,ROUND(MIN(Method!$B$6,Method!$B$5*AL83)*100,1))</f>
        <v>0</v>
      </c>
      <c r="AJ83" s="1">
        <f>IF(OR(AH83&lt;&gt;"BET",Method!$B$55=TRUE()),0,IF(AI83*Method!$B$10/100&lt;Method!$B$9,0,ROUND(AI83*Method!$B$10/100,0)))</f>
        <v>0</v>
      </c>
      <c r="AK83" s="1">
        <f t="shared" si="12"/>
        <v>0.4425998099</v>
      </c>
      <c r="AL83" s="1" t="str">
        <f t="shared" si="13"/>
        <v/>
      </c>
      <c r="AM83" s="1" t="str">
        <f t="shared" si="14"/>
        <v/>
      </c>
      <c r="AN83" s="1" t="str">
        <f>IF(Matchday!N85="","",Matchday!N85)</f>
        <v/>
      </c>
      <c r="AO83" s="1" t="str">
        <f>IF(Matchday!P85="","",Matchday!P85)</f>
        <v/>
      </c>
      <c r="AP83" s="1" t="str">
        <f>IF(Matchday!Q85="","",Matchday!Q85)</f>
        <v/>
      </c>
      <c r="AQ83" s="1" t="str">
        <f>IF(Matchday!R85="","",Matchday!R85)</f>
        <v>H</v>
      </c>
      <c r="AR83" s="1" t="str">
        <f t="shared" si="15"/>
        <v/>
      </c>
      <c r="AS83" s="1" t="str">
        <f t="shared" si="16"/>
        <v/>
      </c>
      <c r="AT83" s="1" t="str">
        <f>IFERROR(__xludf.DUMMYFUNCTION("IF(AB83="""",""Type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pauses."")),IF(AH83=""BET"",IF(AJ83=0,""Edge found but stake rounds under £""&amp;Method!$B$9&amp;"" — skip"",IF(AND(AE83&gt;=6,AG83&gt;=0.15),""🟡 WAIT — long-shot review: odds ""&amp;TEXT(AE83,""0.00"")&amp;"" + edge ""&amp;TEXT(AG83,""0.0%"")"&amp;"&amp;"" — verify sharp-book + team news + stake comfort before Placed=Y"",""Value found: EV ""&amp;TEXT(AF83,""0.0%"")&amp;"", edge ""&amp;TEXT(AG83,""0.0%""))),IF(OR(AF83&gt;Method!$B$87,IFERROR(INDEX(BC83:BE83,1,AB83)/INDEX(S83:U83,1,AB83),0)&gt;Method!$B$88),""🛑 Tail trap "&amp;"— auto-PASS · EV ""&amp;TEXT(AF83,""0.0%"")&amp;"" (cap ""&amp;TEXT(Method!$B$87,""0%"")&amp;"") · model/market ""&amp;TEXT(IFERROR(INDEX(BC83:BE83,1,AB83)/INDEX(S83:U83,1,AB83),0),""0.0"")&amp;""× (cap ""&amp;TEXT(Method!$B$88,""0.0"")&amp;""×)"",IF(AF83&lt;Method!$B$7,""Price too short —"&amp;" EV ""&amp;TEXT(AF83,""0.0%"")&amp;"" (need ""&amp;TEXT(Method!$B$7,""0.0%"")&amp;""+)"",""Model ≈ market — edge ""&amp;TEXT(AG83,""0.0%"")&amp;"" (need ""&amp;TEXT(Method!$B$8,""0.0%"")&amp;""+)"")))))"),"Price too short — EV -2.6% (need 2.5%+)")</f>
        <v>Price too short — EV -2.6% (need 2.5%+)</v>
      </c>
      <c r="AU83" s="1" t="str">
        <f t="shared" si="17"/>
        <v/>
      </c>
      <c r="AV83" s="1" t="str">
        <f>IF(Matchday!O85="","",Matchday!O85)</f>
        <v/>
      </c>
      <c r="AW83" s="1"/>
      <c r="AX83" s="1"/>
      <c r="AY83" s="1"/>
      <c r="AZ83" s="1" t="str">
        <f t="shared" si="18"/>
        <v>PASS</v>
      </c>
      <c r="BA83" s="1">
        <f>IF(AX83&lt;&gt;"",AX83,IF(AH83&lt;&gt;"BET",0,IF(AI83*Method!$B$10/100&lt;Method!$B$9,0,ROUND(AI83*Method!$B$10/100,0))))</f>
        <v>0</v>
      </c>
      <c r="BB83" s="12">
        <v>-25.84</v>
      </c>
      <c r="BC83" s="12">
        <v>0.45240094490526506</v>
      </c>
      <c r="BD83" s="12">
        <v>0.28638079501442726</v>
      </c>
      <c r="BE83" s="12">
        <v>0.2612182600803077</v>
      </c>
      <c r="BF83" s="14" t="s">
        <v>394</v>
      </c>
      <c r="BG83" s="12">
        <v>5.0</v>
      </c>
      <c r="BH83" s="14" t="s">
        <v>266</v>
      </c>
    </row>
    <row r="84" ht="15.75" customHeight="1">
      <c r="A84" s="54">
        <v>83.0</v>
      </c>
      <c r="B84" s="77">
        <v>46205.0</v>
      </c>
      <c r="C84" s="55" t="s">
        <v>375</v>
      </c>
      <c r="D84" s="55" t="s">
        <v>84</v>
      </c>
      <c r="E84" s="55" t="s">
        <v>87</v>
      </c>
      <c r="F84" s="55" t="s">
        <v>264</v>
      </c>
      <c r="G84" s="78">
        <v>0.7916666666678793</v>
      </c>
      <c r="H84" s="1"/>
      <c r="I84" s="54">
        <v>0.428894500176245</v>
      </c>
      <c r="J84" s="54">
        <v>0.2748134185452305</v>
      </c>
      <c r="K84" s="54">
        <v>0.2962920812785246</v>
      </c>
      <c r="L84" s="79">
        <f>IF(Matchday!E86="","",Matchday!E86)</f>
        <v>1.75</v>
      </c>
      <c r="M84" s="79">
        <f>IF(Matchday!F86="","",Matchday!F86)</f>
        <v>3.6</v>
      </c>
      <c r="N84" s="79">
        <f>IF(Matchday!G86="","",Matchday!G86)</f>
        <v>4.75</v>
      </c>
      <c r="O84" s="1">
        <f t="shared" ref="O84:Q84" si="179">IF(L84="","",1/L84)</f>
        <v>0.5714285714</v>
      </c>
      <c r="P84" s="1">
        <f t="shared" si="179"/>
        <v>0.2777777778</v>
      </c>
      <c r="Q84" s="1">
        <f t="shared" si="179"/>
        <v>0.2105263158</v>
      </c>
      <c r="R84" s="1">
        <f t="shared" si="4"/>
        <v>1.059732665</v>
      </c>
      <c r="S84" s="1">
        <f t="array" ref="S84">IF($R84="","",IF(Method!$B$56="proportional",O84/$R84,IF(Method!$B$56="power",IFERROR(INDEX(power_devig($L84,$M84,$N84),1,1),O84/$R84),IFERROR(INDEX(shin($L84,$M84,$N84),1,1),O84/$R84))))</f>
        <v>0.5483426414</v>
      </c>
      <c r="T84" s="1">
        <f t="array" ref="T84">IF($R84="","",IF(Method!$B$56="proportional",P84/$R84,IF(Method!$B$56="power",IFERROR(INDEX(power_devig($L84,$M84,$N84),2,1),P84/$R84),IFERROR(INDEX(shin($L84,$M84,$N84),2,1),P84/$R84))))</f>
        <v>0.2589255825</v>
      </c>
      <c r="U84" s="1">
        <f t="array" ref="U84">IF($R84="","",IF(Method!$B$56="proportional",Q84/$R84,IF(Method!$B$56="power",IFERROR(INDEX(power_devig($L84,$M84,$N84),3,1),Q84/$R84),IFERROR(INDEX(shin($L84,$M84,$N84),3,1),Q84/$R84))))</f>
        <v>0.1927317761</v>
      </c>
      <c r="V84" s="1">
        <f>IF(S84="","",Method!$B$4*IF(BC84="",I84,BC84)+(1-Method!$B$4)*S84/($S84+$T84+$U84))</f>
        <v>0.506535792</v>
      </c>
      <c r="W84" s="1">
        <f>IF(T84="","",Method!$B$4*IF(BD84="",J84,BD84)+(1-Method!$B$4)*T84/($S84+$T84+$U84))</f>
        <v>0.2644863251</v>
      </c>
      <c r="X84" s="1">
        <f>IF(U84="","",Method!$B$4*IF(BE84="",K84,BE84)+(1-Method!$B$4)*U84/($S84+$T84+$U84))</f>
        <v>0.2289778829</v>
      </c>
      <c r="Y84" s="1">
        <f t="shared" ref="Y84:AA84" si="180">IF(V84="","",V84*L84-1)</f>
        <v>-0.113562364</v>
      </c>
      <c r="Z84" s="1">
        <f t="shared" si="180"/>
        <v>-0.04784922962</v>
      </c>
      <c r="AA84" s="1">
        <f t="shared" si="180"/>
        <v>0.08764494384</v>
      </c>
      <c r="AB84" s="1">
        <f t="shared" si="6"/>
        <v>3</v>
      </c>
      <c r="AC84" s="1" t="str">
        <f t="shared" si="7"/>
        <v>A</v>
      </c>
      <c r="AD84" s="1" t="str">
        <f t="shared" si="8"/>
        <v>2  Croatia</v>
      </c>
      <c r="AE84" s="79">
        <f t="shared" si="9"/>
        <v>4.75</v>
      </c>
      <c r="AF84" s="1">
        <f t="shared" si="10"/>
        <v>0.08764494384</v>
      </c>
      <c r="AG84" s="1">
        <f t="shared" si="11"/>
        <v>0.03624610681</v>
      </c>
      <c r="AH84" s="1" t="str">
        <f t="array" ref="AH84">IF(AB84="","· enter odds",IF(OR(AF84&gt;Method!$B$87,IFERROR(INDEX(BC84:BE84,1,AB84)/INDEX(S84:U84,1,AB84),0)&gt;Method!$B$88),"PASS",IF(AND(AF84&gt;=Method!$B$7,AG84&gt;=Method!$B$8),"BET","PASS")))</f>
        <v>BET</v>
      </c>
      <c r="AI84" s="1">
        <f>IF(AH84&lt;&gt;"BET",0,ROUND(MIN(Method!$B$6,Method!$B$5*AL84)*100,1))</f>
        <v>0.6</v>
      </c>
      <c r="AJ84" s="1">
        <f>IF(OR(AH84&lt;&gt;"BET",Method!$B$55=TRUE()),0,IF(AI84*Method!$B$10/100&lt;Method!$B$9,0,ROUND(AI84*Method!$B$10/100,0)))</f>
        <v>6</v>
      </c>
      <c r="AK84" s="1">
        <f t="shared" si="12"/>
        <v>0.2289778829</v>
      </c>
      <c r="AL84" s="1">
        <f t="shared" si="13"/>
        <v>0.02337198502</v>
      </c>
      <c r="AM84" s="1">
        <f t="shared" si="14"/>
        <v>0.08772794384</v>
      </c>
      <c r="AN84" s="1" t="str">
        <f>IF(Matchday!N86="","",Matchday!N86)</f>
        <v/>
      </c>
      <c r="AO84" s="1" t="str">
        <f>IF(Matchday!P86="","",Matchday!P86)</f>
        <v/>
      </c>
      <c r="AP84" s="1" t="str">
        <f>IF(Matchday!Q86="","",Matchday!Q86)</f>
        <v/>
      </c>
      <c r="AQ84" s="1" t="str">
        <f>IF(Matchday!R86="","",Matchday!R86)</f>
        <v>H</v>
      </c>
      <c r="AR84" s="1" t="str">
        <f t="shared" si="15"/>
        <v/>
      </c>
      <c r="AS84" s="1" t="str">
        <f t="shared" si="16"/>
        <v/>
      </c>
      <c r="AT84" s="1" t="str">
        <f>IFERROR(__xludf.DUMMYFUNCTION("IF(AB84="""",""Type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pauses."")),IF(AH84=""BET"",IF(AJ84=0,""Edge found but stake rounds under £""&amp;Method!$B$9&amp;"" — skip"",IF(AND(AE84&gt;=6,AG84&gt;=0.15),""🟡 WAIT — long-shot review: odds ""&amp;TEXT(AE84,""0.00"")&amp;"" + edge ""&amp;TEXT(AG84,""0.0%"")"&amp;"&amp;"" — verify sharp-book + team news + stake comfort before Placed=Y"",""Value found: EV ""&amp;TEXT(AF84,""0.0%"")&amp;"", edge ""&amp;TEXT(AG84,""0.0%""))),IF(OR(AF84&gt;Method!$B$87,IFERROR(INDEX(BC84:BE84,1,AB84)/INDEX(S84:U84,1,AB84),0)&gt;Method!$B$88),""🛑 Tail trap "&amp;"— auto-PASS · EV ""&amp;TEXT(AF84,""0.0%"")&amp;"" (cap ""&amp;TEXT(Method!$B$87,""0%"")&amp;"") · model/market ""&amp;TEXT(IFERROR(INDEX(BC84:BE84,1,AB84)/INDEX(S84:U84,1,AB84),0),""0.0"")&amp;""× (cap ""&amp;TEXT(Method!$B$88,""0.0"")&amp;""×)"",IF(AF84&lt;Method!$B$7,""Price too short —"&amp;" EV ""&amp;TEXT(AF84,""0.0%"")&amp;"" (need ""&amp;TEXT(Method!$B$7,""0.0%"")&amp;""+)"",""Model ≈ market — edge ""&amp;TEXT(AG84,""0.0%"")&amp;"" (need ""&amp;TEXT(Method!$B$8,""0.0%"")&amp;""+)"")))))"),"Value found: EV 8.8%, edge 3.6%")</f>
        <v>Value found: EV 8.8%, edge 3.6%</v>
      </c>
      <c r="AU84" s="1" t="str">
        <f t="shared" si="17"/>
        <v/>
      </c>
      <c r="AV84" s="1" t="str">
        <f>IF(Matchday!O86="","",Matchday!O86)</f>
        <v/>
      </c>
      <c r="AW84" s="1"/>
      <c r="AX84" s="1"/>
      <c r="AY84" s="1"/>
      <c r="AZ84" s="1" t="str">
        <f t="shared" si="18"/>
        <v>BET</v>
      </c>
      <c r="BA84" s="1">
        <f>IF(AX84&lt;&gt;"",AX84,IF(AH84&lt;&gt;"BET",0,IF(AI84*Method!$B$10/100&lt;Method!$B$9,0,ROUND(AI84*Method!$B$10/100,0))))</f>
        <v>6</v>
      </c>
      <c r="BB84" s="12">
        <v>-3.63</v>
      </c>
      <c r="BC84" s="12">
        <v>0.428894500176245</v>
      </c>
      <c r="BD84" s="12">
        <v>0.2748134185452305</v>
      </c>
      <c r="BE84" s="12">
        <v>0.2962920812785246</v>
      </c>
      <c r="BF84" s="14" t="s">
        <v>395</v>
      </c>
      <c r="BG84" s="12">
        <v>76.0</v>
      </c>
      <c r="BH84" s="14" t="s">
        <v>266</v>
      </c>
    </row>
    <row r="85" ht="15.75" customHeight="1">
      <c r="A85" s="54">
        <v>84.0</v>
      </c>
      <c r="B85" s="77">
        <v>46205.0</v>
      </c>
      <c r="C85" s="55" t="s">
        <v>375</v>
      </c>
      <c r="D85" s="55" t="s">
        <v>68</v>
      </c>
      <c r="E85" s="55" t="s">
        <v>82</v>
      </c>
      <c r="F85" s="55" t="s">
        <v>376</v>
      </c>
      <c r="G85" s="78">
        <v>0.5</v>
      </c>
      <c r="H85" s="1"/>
      <c r="I85" s="54">
        <v>0.8050317442814092</v>
      </c>
      <c r="J85" s="54">
        <v>0.14590771566240393</v>
      </c>
      <c r="K85" s="54">
        <v>0.04906054005618678</v>
      </c>
      <c r="L85" s="79">
        <f>IF(Matchday!E87="","",Matchday!E87)</f>
        <v>1.3</v>
      </c>
      <c r="M85" s="79">
        <f>IF(Matchday!F87="","",Matchday!F87)</f>
        <v>5</v>
      </c>
      <c r="N85" s="79">
        <f>IF(Matchday!G87="","",Matchday!G87)</f>
        <v>9.5</v>
      </c>
      <c r="O85" s="1">
        <f t="shared" ref="O85:Q85" si="181">IF(L85="","",1/L85)</f>
        <v>0.7692307692</v>
      </c>
      <c r="P85" s="1">
        <f t="shared" si="181"/>
        <v>0.2</v>
      </c>
      <c r="Q85" s="1">
        <f t="shared" si="181"/>
        <v>0.1052631579</v>
      </c>
      <c r="R85" s="1">
        <f t="shared" si="4"/>
        <v>1.074493927</v>
      </c>
      <c r="S85" s="1">
        <f t="array" ref="S85">IF($R85="","",IF(Method!$B$56="proportional",O85/$R85,IF(Method!$B$56="power",IFERROR(INDEX(power_devig($L85,$M85,$N85),1,1),O85/$R85),IFERROR(INDEX(shin($L85,$M85,$N85),1,1),O85/$R85))))</f>
        <v>0.7370032206</v>
      </c>
      <c r="T85" s="1">
        <f t="array" ref="T85">IF($R85="","",IF(Method!$B$56="proportional",P85/$R85,IF(Method!$B$56="power",IFERROR(INDEX(power_devig($L85,$M85,$N85),2,1),P85/$R85),IFERROR(INDEX(shin($L85,$M85,$N85),2,1),P85/$R85))))</f>
        <v>0.1776505611</v>
      </c>
      <c r="U85" s="1">
        <f t="array" ref="U85">IF($R85="","",IF(Method!$B$56="proportional",Q85/$R85,IF(Method!$B$56="power",IFERROR(INDEX(power_devig($L85,$M85,$N85),3,1),Q85/$R85),IFERROR(INDEX(shin($L85,$M85,$N85),3,1),Q85/$R85))))</f>
        <v>0.08534621822</v>
      </c>
      <c r="V85" s="1">
        <f>IF(S85="","",Method!$B$4*IF(BC85="",I85,BC85)+(1-Method!$B$4)*S85/($S85+$T85+$U85))</f>
        <v>0.7608132039</v>
      </c>
      <c r="W85" s="1">
        <f>IF(T85="","",Method!$B$4*IF(BD85="",J85,BD85)+(1-Method!$B$4)*T85/($S85+$T85+$U85))</f>
        <v>0.1665405652</v>
      </c>
      <c r="X85" s="1">
        <f>IF(U85="","",Method!$B$4*IF(BE85="",K85,BE85)+(1-Method!$B$4)*U85/($S85+$T85+$U85))</f>
        <v>0.07264623086</v>
      </c>
      <c r="Y85" s="1">
        <f t="shared" ref="Y85:AA85" si="182">IF(V85="","",V85*L85-1)</f>
        <v>-0.01094283491</v>
      </c>
      <c r="Z85" s="1">
        <f t="shared" si="182"/>
        <v>-0.1672971739</v>
      </c>
      <c r="AA85" s="1">
        <f t="shared" si="182"/>
        <v>-0.3098608068</v>
      </c>
      <c r="AB85" s="1">
        <f t="shared" si="6"/>
        <v>1</v>
      </c>
      <c r="AC85" s="1" t="str">
        <f t="shared" si="7"/>
        <v>H</v>
      </c>
      <c r="AD85" s="1" t="str">
        <f t="shared" si="8"/>
        <v>1  Spain</v>
      </c>
      <c r="AE85" s="79">
        <f t="shared" si="9"/>
        <v>1.3</v>
      </c>
      <c r="AF85" s="1">
        <f t="shared" si="10"/>
        <v>-0.01094283491</v>
      </c>
      <c r="AG85" s="1">
        <f t="shared" si="11"/>
        <v>0.02380998327</v>
      </c>
      <c r="AH85" s="1" t="str">
        <f t="array" ref="AH85">IF(AB85="","· enter odds",IF(OR(AF85&gt;Method!$B$87,IFERROR(INDEX(BC85:BE85,1,AB85)/INDEX(S85:U85,1,AB85),0)&gt;Method!$B$88),"PASS",IF(AND(AF85&gt;=Method!$B$7,AG85&gt;=Method!$B$8),"BET","PASS")))</f>
        <v>PASS</v>
      </c>
      <c r="AI85" s="1">
        <f>IF(AH85&lt;&gt;"BET",0,ROUND(MIN(Method!$B$6,Method!$B$5*AL85)*100,1))</f>
        <v>0</v>
      </c>
      <c r="AJ85" s="1">
        <f>IF(OR(AH85&lt;&gt;"BET",Method!$B$55=TRUE()),0,IF(AI85*Method!$B$10/100&lt;Method!$B$9,0,ROUND(AI85*Method!$B$10/100,0)))</f>
        <v>0</v>
      </c>
      <c r="AK85" s="1">
        <f t="shared" si="12"/>
        <v>0.7608132039</v>
      </c>
      <c r="AL85" s="1" t="str">
        <f t="shared" si="13"/>
        <v/>
      </c>
      <c r="AM85" s="1" t="str">
        <f t="shared" si="14"/>
        <v/>
      </c>
      <c r="AN85" s="1" t="str">
        <f>IF(Matchday!N87="","",Matchday!N87)</f>
        <v/>
      </c>
      <c r="AO85" s="1" t="str">
        <f>IF(Matchday!P87="","",Matchday!P87)</f>
        <v/>
      </c>
      <c r="AP85" s="1" t="str">
        <f>IF(Matchday!Q87="","",Matchday!Q87)</f>
        <v/>
      </c>
      <c r="AQ85" s="1" t="str">
        <f>IF(Matchday!R87="","",Matchday!R87)</f>
        <v>H</v>
      </c>
      <c r="AR85" s="1" t="str">
        <f t="shared" si="15"/>
        <v/>
      </c>
      <c r="AS85" s="1" t="str">
        <f t="shared" si="16"/>
        <v/>
      </c>
      <c r="AT85" s="1" t="str">
        <f>IFERROR(__xludf.DUMMYFUNCTION("IF(AB85="""",""Type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pauses."")),IF(AH85=""BET"",IF(AJ85=0,""Edge found but stake rounds under £""&amp;Method!$B$9&amp;"" — skip"",IF(AND(AE85&gt;=6,AG85&gt;=0.15),""🟡 WAIT — long-shot review: odds ""&amp;TEXT(AE85,""0.00"")&amp;"" + edge ""&amp;TEXT(AG85,""0.0%"")"&amp;"&amp;"" — verify sharp-book + team news + stake comfort before Placed=Y"",""Value found: EV ""&amp;TEXT(AF85,""0.0%"")&amp;"", edge ""&amp;TEXT(AG85,""0.0%""))),IF(OR(AF85&gt;Method!$B$87,IFERROR(INDEX(BC85:BE85,1,AB85)/INDEX(S85:U85,1,AB85),0)&gt;Method!$B$88),""🛑 Tail trap "&amp;"— auto-PASS · EV ""&amp;TEXT(AF85,""0.0%"")&amp;"" (cap ""&amp;TEXT(Method!$B$87,""0%"")&amp;"") · model/market ""&amp;TEXT(IFERROR(INDEX(BC85:BE85,1,AB85)/INDEX(S85:U85,1,AB85),0),""0.0"")&amp;""× (cap ""&amp;TEXT(Method!$B$88,""0.0"")&amp;""×)"",IF(AF85&lt;Method!$B$7,""Price too short —"&amp;" EV ""&amp;TEXT(AF85,""0.0%"")&amp;"" (need ""&amp;TEXT(Method!$B$7,""0.0%"")&amp;""+)"",""Model ≈ market — edge ""&amp;TEXT(AG85,""0.0%"")&amp;"" (need ""&amp;TEXT(Method!$B$8,""0.0%"")&amp;""+)"")))))"),"Price too short — EV -1.1% (need 2.5%+)")</f>
        <v>Price too short — EV -1.1% (need 2.5%+)</v>
      </c>
      <c r="AU85" s="1" t="str">
        <f t="shared" si="17"/>
        <v/>
      </c>
      <c r="AV85" s="1" t="str">
        <f>IF(Matchday!O87="","",Matchday!O87)</f>
        <v/>
      </c>
      <c r="AW85" s="1"/>
      <c r="AX85" s="1"/>
      <c r="AY85" s="1"/>
      <c r="AZ85" s="1" t="str">
        <f t="shared" si="18"/>
        <v>PASS</v>
      </c>
      <c r="BA85" s="1">
        <f>IF(AX85&lt;&gt;"",AX85,IF(AH85&lt;&gt;"BET",0,IF(AI85*Method!$B$10/100&lt;Method!$B$9,0,ROUND(AI85*Method!$B$10/100,0))))</f>
        <v>0</v>
      </c>
      <c r="BB85" s="12">
        <v>11.24</v>
      </c>
      <c r="BC85" s="12">
        <v>0.8050317442814092</v>
      </c>
      <c r="BD85" s="12">
        <v>0.14590771566240393</v>
      </c>
      <c r="BE85" s="12">
        <v>0.04906054005618678</v>
      </c>
      <c r="BF85" s="14" t="s">
        <v>396</v>
      </c>
      <c r="BG85" s="12">
        <v>0.0</v>
      </c>
    </row>
    <row r="86" ht="15.75" customHeight="1">
      <c r="A86" s="54">
        <v>85.0</v>
      </c>
      <c r="B86" s="77">
        <v>46205.0</v>
      </c>
      <c r="C86" s="55" t="s">
        <v>375</v>
      </c>
      <c r="D86" s="55" t="s">
        <v>53</v>
      </c>
      <c r="E86" s="55" t="s">
        <v>81</v>
      </c>
      <c r="F86" s="55" t="s">
        <v>280</v>
      </c>
      <c r="G86" s="78">
        <v>0.8333333333321207</v>
      </c>
      <c r="H86" s="1"/>
      <c r="I86" s="54">
        <v>0.5232770419992537</v>
      </c>
      <c r="J86" s="54">
        <v>0.2751250539423327</v>
      </c>
      <c r="K86" s="54">
        <v>0.20159790405841366</v>
      </c>
      <c r="L86" s="79">
        <f>IF(Matchday!E88="","",Matchday!E88)</f>
        <v>2.05</v>
      </c>
      <c r="M86" s="79">
        <f>IF(Matchday!F88="","",Matchday!F88)</f>
        <v>3.2</v>
      </c>
      <c r="N86" s="79">
        <f>IF(Matchday!G88="","",Matchday!G88)</f>
        <v>3.9</v>
      </c>
      <c r="O86" s="1">
        <f t="shared" ref="O86:Q86" si="183">IF(L86="","",1/L86)</f>
        <v>0.487804878</v>
      </c>
      <c r="P86" s="1">
        <f t="shared" si="183"/>
        <v>0.3125</v>
      </c>
      <c r="Q86" s="1">
        <f t="shared" si="183"/>
        <v>0.2564102564</v>
      </c>
      <c r="R86" s="1">
        <f t="shared" si="4"/>
        <v>1.056715134</v>
      </c>
      <c r="S86" s="1">
        <f t="array" ref="S86">IF($R86="","",IF(Method!$B$56="proportional",O86/$R86,IF(Method!$B$56="power",IFERROR(INDEX(power_devig($L86,$M86,$N86),1,1),O86/$R86),IFERROR(INDEX(shin($L86,$M86,$N86),1,1),O86/$R86))))</f>
        <v>0.4670187651</v>
      </c>
      <c r="T86" s="1">
        <f t="array" ref="T86">IF($R86="","",IF(Method!$B$56="proportional",P86/$R86,IF(Method!$B$56="power",IFERROR(INDEX(power_devig($L86,$M86,$N86),2,1),P86/$R86),IFERROR(INDEX(shin($L86,$M86,$N86),2,1),P86/$R86))))</f>
        <v>0.2941308787</v>
      </c>
      <c r="U86" s="1">
        <f t="array" ref="U86">IF($R86="","",IF(Method!$B$56="proportional",Q86/$R86,IF(Method!$B$56="power",IFERROR(INDEX(power_devig($L86,$M86,$N86),3,1),Q86/$R86),IFERROR(INDEX(shin($L86,$M86,$N86),3,1),Q86/$R86))))</f>
        <v>0.2388503562</v>
      </c>
      <c r="V86" s="1">
        <f>IF(S86="","",Method!$B$4*IF(BC86="",I86,BC86)+(1-Method!$B$4)*S86/($S86+$T86+$U86))</f>
        <v>0.486709162</v>
      </c>
      <c r="W86" s="1">
        <f>IF(T86="","",Method!$B$4*IF(BD86="",J86,BD86)+(1-Method!$B$4)*T86/($S86+$T86+$U86))</f>
        <v>0.28747884</v>
      </c>
      <c r="X86" s="1">
        <f>IF(U86="","",Method!$B$4*IF(BE86="",K86,BE86)+(1-Method!$B$4)*U86/($S86+$T86+$U86))</f>
        <v>0.2258119979</v>
      </c>
      <c r="Y86" s="1">
        <f t="shared" ref="Y86:AA86" si="184">IF(V86="","",V86*L86-1)</f>
        <v>-0.00224621785</v>
      </c>
      <c r="Z86" s="1">
        <f t="shared" si="184"/>
        <v>-0.08006771188</v>
      </c>
      <c r="AA86" s="1">
        <f t="shared" si="184"/>
        <v>-0.119333208</v>
      </c>
      <c r="AB86" s="1">
        <f t="shared" si="6"/>
        <v>1</v>
      </c>
      <c r="AC86" s="1" t="str">
        <f t="shared" si="7"/>
        <v>H</v>
      </c>
      <c r="AD86" s="1" t="str">
        <f t="shared" si="8"/>
        <v>1  Switzerland</v>
      </c>
      <c r="AE86" s="79">
        <f t="shared" si="9"/>
        <v>2.05</v>
      </c>
      <c r="AF86" s="1">
        <f t="shared" si="10"/>
        <v>-0.00224621785</v>
      </c>
      <c r="AG86" s="1">
        <f t="shared" si="11"/>
        <v>0.01969039691</v>
      </c>
      <c r="AH86" s="1" t="str">
        <f t="array" ref="AH86">IF(AB86="","· enter odds",IF(OR(AF86&gt;Method!$B$87,IFERROR(INDEX(BC86:BE86,1,AB86)/INDEX(S86:U86,1,AB86),0)&gt;Method!$B$88),"PASS",IF(AND(AF86&gt;=Method!$B$7,AG86&gt;=Method!$B$8),"BET","PASS")))</f>
        <v>PASS</v>
      </c>
      <c r="AI86" s="1">
        <f>IF(AH86&lt;&gt;"BET",0,ROUND(MIN(Method!$B$6,Method!$B$5*AL86)*100,1))</f>
        <v>0</v>
      </c>
      <c r="AJ86" s="1">
        <f>IF(OR(AH86&lt;&gt;"BET",Method!$B$55=TRUE()),0,IF(AI86*Method!$B$10/100&lt;Method!$B$9,0,ROUND(AI86*Method!$B$10/100,0)))</f>
        <v>0</v>
      </c>
      <c r="AK86" s="1">
        <f t="shared" si="12"/>
        <v>0.486709162</v>
      </c>
      <c r="AL86" s="1" t="str">
        <f t="shared" si="13"/>
        <v/>
      </c>
      <c r="AM86" s="1" t="str">
        <f t="shared" si="14"/>
        <v/>
      </c>
      <c r="AN86" s="1" t="str">
        <f>IF(Matchday!N88="","",Matchday!N88)</f>
        <v/>
      </c>
      <c r="AO86" s="1" t="str">
        <f>IF(Matchday!P88="","",Matchday!P88)</f>
        <v/>
      </c>
      <c r="AP86" s="1" t="str">
        <f>IF(Matchday!Q88="","",Matchday!Q88)</f>
        <v/>
      </c>
      <c r="AQ86" s="1" t="str">
        <f>IF(Matchday!R88="","",Matchday!R88)</f>
        <v>H</v>
      </c>
      <c r="AR86" s="1" t="str">
        <f t="shared" si="15"/>
        <v/>
      </c>
      <c r="AS86" s="1" t="str">
        <f t="shared" si="16"/>
        <v/>
      </c>
      <c r="AT86" s="1" t="str">
        <f>IFERROR(__xludf.DUMMYFUNCTION("IF(AB86="""",""Type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pauses."")),IF(AH86=""BET"",IF(AJ86=0,""Edge found but stake rounds under £""&amp;Method!$B$9&amp;"" — skip"",IF(AND(AE86&gt;=6,AG86&gt;=0.15),""🟡 WAIT — long-shot review: odds ""&amp;TEXT(AE86,""0.00"")&amp;"" + edge ""&amp;TEXT(AG86,""0.0%"")"&amp;"&amp;"" — verify sharp-book + team news + stake comfort before Placed=Y"",""Value found: EV ""&amp;TEXT(AF86,""0.0%"")&amp;"", edge ""&amp;TEXT(AG86,""0.0%""))),IF(OR(AF86&gt;Method!$B$87,IFERROR(INDEX(BC86:BE86,1,AB86)/INDEX(S86:U86,1,AB86),0)&gt;Method!$B$88),""🛑 Tail trap "&amp;"— auto-PASS · EV ""&amp;TEXT(AF86,""0.0%"")&amp;"" (cap ""&amp;TEXT(Method!$B$87,""0%"")&amp;"") · model/market ""&amp;TEXT(IFERROR(INDEX(BC86:BE86,1,AB86)/INDEX(S86:U86,1,AB86),0),""0.0"")&amp;""× (cap ""&amp;TEXT(Method!$B$88,""0.0"")&amp;""×)"",IF(AF86&lt;Method!$B$7,""Price too short —"&amp;" EV ""&amp;TEXT(AF86,""0.0%"")&amp;"" (need ""&amp;TEXT(Method!$B$7,""0.0%"")&amp;""+)"",""Model ≈ market — edge ""&amp;TEXT(AG86,""0.0%"")&amp;"" (need ""&amp;TEXT(Method!$B$8,""0.0%"")&amp;""+)"")))))"),"Price too short — EV -0.2% (need 2.5%+)")</f>
        <v>Price too short — EV -0.2% (need 2.5%+)</v>
      </c>
      <c r="AU86" s="1" t="str">
        <f t="shared" si="17"/>
        <v/>
      </c>
      <c r="AV86" s="1" t="str">
        <f>IF(Matchday!O88="","",Matchday!O88)</f>
        <v/>
      </c>
      <c r="AW86" s="1"/>
      <c r="AX86" s="1"/>
      <c r="AY86" s="1"/>
      <c r="AZ86" s="1" t="str">
        <f t="shared" si="18"/>
        <v>PASS</v>
      </c>
      <c r="BA86" s="1">
        <f>IF(AX86&lt;&gt;"",AX86,IF(AH86&lt;&gt;"BET",0,IF(AI86*Method!$B$10/100&lt;Method!$B$9,0,ROUND(AI86*Method!$B$10/100,0))))</f>
        <v>0</v>
      </c>
      <c r="BB86" s="12">
        <v>-42.79</v>
      </c>
      <c r="BC86" s="12">
        <v>0.5232770419992537</v>
      </c>
      <c r="BD86" s="12">
        <v>0.2751250539423327</v>
      </c>
      <c r="BE86" s="12">
        <v>0.20159790405841366</v>
      </c>
      <c r="BF86" s="14" t="s">
        <v>397</v>
      </c>
      <c r="BG86" s="12">
        <v>0.0</v>
      </c>
      <c r="BH86" s="14" t="s">
        <v>283</v>
      </c>
    </row>
    <row r="87" ht="15.75" customHeight="1">
      <c r="A87" s="54">
        <v>86.0</v>
      </c>
      <c r="B87" s="77">
        <v>46206.0</v>
      </c>
      <c r="C87" s="55" t="s">
        <v>375</v>
      </c>
      <c r="D87" s="55" t="s">
        <v>80</v>
      </c>
      <c r="E87" s="55" t="s">
        <v>69</v>
      </c>
      <c r="F87" s="55" t="s">
        <v>398</v>
      </c>
      <c r="G87" s="78">
        <v>0.75</v>
      </c>
      <c r="H87" s="1"/>
      <c r="I87" s="54">
        <v>0.789026781029104</v>
      </c>
      <c r="J87" s="54">
        <v>0.16128341798895576</v>
      </c>
      <c r="K87" s="54">
        <v>0.04968980098194027</v>
      </c>
      <c r="L87" s="79">
        <f>IF(Matchday!E89="","",Matchday!E89)</f>
        <v>1.15</v>
      </c>
      <c r="M87" s="79">
        <f>IF(Matchday!F89="","",Matchday!F89)</f>
        <v>7.5</v>
      </c>
      <c r="N87" s="79">
        <f>IF(Matchday!G89="","",Matchday!G89)</f>
        <v>15</v>
      </c>
      <c r="O87" s="1">
        <f t="shared" ref="O87:Q87" si="185">IF(L87="","",1/L87)</f>
        <v>0.8695652174</v>
      </c>
      <c r="P87" s="1">
        <f t="shared" si="185"/>
        <v>0.1333333333</v>
      </c>
      <c r="Q87" s="1">
        <f t="shared" si="185"/>
        <v>0.06666666667</v>
      </c>
      <c r="R87" s="1">
        <f t="shared" si="4"/>
        <v>1.069565217</v>
      </c>
      <c r="S87" s="1">
        <f t="array" ref="S87">IF($R87="","",IF(Method!$B$56="proportional",O87/$R87,IF(Method!$B$56="power",IFERROR(INDEX(power_devig($L87,$M87,$N87),1,1),O87/$R87),IFERROR(INDEX(shin($L87,$M87,$N87),1,1),O87/$R87))))</f>
        <v>0.8377556763</v>
      </c>
      <c r="T87" s="1">
        <f t="array" ref="T87">IF($R87="","",IF(Method!$B$56="proportional",P87/$R87,IF(Method!$B$56="power",IFERROR(INDEX(power_devig($L87,$M87,$N87),2,1),P87/$R87),IFERROR(INDEX(shin($L87,$M87,$N87),2,1),P87/$R87))))</f>
        <v>0.1132750076</v>
      </c>
      <c r="U87" s="1">
        <f t="array" ref="U87">IF($R87="","",IF(Method!$B$56="proportional",Q87/$R87,IF(Method!$B$56="power",IFERROR(INDEX(power_devig($L87,$M87,$N87),3,1),Q87/$R87),IFERROR(INDEX(shin($L87,$M87,$N87),3,1),Q87/$R87))))</f>
        <v>0.0489693161</v>
      </c>
      <c r="V87" s="1">
        <f>IF(S87="","",Method!$B$4*IF(BC87="",I87,BC87)+(1-Method!$B$4)*S87/($S87+$T87+$U87))</f>
        <v>0.820700563</v>
      </c>
      <c r="W87" s="1">
        <f>IF(T87="","",Method!$B$4*IF(BD87="",J87,BD87)+(1-Method!$B$4)*T87/($S87+$T87+$U87))</f>
        <v>0.1300779512</v>
      </c>
      <c r="X87" s="1">
        <f>IF(U87="","",Method!$B$4*IF(BE87="",K87,BE87)+(1-Method!$B$4)*U87/($S87+$T87+$U87))</f>
        <v>0.04922148581</v>
      </c>
      <c r="Y87" s="1">
        <f t="shared" ref="Y87:AA87" si="186">IF(V87="","",V87*L87-1)</f>
        <v>-0.05619435261</v>
      </c>
      <c r="Z87" s="1">
        <f t="shared" si="186"/>
        <v>-0.02441536569</v>
      </c>
      <c r="AA87" s="1">
        <f t="shared" si="186"/>
        <v>-0.2616777129</v>
      </c>
      <c r="AB87" s="1">
        <f t="shared" si="6"/>
        <v>2</v>
      </c>
      <c r="AC87" s="1" t="str">
        <f t="shared" si="7"/>
        <v>D</v>
      </c>
      <c r="AD87" s="1" t="str">
        <f t="shared" si="8"/>
        <v>X  Draw</v>
      </c>
      <c r="AE87" s="79">
        <f t="shared" si="9"/>
        <v>7.5</v>
      </c>
      <c r="AF87" s="1">
        <f t="shared" si="10"/>
        <v>-0.02441536569</v>
      </c>
      <c r="AG87" s="1">
        <f t="shared" si="11"/>
        <v>0.01680294363</v>
      </c>
      <c r="AH87" s="1" t="str">
        <f t="array" ref="AH87">IF(AB87="","· enter odds",IF(OR(AF87&gt;Method!$B$87,IFERROR(INDEX(BC87:BE87,1,AB87)/INDEX(S87:U87,1,AB87),0)&gt;Method!$B$88),"PASS",IF(AND(AF87&gt;=Method!$B$7,AG87&gt;=Method!$B$8),"BET","PASS")))</f>
        <v>PASS</v>
      </c>
      <c r="AI87" s="1">
        <f>IF(AH87&lt;&gt;"BET",0,ROUND(MIN(Method!$B$6,Method!$B$5*AL87)*100,1))</f>
        <v>0</v>
      </c>
      <c r="AJ87" s="1">
        <f>IF(OR(AH87&lt;&gt;"BET",Method!$B$55=TRUE()),0,IF(AI87*Method!$B$10/100&lt;Method!$B$9,0,ROUND(AI87*Method!$B$10/100,0)))</f>
        <v>0</v>
      </c>
      <c r="AK87" s="1">
        <f t="shared" si="12"/>
        <v>0.1300779512</v>
      </c>
      <c r="AL87" s="1" t="str">
        <f t="shared" si="13"/>
        <v/>
      </c>
      <c r="AM87" s="1" t="str">
        <f t="shared" si="14"/>
        <v/>
      </c>
      <c r="AN87" s="1" t="str">
        <f>IF(Matchday!N89="","",Matchday!N89)</f>
        <v/>
      </c>
      <c r="AO87" s="1" t="str">
        <f>IF(Matchday!P89="","",Matchday!P89)</f>
        <v/>
      </c>
      <c r="AP87" s="1" t="str">
        <f>IF(Matchday!Q89="","",Matchday!Q89)</f>
        <v/>
      </c>
      <c r="AQ87" s="1" t="str">
        <f>IF(Matchday!R89="","",Matchday!R89)</f>
        <v>D</v>
      </c>
      <c r="AR87" s="1" t="str">
        <f t="shared" si="15"/>
        <v/>
      </c>
      <c r="AS87" s="1" t="str">
        <f t="shared" si="16"/>
        <v/>
      </c>
      <c r="AT87" s="1" t="str">
        <f>IFERROR(__xludf.DUMMYFUNCTION("IF(AB87="""",""Type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pauses."")),IF(AH87=""BET"",IF(AJ87=0,""Edge found but stake rounds under £""&amp;Method!$B$9&amp;"" — skip"",IF(AND(AE87&gt;=6,AG87&gt;=0.15),""🟡 WAIT — long-shot review: odds ""&amp;TEXT(AE87,""0.00"")&amp;"" + edge ""&amp;TEXT(AG87,""0.0%"")"&amp;"&amp;"" — verify sharp-book + team news + stake comfort before Placed=Y"",""Value found: EV ""&amp;TEXT(AF87,""0.0%"")&amp;"", edge ""&amp;TEXT(AG87,""0.0%""))),IF(OR(AF87&gt;Method!$B$87,IFERROR(INDEX(BC87:BE87,1,AB87)/INDEX(S87:U87,1,AB87),0)&gt;Method!$B$88),""🛑 Tail trap "&amp;"— auto-PASS · EV ""&amp;TEXT(AF87,""0.0%"")&amp;"" (cap ""&amp;TEXT(Method!$B$87,""0%"")&amp;"") · model/market ""&amp;TEXT(IFERROR(INDEX(BC87:BE87,1,AB87)/INDEX(S87:U87,1,AB87),0),""0.0"")&amp;""× (cap ""&amp;TEXT(Method!$B$88,""0.0"")&amp;""×)"",IF(AF87&lt;Method!$B$7,""Price too short —"&amp;" EV ""&amp;TEXT(AF87,""0.0%"")&amp;"" (need ""&amp;TEXT(Method!$B$7,""0.0%"")&amp;""+)"",""Model ≈ market — edge ""&amp;TEXT(AG87,""0.0%"")&amp;"" (need ""&amp;TEXT(Method!$B$8,""0.0%"")&amp;""+)"")))))"),"Price too short — EV -2.4% (need 2.5%+)")</f>
        <v>Price too short — EV -2.4% (need 2.5%+)</v>
      </c>
      <c r="AU87" s="1" t="str">
        <f t="shared" si="17"/>
        <v/>
      </c>
      <c r="AV87" s="1" t="str">
        <f>IF(Matchday!O89="","",Matchday!O89)</f>
        <v/>
      </c>
      <c r="AW87" s="1"/>
      <c r="AX87" s="1"/>
      <c r="AY87" s="1"/>
      <c r="AZ87" s="1" t="str">
        <f t="shared" si="18"/>
        <v>PASS</v>
      </c>
      <c r="BA87" s="1">
        <f>IF(AX87&lt;&gt;"",AX87,IF(AH87&lt;&gt;"BET",0,IF(AI87*Method!$B$10/100&lt;Method!$B$9,0,ROUND(AI87*Method!$B$10/100,0))))</f>
        <v>0</v>
      </c>
      <c r="BB87" s="12">
        <v>-5.460000000000001</v>
      </c>
      <c r="BC87" s="12">
        <v>0.789026781029104</v>
      </c>
      <c r="BD87" s="12">
        <v>0.16128341798895576</v>
      </c>
      <c r="BE87" s="12">
        <v>0.04968980098194027</v>
      </c>
      <c r="BF87" s="14" t="s">
        <v>399</v>
      </c>
      <c r="BG87" s="12">
        <v>0.0</v>
      </c>
    </row>
    <row r="88" ht="15.75" customHeight="1">
      <c r="A88" s="54">
        <v>87.0</v>
      </c>
      <c r="B88" s="77">
        <v>46206.0</v>
      </c>
      <c r="C88" s="55" t="s">
        <v>375</v>
      </c>
      <c r="D88" s="55" t="s">
        <v>91</v>
      </c>
      <c r="E88" s="55" t="s">
        <v>88</v>
      </c>
      <c r="F88" s="55" t="s">
        <v>400</v>
      </c>
      <c r="G88" s="78">
        <v>0.8541666666678793</v>
      </c>
      <c r="H88" s="1"/>
      <c r="I88" s="54">
        <v>0.7143649668670345</v>
      </c>
      <c r="J88" s="54">
        <v>0.19747358146365449</v>
      </c>
      <c r="K88" s="54">
        <v>0.08816145166931094</v>
      </c>
      <c r="L88" s="79">
        <f>IF(Matchday!E90="","",Matchday!E90)</f>
        <v>1.5</v>
      </c>
      <c r="M88" s="79">
        <f>IF(Matchday!F90="","",Matchday!F90)</f>
        <v>3.9</v>
      </c>
      <c r="N88" s="79">
        <f>IF(Matchday!G90="","",Matchday!G90)</f>
        <v>7</v>
      </c>
      <c r="O88" s="1">
        <f t="shared" ref="O88:Q88" si="187">IF(L88="","",1/L88)</f>
        <v>0.6666666667</v>
      </c>
      <c r="P88" s="1">
        <f t="shared" si="187"/>
        <v>0.2564102564</v>
      </c>
      <c r="Q88" s="1">
        <f t="shared" si="187"/>
        <v>0.1428571429</v>
      </c>
      <c r="R88" s="1">
        <f t="shared" si="4"/>
        <v>1.065934066</v>
      </c>
      <c r="S88" s="1">
        <f t="array" ref="S88">IF($R88="","",IF(Method!$B$56="proportional",O88/$R88,IF(Method!$B$56="power",IFERROR(INDEX(power_devig($L88,$M88,$N88),1,1),O88/$R88),IFERROR(INDEX(shin($L88,$M88,$N88),1,1),O88/$R88))))</f>
        <v>0.6396980534</v>
      </c>
      <c r="T88" s="1">
        <f t="array" ref="T88">IF($R88="","",IF(Method!$B$56="proportional",P88/$R88,IF(Method!$B$56="power",IFERROR(INDEX(power_devig($L88,$M88,$N88),2,1),P88/$R88),IFERROR(INDEX(shin($L88,$M88,$N88),2,1),P88/$R88))))</f>
        <v>0.2358550138</v>
      </c>
      <c r="U88" s="1">
        <f t="array" ref="U88">IF($R88="","",IF(Method!$B$56="proportional",Q88/$R88,IF(Method!$B$56="power",IFERROR(INDEX(power_devig($L88,$M88,$N88),3,1),Q88/$R88),IFERROR(INDEX(shin($L88,$M88,$N88),3,1),Q88/$R88))))</f>
        <v>0.1244469328</v>
      </c>
      <c r="V88" s="1">
        <f>IF(S88="","",Method!$B$4*IF(BC88="",I88,BC88)+(1-Method!$B$4)*S88/($S88+$T88+$U88))</f>
        <v>0.6658314731</v>
      </c>
      <c r="W88" s="1">
        <f>IF(T88="","",Method!$B$4*IF(BD88="",J88,BD88)+(1-Method!$B$4)*T88/($S88+$T88+$U88))</f>
        <v>0.2224215125</v>
      </c>
      <c r="X88" s="1">
        <f>IF(U88="","",Method!$B$4*IF(BE88="",K88,BE88)+(1-Method!$B$4)*U88/($S88+$T88+$U88))</f>
        <v>0.1117470144</v>
      </c>
      <c r="Y88" s="1">
        <f t="shared" ref="Y88:AA88" si="188">IF(V88="","",V88*L88-1)</f>
        <v>-0.001252790333</v>
      </c>
      <c r="Z88" s="1">
        <f t="shared" si="188"/>
        <v>-0.1325561013</v>
      </c>
      <c r="AA88" s="1">
        <f t="shared" si="188"/>
        <v>-0.2177708992</v>
      </c>
      <c r="AB88" s="1">
        <f t="shared" si="6"/>
        <v>1</v>
      </c>
      <c r="AC88" s="1" t="str">
        <f t="shared" si="7"/>
        <v>H</v>
      </c>
      <c r="AD88" s="1" t="str">
        <f t="shared" si="8"/>
        <v>1  Colombia</v>
      </c>
      <c r="AE88" s="79">
        <f t="shared" si="9"/>
        <v>1.5</v>
      </c>
      <c r="AF88" s="1">
        <f t="shared" si="10"/>
        <v>-0.001252790333</v>
      </c>
      <c r="AG88" s="1">
        <f t="shared" si="11"/>
        <v>0.02613341971</v>
      </c>
      <c r="AH88" s="1" t="str">
        <f t="array" ref="AH88">IF(AB88="","· enter odds",IF(OR(AF88&gt;Method!$B$87,IFERROR(INDEX(BC88:BE88,1,AB88)/INDEX(S88:U88,1,AB88),0)&gt;Method!$B$88),"PASS",IF(AND(AF88&gt;=Method!$B$7,AG88&gt;=Method!$B$8),"BET","PASS")))</f>
        <v>PASS</v>
      </c>
      <c r="AI88" s="1">
        <f>IF(AH88&lt;&gt;"BET",0,ROUND(MIN(Method!$B$6,Method!$B$5*AL88)*100,1))</f>
        <v>0</v>
      </c>
      <c r="AJ88" s="1">
        <f>IF(OR(AH88&lt;&gt;"BET",Method!$B$55=TRUE()),0,IF(AI88*Method!$B$10/100&lt;Method!$B$9,0,ROUND(AI88*Method!$B$10/100,0)))</f>
        <v>0</v>
      </c>
      <c r="AK88" s="1">
        <f t="shared" si="12"/>
        <v>0.6658314731</v>
      </c>
      <c r="AL88" s="1" t="str">
        <f t="shared" si="13"/>
        <v/>
      </c>
      <c r="AM88" s="1" t="str">
        <f t="shared" si="14"/>
        <v/>
      </c>
      <c r="AN88" s="1" t="str">
        <f>IF(Matchday!N90="","",Matchday!N90)</f>
        <v/>
      </c>
      <c r="AO88" s="1" t="str">
        <f>IF(Matchday!P90="","",Matchday!P90)</f>
        <v/>
      </c>
      <c r="AP88" s="1" t="str">
        <f>IF(Matchday!Q90="","",Matchday!Q90)</f>
        <v/>
      </c>
      <c r="AQ88" s="1" t="str">
        <f>IF(Matchday!R90="","",Matchday!R90)</f>
        <v>H</v>
      </c>
      <c r="AR88" s="1" t="str">
        <f t="shared" si="15"/>
        <v/>
      </c>
      <c r="AS88" s="1" t="str">
        <f t="shared" si="16"/>
        <v/>
      </c>
      <c r="AT88" s="1" t="str">
        <f>IFERROR(__xludf.DUMMYFUNCTION("IF(AB88="""",""Type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pauses."")),IF(AH88=""BET"",IF(AJ88=0,""Edge found but stake rounds under £""&amp;Method!$B$9&amp;"" — skip"",IF(AND(AE88&gt;=6,AG88&gt;=0.15),""🟡 WAIT — long-shot review: odds ""&amp;TEXT(AE88,""0.00"")&amp;"" + edge ""&amp;TEXT(AG88,""0.0%"")"&amp;"&amp;"" — verify sharp-book + team news + stake comfort before Placed=Y"",""Value found: EV ""&amp;TEXT(AF88,""0.0%"")&amp;"", edge ""&amp;TEXT(AG88,""0.0%""))),IF(OR(AF88&gt;Method!$B$87,IFERROR(INDEX(BC88:BE88,1,AB88)/INDEX(S88:U88,1,AB88),0)&gt;Method!$B$88),""🛑 Tail trap "&amp;"— auto-PASS · EV ""&amp;TEXT(AF88,""0.0%"")&amp;"" (cap ""&amp;TEXT(Method!$B$87,""0%"")&amp;"") · model/market ""&amp;TEXT(IFERROR(INDEX(BC88:BE88,1,AB88)/INDEX(S88:U88,1,AB88),0),""0.0"")&amp;""× (cap ""&amp;TEXT(Method!$B$88,""0.0"")&amp;""×)"",IF(AF88&lt;Method!$B$7,""Price too short —"&amp;" EV ""&amp;TEXT(AF88,""0.0%"")&amp;"" (need ""&amp;TEXT(Method!$B$7,""0.0%"")&amp;""+)"",""Model ≈ market — edge ""&amp;TEXT(AG88,""0.0%"")&amp;"" (need ""&amp;TEXT(Method!$B$8,""0.0%"")&amp;""+)"")))))"),"Price too short — EV -0.1% (need 2.5%+)")</f>
        <v>Price too short — EV -0.1% (need 2.5%+)</v>
      </c>
      <c r="AU88" s="1" t="str">
        <f t="shared" si="17"/>
        <v/>
      </c>
      <c r="AV88" s="1" t="str">
        <f>IF(Matchday!O90="","",Matchday!O90)</f>
        <v/>
      </c>
      <c r="AW88" s="1"/>
      <c r="AX88" s="1"/>
      <c r="AY88" s="1"/>
      <c r="AZ88" s="1" t="str">
        <f t="shared" si="18"/>
        <v>PASS</v>
      </c>
      <c r="BA88" s="1">
        <f>IF(AX88&lt;&gt;"",AX88,IF(AH88&lt;&gt;"BET",0,IF(AI88*Method!$B$10/100&lt;Method!$B$9,0,ROUND(AI88*Method!$B$10/100,0))))</f>
        <v>0</v>
      </c>
      <c r="BB88" s="12">
        <v>-8.73</v>
      </c>
      <c r="BC88" s="12">
        <v>0.7143649668670345</v>
      </c>
      <c r="BD88" s="12">
        <v>0.19747358146365449</v>
      </c>
      <c r="BE88" s="12">
        <v>0.08816145166931094</v>
      </c>
      <c r="BF88" s="14" t="s">
        <v>401</v>
      </c>
      <c r="BG88" s="12">
        <v>270.0</v>
      </c>
      <c r="BH88" s="14" t="s">
        <v>314</v>
      </c>
    </row>
    <row r="89" ht="15.75" customHeight="1">
      <c r="A89" s="54">
        <v>88.0</v>
      </c>
      <c r="B89" s="77">
        <v>46206.0</v>
      </c>
      <c r="C89" s="55" t="s">
        <v>375</v>
      </c>
      <c r="D89" s="55" t="s">
        <v>58</v>
      </c>
      <c r="E89" s="55" t="s">
        <v>71</v>
      </c>
      <c r="F89" s="55" t="s">
        <v>386</v>
      </c>
      <c r="G89" s="78">
        <v>0.5416666666678793</v>
      </c>
      <c r="H89" s="1"/>
      <c r="I89" s="54">
        <v>0.4119897208959886</v>
      </c>
      <c r="J89" s="54">
        <v>0.31566950539224004</v>
      </c>
      <c r="K89" s="54">
        <v>0.27234077371177134</v>
      </c>
      <c r="L89" s="79">
        <f>IF(Matchday!E91="","",Matchday!E91)</f>
        <v>3.4</v>
      </c>
      <c r="M89" s="79">
        <f>IF(Matchday!F91="","",Matchday!F91)</f>
        <v>2.8</v>
      </c>
      <c r="N89" s="79">
        <f>IF(Matchday!G91="","",Matchday!G91)</f>
        <v>2.45</v>
      </c>
      <c r="O89" s="1">
        <f t="shared" ref="O89:Q89" si="189">IF(L89="","",1/L89)</f>
        <v>0.2941176471</v>
      </c>
      <c r="P89" s="1">
        <f t="shared" si="189"/>
        <v>0.3571428571</v>
      </c>
      <c r="Q89" s="1">
        <f t="shared" si="189"/>
        <v>0.4081632653</v>
      </c>
      <c r="R89" s="1">
        <f t="shared" si="4"/>
        <v>1.05942377</v>
      </c>
      <c r="S89" s="1">
        <f t="array" ref="S89">IF($R89="","",IF(Method!$B$56="proportional",O89/$R89,IF(Method!$B$56="power",IFERROR(INDEX(power_devig($L89,$M89,$N89),1,1),O89/$R89),IFERROR(INDEX(shin($L89,$M89,$N89),1,1),O89/$R89))))</f>
        <v>0.2751783949</v>
      </c>
      <c r="T89" s="1">
        <f t="array" ref="T89">IF($R89="","",IF(Method!$B$56="proportional",P89/$R89,IF(Method!$B$56="power",IFERROR(INDEX(power_devig($L89,$M89,$N89),2,1),P89/$R89),IFERROR(INDEX(shin($L89,$M89,$N89),2,1),P89/$R89))))</f>
        <v>0.3372703105</v>
      </c>
      <c r="U89" s="1">
        <f t="array" ref="U89">IF($R89="","",IF(Method!$B$56="proportional",Q89/$R89,IF(Method!$B$56="power",IFERROR(INDEX(power_devig($L89,$M89,$N89),3,1),Q89/$R89),IFERROR(INDEX(shin($L89,$M89,$N89),3,1),Q89/$R89))))</f>
        <v>0.3875512945</v>
      </c>
      <c r="V89" s="1">
        <f>IF(S89="","",Method!$B$4*IF(BC89="",I89,BC89)+(1-Method!$B$4)*S89/($S89+$T89+$U89))</f>
        <v>0.323062359</v>
      </c>
      <c r="W89" s="1">
        <f>IF(T89="","",Method!$B$4*IF(BD89="",J89,BD89)+(1-Method!$B$4)*T89/($S89+$T89+$U89))</f>
        <v>0.3297100287</v>
      </c>
      <c r="X89" s="1">
        <f>IF(U89="","",Method!$B$4*IF(BE89="",K89,BE89)+(1-Method!$B$4)*U89/($S89+$T89+$U89))</f>
        <v>0.3472276123</v>
      </c>
      <c r="Y89" s="1">
        <f t="shared" ref="Y89:AA89" si="190">IF(V89="","",V89*L89-1)</f>
        <v>0.09841202068</v>
      </c>
      <c r="Z89" s="1">
        <f t="shared" si="190"/>
        <v>-0.07681191958</v>
      </c>
      <c r="AA89" s="1">
        <f t="shared" si="190"/>
        <v>-0.14929235</v>
      </c>
      <c r="AB89" s="1">
        <f t="shared" si="6"/>
        <v>1</v>
      </c>
      <c r="AC89" s="1" t="str">
        <f t="shared" si="7"/>
        <v>H</v>
      </c>
      <c r="AD89" s="1" t="str">
        <f t="shared" si="8"/>
        <v>1  Australia</v>
      </c>
      <c r="AE89" s="79">
        <f t="shared" si="9"/>
        <v>3.4</v>
      </c>
      <c r="AF89" s="1">
        <f t="shared" si="10"/>
        <v>0.09841202068</v>
      </c>
      <c r="AG89" s="1">
        <f t="shared" si="11"/>
        <v>0.04788396409</v>
      </c>
      <c r="AH89" s="1" t="str">
        <f t="array" ref="AH89">IF(AB89="","· enter odds",IF(OR(AF89&gt;Method!$B$87,IFERROR(INDEX(BC89:BE89,1,AB89)/INDEX(S89:U89,1,AB89),0)&gt;Method!$B$88),"PASS",IF(AND(AF89&gt;=Method!$B$7,AG89&gt;=Method!$B$8),"BET","PASS")))</f>
        <v>BET</v>
      </c>
      <c r="AI89" s="1">
        <f>IF(AH89&lt;&gt;"BET",0,ROUND(MIN(Method!$B$6,Method!$B$5*AL89)*100,1))</f>
        <v>1</v>
      </c>
      <c r="AJ89" s="1">
        <f>IF(OR(AH89&lt;&gt;"BET",Method!$B$55=TRUE()),0,IF(AI89*Method!$B$10/100&lt;Method!$B$9,0,ROUND(AI89*Method!$B$10/100,0)))</f>
        <v>10</v>
      </c>
      <c r="AK89" s="1">
        <f t="shared" si="12"/>
        <v>0.323062359</v>
      </c>
      <c r="AL89" s="1">
        <f t="shared" si="13"/>
        <v>0.04100500862</v>
      </c>
      <c r="AM89" s="1">
        <f t="shared" si="14"/>
        <v>0.09850002068</v>
      </c>
      <c r="AN89" s="1" t="str">
        <f>IF(Matchday!N91="","",Matchday!N91)</f>
        <v/>
      </c>
      <c r="AO89" s="1" t="str">
        <f>IF(Matchday!P91="","",Matchday!P91)</f>
        <v/>
      </c>
      <c r="AP89" s="1" t="str">
        <f>IF(Matchday!Q91="","",Matchday!Q91)</f>
        <v/>
      </c>
      <c r="AQ89" s="1" t="str">
        <f>IF(Matchday!R91="","",Matchday!R91)</f>
        <v>D</v>
      </c>
      <c r="AR89" s="1" t="str">
        <f t="shared" si="15"/>
        <v/>
      </c>
      <c r="AS89" s="1" t="str">
        <f t="shared" si="16"/>
        <v/>
      </c>
      <c r="AT89" s="1" t="str">
        <f>IFERROR(__xludf.DUMMYFUNCTION("IF(AB89="""",""Type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pauses."")),IF(AH89=""BET"",IF(AJ89=0,""Edge found but stake rounds under £""&amp;Method!$B$9&amp;"" — skip"",IF(AND(AE89&gt;=6,AG89&gt;=0.15),""🟡 WAIT — long-shot review: odds ""&amp;TEXT(AE89,""0.00"")&amp;"" + edge ""&amp;TEXT(AG89,""0.0%"")"&amp;"&amp;"" — verify sharp-book + team news + stake comfort before Placed=Y"",""Value found: EV ""&amp;TEXT(AF89,""0.0%"")&amp;"", edge ""&amp;TEXT(AG89,""0.0%""))),IF(OR(AF89&gt;Method!$B$87,IFERROR(INDEX(BC89:BE89,1,AB89)/INDEX(S89:U89,1,AB89),0)&gt;Method!$B$88),""🛑 Tail trap "&amp;"— auto-PASS · EV ""&amp;TEXT(AF89,""0.0%"")&amp;"" (cap ""&amp;TEXT(Method!$B$87,""0%"")&amp;"") · model/market ""&amp;TEXT(IFERROR(INDEX(BC89:BE89,1,AB89)/INDEX(S89:U89,1,AB89),0),""0.0"")&amp;""× (cap ""&amp;TEXT(Method!$B$88,""0.0"")&amp;""×)"",IF(AF89&lt;Method!$B$7,""Price too short —"&amp;" EV ""&amp;TEXT(AF89,""0.0%"")&amp;"" (need ""&amp;TEXT(Method!$B$7,""0.0%"")&amp;""+)"",""Model ≈ market — edge ""&amp;TEXT(AG89,""0.0%"")&amp;"" (need ""&amp;TEXT(Method!$B$8,""0.0%"")&amp;""+)"")))))"),"Value found: EV 9.8%, edge 4.8%")</f>
        <v>Value found: EV 9.8%, edge 4.8%</v>
      </c>
      <c r="AU89" s="1" t="str">
        <f t="shared" si="17"/>
        <v/>
      </c>
      <c r="AV89" s="1" t="str">
        <f>IF(Matchday!O91="","",Matchday!O91)</f>
        <v/>
      </c>
      <c r="AW89" s="1"/>
      <c r="AX89" s="1"/>
      <c r="AY89" s="1"/>
      <c r="AZ89" s="1" t="str">
        <f t="shared" si="18"/>
        <v>BET</v>
      </c>
      <c r="BA89" s="1">
        <f>IF(AX89&lt;&gt;"",AX89,IF(AH89&lt;&gt;"BET",0,IF(AI89*Method!$B$10/100&lt;Method!$B$9,0,ROUND(AI89*Method!$B$10/100,0))))</f>
        <v>10</v>
      </c>
      <c r="BB89" s="12">
        <v>-52.6</v>
      </c>
      <c r="BC89" s="12">
        <v>0.4119897208959886</v>
      </c>
      <c r="BD89" s="12">
        <v>0.31566950539224004</v>
      </c>
      <c r="BE89" s="12">
        <v>0.27234077371177134</v>
      </c>
      <c r="BF89" s="14" t="s">
        <v>402</v>
      </c>
      <c r="BG89" s="12">
        <v>0.0</v>
      </c>
    </row>
    <row r="90" ht="15.75" customHeight="1">
      <c r="A90" s="54">
        <v>89.0</v>
      </c>
      <c r="B90" s="77">
        <v>46207.0</v>
      </c>
      <c r="C90" s="55" t="s">
        <v>403</v>
      </c>
      <c r="D90" s="55" t="s">
        <v>51</v>
      </c>
      <c r="E90" s="55" t="s">
        <v>76</v>
      </c>
      <c r="F90" s="55" t="s">
        <v>404</v>
      </c>
      <c r="G90" s="78">
        <v>0.7083333333321207</v>
      </c>
      <c r="H90" s="1"/>
      <c r="I90" s="54">
        <v>0.13443487109308652</v>
      </c>
      <c r="J90" s="54">
        <v>0.23514969280899314</v>
      </c>
      <c r="K90" s="54">
        <v>0.6304154360979204</v>
      </c>
      <c r="L90" s="79">
        <f>IF(Matchday!E92="","",Matchday!E92)</f>
        <v>19</v>
      </c>
      <c r="M90" s="79">
        <f>IF(Matchday!F92="","",Matchday!F92)</f>
        <v>7</v>
      </c>
      <c r="N90" s="79">
        <f>IF(Matchday!G92="","",Matchday!G92)</f>
        <v>1.18</v>
      </c>
      <c r="O90" s="1">
        <f t="shared" ref="O90:Q90" si="191">IF(L90="","",1/L90)</f>
        <v>0.05263157895</v>
      </c>
      <c r="P90" s="1">
        <f t="shared" si="191"/>
        <v>0.1428571429</v>
      </c>
      <c r="Q90" s="1">
        <f t="shared" si="191"/>
        <v>0.8474576271</v>
      </c>
      <c r="R90" s="1">
        <f t="shared" si="4"/>
        <v>1.042946349</v>
      </c>
      <c r="S90" s="1">
        <f t="array" ref="S90">IF($R90="","",IF(Method!$B$56="proportional",O90/$R90,IF(Method!$B$56="power",IFERROR(INDEX(power_devig($L90,$M90,$N90),1,1),O90/$R90),IFERROR(INDEX(shin($L90,$M90,$N90),1,1),O90/$R90))))</f>
        <v>0.04178159166</v>
      </c>
      <c r="T90" s="1">
        <f t="array" ref="T90">IF($R90="","",IF(Method!$B$56="proportional",P90/$R90,IF(Method!$B$56="power",IFERROR(INDEX(power_devig($L90,$M90,$N90),2,1),P90/$R90),IFERROR(INDEX(shin($L90,$M90,$N90),2,1),P90/$R90))))</f>
        <v>0.1303470432</v>
      </c>
      <c r="U90" s="1">
        <f t="array" ref="U90">IF($R90="","",IF(Method!$B$56="proportional",Q90/$R90,IF(Method!$B$56="power",IFERROR(INDEX(power_devig($L90,$M90,$N90),3,1),Q90/$R90),IFERROR(INDEX(shin($L90,$M90,$N90),3,1),Q90/$R90))))</f>
        <v>0.8278713652</v>
      </c>
      <c r="V90" s="1">
        <f>IF(S90="","",Method!$B$4*IF(BC90="",I90,BC90)+(1-Method!$B$4)*S90/($S90+$T90+$U90))</f>
        <v>0.07421023946</v>
      </c>
      <c r="W90" s="1">
        <f>IF(T90="","",Method!$B$4*IF(BD90="",J90,BD90)+(1-Method!$B$4)*T90/($S90+$T90+$U90))</f>
        <v>0.1670279705</v>
      </c>
      <c r="X90" s="1">
        <f>IF(U90="","",Method!$B$4*IF(BE90="",K90,BE90)+(1-Method!$B$4)*U90/($S90+$T90+$U90))</f>
        <v>0.75876179</v>
      </c>
      <c r="Y90" s="1">
        <f t="shared" ref="Y90:AA90" si="192">IF(V90="","",V90*L90-1)</f>
        <v>0.4099945497</v>
      </c>
      <c r="Z90" s="1">
        <f t="shared" si="192"/>
        <v>0.1691957938</v>
      </c>
      <c r="AA90" s="1">
        <f t="shared" si="192"/>
        <v>-0.1046610878</v>
      </c>
      <c r="AB90" s="1">
        <f t="shared" si="6"/>
        <v>1</v>
      </c>
      <c r="AC90" s="1" t="str">
        <f t="shared" si="7"/>
        <v>H</v>
      </c>
      <c r="AD90" s="1" t="str">
        <f t="shared" si="8"/>
        <v>1  Paraguay</v>
      </c>
      <c r="AE90" s="79">
        <f t="shared" si="9"/>
        <v>19</v>
      </c>
      <c r="AF90" s="1">
        <f t="shared" si="10"/>
        <v>0.4099945497</v>
      </c>
      <c r="AG90" s="1">
        <f t="shared" si="11"/>
        <v>0.0324286478</v>
      </c>
      <c r="AH90" s="1" t="str">
        <f t="array" ref="AH90">IF(AB90="","· enter odds",IF(OR(AF90&gt;Method!$B$87,IFERROR(INDEX(BC90:BE90,1,AB90)/INDEX(S90:U90,1,AB90),0)&gt;Method!$B$88),"PASS",IF(AND(AF90&gt;=Method!$B$7,AG90&gt;=Method!$B$8),"BET","PASS")))</f>
        <v>PASS</v>
      </c>
      <c r="AI90" s="1">
        <f>IF(AH90&lt;&gt;"BET",0,ROUND(MIN(Method!$B$6,Method!$B$5*AL90)*100,1))</f>
        <v>0</v>
      </c>
      <c r="AJ90" s="1">
        <f>IF(OR(AH90&lt;&gt;"BET",Method!$B$55=TRUE()),0,IF(AI90*Method!$B$10/100&lt;Method!$B$9,0,ROUND(AI90*Method!$B$10/100,0)))</f>
        <v>0</v>
      </c>
      <c r="AK90" s="1">
        <f t="shared" si="12"/>
        <v>0.07421023946</v>
      </c>
      <c r="AL90" s="1" t="str">
        <f t="shared" si="13"/>
        <v/>
      </c>
      <c r="AM90" s="1" t="str">
        <f t="shared" si="14"/>
        <v/>
      </c>
      <c r="AN90" s="1" t="str">
        <f>IF(Matchday!N92="","",Matchday!N92)</f>
        <v/>
      </c>
      <c r="AO90" s="1" t="str">
        <f>IF(Matchday!P92="","",Matchday!P92)</f>
        <v/>
      </c>
      <c r="AP90" s="1" t="str">
        <f>IF(Matchday!Q92="","",Matchday!Q92)</f>
        <v/>
      </c>
      <c r="AQ90" s="1" t="str">
        <f>IF(Matchday!R92="","",Matchday!R92)</f>
        <v>A</v>
      </c>
      <c r="AR90" s="1" t="str">
        <f t="shared" si="15"/>
        <v/>
      </c>
      <c r="AS90" s="1" t="str">
        <f t="shared" si="16"/>
        <v/>
      </c>
      <c r="AT90" s="1" t="str">
        <f>IFERROR(__xludf.DUMMYFUNCTION("IF(AB90="""",""Type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pauses."")),IF(AH90=""BET"",IF(AJ90=0,""Edge found but stake rounds under £""&amp;Method!$B$9&amp;"" — skip"",IF(AND(AE90&gt;=6,AG90&gt;=0.15),""🟡 WAIT — long-shot review: odds ""&amp;TEXT(AE90,""0.00"")&amp;"" + edge ""&amp;TEXT(AG90,""0.0%"")"&amp;"&amp;"" — verify sharp-book + team news + stake comfort before Placed=Y"",""Value found: EV ""&amp;TEXT(AF90,""0.0%"")&amp;"", edge ""&amp;TEXT(AG90,""0.0%""))),IF(OR(AF90&gt;Method!$B$87,IFERROR(INDEX(BC90:BE90,1,AB90)/INDEX(S90:U90,1,AB90),0)&gt;Method!$B$88),""🛑 Tail trap "&amp;"— auto-PASS · EV ""&amp;TEXT(AF90,""0.0%"")&amp;"" (cap ""&amp;TEXT(Method!$B$87,""0%"")&amp;"") · model/market ""&amp;TEXT(IFERROR(INDEX(BC90:BE90,1,AB90)/INDEX(S90:U90,1,AB90),0),""0.0"")&amp;""× (cap ""&amp;TEXT(Method!$B$88,""0.0"")&amp;""×)"",IF(AF90&lt;Method!$B$7,""Price too short —"&amp;" EV ""&amp;TEXT(AF90,""0.0%"")&amp;"" (need ""&amp;TEXT(Method!$B$7,""0.0%"")&amp;""+)"",""Model ≈ market — edge ""&amp;TEXT(AG90,""0.0%"")&amp;"" (need ""&amp;TEXT(Method!$B$8,""0.0%"")&amp;""+)"")))))"),"🛑 Tail trap — auto-PASS · EV 41.0% (cap 30%) · model/market 3.2× (cap 2.5×)")</f>
        <v>🛑 Tail trap — auto-PASS · EV 41.0% (cap 30%) · model/market 3.2× (cap 2.5×)</v>
      </c>
      <c r="AU90" s="1" t="str">
        <f t="shared" si="17"/>
        <v/>
      </c>
      <c r="AV90" s="1" t="str">
        <f>IF(Matchday!O92="","",Matchday!O92)</f>
        <v/>
      </c>
      <c r="AW90" s="1"/>
      <c r="AX90" s="1"/>
      <c r="AY90" s="1"/>
      <c r="AZ90" s="1" t="str">
        <f t="shared" si="18"/>
        <v>PASS</v>
      </c>
      <c r="BA90" s="1">
        <f>IF(AX90&lt;&gt;"",AX90,IF(AH90&lt;&gt;"BET",0,IF(AI90*Method!$B$10/100&lt;Method!$B$9,0,ROUND(AI90*Method!$B$10/100,0))))</f>
        <v>0</v>
      </c>
      <c r="BB90" s="12">
        <v>-18.0</v>
      </c>
      <c r="BC90" s="12">
        <v>0.13443487109308652</v>
      </c>
      <c r="BD90" s="12">
        <v>0.23514969280899314</v>
      </c>
      <c r="BE90" s="12">
        <v>0.6304154360979204</v>
      </c>
      <c r="BF90" s="14" t="s">
        <v>405</v>
      </c>
      <c r="BG90" s="12">
        <v>12.0</v>
      </c>
      <c r="BH90" s="14" t="s">
        <v>262</v>
      </c>
    </row>
    <row r="91" ht="15.75" customHeight="1">
      <c r="A91" s="54">
        <v>90.0</v>
      </c>
      <c r="B91" s="77">
        <v>46207.0</v>
      </c>
      <c r="C91" s="55" t="s">
        <v>403</v>
      </c>
      <c r="D91" s="55" t="s">
        <v>48</v>
      </c>
      <c r="E91" s="55" t="s">
        <v>55</v>
      </c>
      <c r="F91" s="55" t="s">
        <v>382</v>
      </c>
      <c r="G91" s="78">
        <v>0.5</v>
      </c>
      <c r="H91" s="1"/>
      <c r="I91" s="54">
        <v>0.24723313045197254</v>
      </c>
      <c r="J91" s="54">
        <v>0.316229760044782</v>
      </c>
      <c r="K91" s="54">
        <v>0.4365371095032455</v>
      </c>
      <c r="L91" s="79">
        <f>IF(Matchday!E93="","",Matchday!E93)</f>
        <v>5.6</v>
      </c>
      <c r="M91" s="80">
        <f>IF(Matchday!F93="","",Matchday!F93)</f>
        <v>3.5</v>
      </c>
      <c r="N91" s="80">
        <f>IF(Matchday!G93="","",Matchday!G93)</f>
        <v>1.72</v>
      </c>
      <c r="O91" s="1">
        <f t="shared" ref="O91:Q91" si="193">IF(L91="","",1/L91)</f>
        <v>0.1785714286</v>
      </c>
      <c r="P91" s="1">
        <f t="shared" si="193"/>
        <v>0.2857142857</v>
      </c>
      <c r="Q91" s="1">
        <f t="shared" si="193"/>
        <v>0.5813953488</v>
      </c>
      <c r="R91" s="1">
        <f t="shared" si="4"/>
        <v>1.045681063</v>
      </c>
      <c r="S91" s="1">
        <f t="array" ref="S91">IF($R91="","",IF(Method!$B$56="proportional",O91/$R91,IF(Method!$B$56="power",IFERROR(INDEX(power_devig($L91,$M91,$N91),1,1),O91/$R91),IFERROR(INDEX(shin($L91,$M91,$N91),1,1),O91/$R91))))</f>
        <v>0.1652931309</v>
      </c>
      <c r="T91" s="1">
        <f t="array" ref="T91">IF($R91="","",IF(Method!$B$56="proportional",P91/$R91,IF(Method!$B$56="power",IFERROR(INDEX(power_devig($L91,$M91,$N91),2,1),P91/$R91),IFERROR(INDEX(shin($L91,$M91,$N91),2,1),P91/$R91))))</f>
        <v>0.2711488378</v>
      </c>
      <c r="U91" s="1">
        <f t="array" ref="U91">IF($R91="","",IF(Method!$B$56="proportional",Q91/$R91,IF(Method!$B$56="power",IFERROR(INDEX(power_devig($L91,$M91,$N91),3,1),Q91/$R91),IFERROR(INDEX(shin($L91,$M91,$N91),3,1),Q91/$R91))))</f>
        <v>0.5635580313</v>
      </c>
      <c r="V91" s="1">
        <f>IF(S91="","",Method!$B$4*IF(BC91="",I91,BC91)+(1-Method!$B$4)*S91/($S91+$T91+$U91))</f>
        <v>0.1939721307</v>
      </c>
      <c r="W91" s="1">
        <f>IF(T91="","",Method!$B$4*IF(BD91="",J91,BD91)+(1-Method!$B$4)*T91/($S91+$T91+$U91))</f>
        <v>0.2869271606</v>
      </c>
      <c r="X91" s="1">
        <f>IF(U91="","",Method!$B$4*IF(BE91="",K91,BE91)+(1-Method!$B$4)*U91/($S91+$T91+$U91))</f>
        <v>0.5191007087</v>
      </c>
      <c r="Y91" s="1">
        <f t="shared" ref="Y91:AA91" si="194">IF(V91="","",V91*L91-1)</f>
        <v>0.08624393209</v>
      </c>
      <c r="Z91" s="1">
        <f t="shared" si="194"/>
        <v>0.004245062106</v>
      </c>
      <c r="AA91" s="1">
        <f t="shared" si="194"/>
        <v>-0.1071467811</v>
      </c>
      <c r="AB91" s="1">
        <f t="shared" si="6"/>
        <v>1</v>
      </c>
      <c r="AC91" s="1" t="str">
        <f t="shared" si="7"/>
        <v>H</v>
      </c>
      <c r="AD91" s="1" t="str">
        <f t="shared" si="8"/>
        <v>1  Canada</v>
      </c>
      <c r="AE91" s="79">
        <f t="shared" si="9"/>
        <v>5.6</v>
      </c>
      <c r="AF91" s="1">
        <f t="shared" si="10"/>
        <v>0.08624393209</v>
      </c>
      <c r="AG91" s="1">
        <f t="shared" si="11"/>
        <v>0.02867899985</v>
      </c>
      <c r="AH91" s="1" t="str">
        <f t="array" ref="AH91">IF(AB91="","· enter odds",IF(OR(AF91&gt;Method!$B$87,IFERROR(INDEX(BC91:BE91,1,AB91)/INDEX(S91:U91,1,AB91),0)&gt;Method!$B$88),"PASS",IF(AND(AF91&gt;=Method!$B$7,AG91&gt;=Method!$B$8),"BET","PASS")))</f>
        <v>BET</v>
      </c>
      <c r="AI91" s="1">
        <f>IF(AH91&lt;&gt;"BET",0,ROUND(MIN(Method!$B$6,Method!$B$5*AL91)*100,1))</f>
        <v>0.5</v>
      </c>
      <c r="AJ91" s="1">
        <f>IF(OR(AH91&lt;&gt;"BET",Method!$B$55=TRUE()),0,IF(AI91*Method!$B$10/100&lt;Method!$B$9,0,ROUND(AI91*Method!$B$10/100,0)))</f>
        <v>5</v>
      </c>
      <c r="AK91" s="1">
        <f t="shared" si="12"/>
        <v>0.1939721307</v>
      </c>
      <c r="AL91" s="1">
        <f t="shared" si="13"/>
        <v>0.01874868089</v>
      </c>
      <c r="AM91" s="1">
        <f t="shared" si="14"/>
        <v>0.08633393209</v>
      </c>
      <c r="AN91" s="1" t="str">
        <f>IF(Matchday!N93="","",Matchday!N93)</f>
        <v/>
      </c>
      <c r="AO91" s="1" t="str">
        <f>IF(Matchday!P93="","",Matchday!P93)</f>
        <v/>
      </c>
      <c r="AP91" s="1" t="str">
        <f>IF(Matchday!Q93="","",Matchday!Q93)</f>
        <v/>
      </c>
      <c r="AQ91" s="1" t="str">
        <f>IF(Matchday!R93="","",Matchday!R93)</f>
        <v>A</v>
      </c>
      <c r="AR91" s="1" t="str">
        <f t="shared" si="15"/>
        <v/>
      </c>
      <c r="AS91" s="1" t="str">
        <f t="shared" si="16"/>
        <v/>
      </c>
      <c r="AT91" s="1" t="str">
        <f>IFERROR(__xludf.DUMMYFUNCTION("IF(AB91="""",""Type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pauses."")),IF(AH91=""BET"",IF(AJ91=0,""Edge found but stake rounds under £""&amp;Method!$B$9&amp;"" — skip"",IF(AND(AE91&gt;=6,AG91&gt;=0.15),""🟡 WAIT — long-shot review: odds ""&amp;TEXT(AE91,""0.00"")&amp;"" + edge ""&amp;TEXT(AG91,""0.0%"")"&amp;"&amp;"" — verify sharp-book + team news + stake comfort before Placed=Y"",""Value found: EV ""&amp;TEXT(AF91,""0.0%"")&amp;"", edge ""&amp;TEXT(AG91,""0.0%""))),IF(OR(AF91&gt;Method!$B$87,IFERROR(INDEX(BC91:BE91,1,AB91)/INDEX(S91:U91,1,AB91),0)&gt;Method!$B$88),""🛑 Tail trap "&amp;"— auto-PASS · EV ""&amp;TEXT(AF91,""0.0%"")&amp;"" (cap ""&amp;TEXT(Method!$B$87,""0%"")&amp;"") · model/market ""&amp;TEXT(IFERROR(INDEX(BC91:BE91,1,AB91)/INDEX(S91:U91,1,AB91),0),""0.0"")&amp;""× (cap ""&amp;TEXT(Method!$B$88,""0.0"")&amp;""×)"",IF(AF91&lt;Method!$B$7,""Price too short —"&amp;" EV ""&amp;TEXT(AF91,""0.0%"")&amp;"" (need ""&amp;TEXT(Method!$B$7,""0.0%"")&amp;""+)"",""Model ≈ market — edge ""&amp;TEXT(AG91,""0.0%"")&amp;"" (need ""&amp;TEXT(Method!$B$8,""0.0%"")&amp;""+)"")))))"),"Value found: EV 8.6%, edge 2.9%")</f>
        <v>Value found: EV 8.6%, edge 2.9%</v>
      </c>
      <c r="AU91" s="1" t="str">
        <f t="shared" si="17"/>
        <v/>
      </c>
      <c r="AV91" s="1" t="str">
        <f>IF(Matchday!O93="","",Matchday!O93)</f>
        <v/>
      </c>
      <c r="AW91" s="1"/>
      <c r="AX91" s="1"/>
      <c r="AY91" s="1"/>
      <c r="AZ91" s="1" t="str">
        <f t="shared" si="18"/>
        <v>BET</v>
      </c>
      <c r="BA91" s="1">
        <f>IF(AX91&lt;&gt;"",AX91,IF(AH91&lt;&gt;"BET",0,IF(AI91*Method!$B$10/100&lt;Method!$B$9,0,ROUND(AI91*Method!$B$10/100,0))))</f>
        <v>5</v>
      </c>
      <c r="BB91" s="12">
        <v>-15.99</v>
      </c>
      <c r="BC91" s="12">
        <v>0.24723313045197254</v>
      </c>
      <c r="BD91" s="12">
        <v>0.316229760044782</v>
      </c>
      <c r="BE91" s="12">
        <v>0.4365371095032455</v>
      </c>
      <c r="BF91" s="14" t="s">
        <v>406</v>
      </c>
      <c r="BG91" s="12">
        <v>15.0</v>
      </c>
      <c r="BH91" s="14" t="s">
        <v>287</v>
      </c>
    </row>
    <row r="92" ht="15.75" customHeight="1">
      <c r="A92" s="54">
        <v>91.0</v>
      </c>
      <c r="B92" s="77">
        <v>46208.0</v>
      </c>
      <c r="C92" s="55" t="s">
        <v>403</v>
      </c>
      <c r="D92" s="55" t="s">
        <v>54</v>
      </c>
      <c r="E92" s="55" t="s">
        <v>79</v>
      </c>
      <c r="F92" s="55" t="s">
        <v>384</v>
      </c>
      <c r="G92" s="78">
        <v>0.6666666666678793</v>
      </c>
      <c r="H92" s="1"/>
      <c r="I92" s="54">
        <v>0.4016462679716767</v>
      </c>
      <c r="J92" s="54">
        <v>0.28130197712736704</v>
      </c>
      <c r="K92" s="54">
        <v>0.3170517549009563</v>
      </c>
      <c r="L92" s="79">
        <f>IF(Matchday!E94="","",Matchday!E94)</f>
        <v>1.85</v>
      </c>
      <c r="M92" s="79">
        <f>IF(Matchday!F94="","",Matchday!F94)</f>
        <v>3.75</v>
      </c>
      <c r="N92" s="79">
        <f>IF(Matchday!G94="","",Matchday!G94)</f>
        <v>4.5</v>
      </c>
      <c r="O92" s="1">
        <f t="shared" ref="O92:Q92" si="195">IF(L92="","",1/L92)</f>
        <v>0.5405405405</v>
      </c>
      <c r="P92" s="1">
        <f t="shared" si="195"/>
        <v>0.2666666667</v>
      </c>
      <c r="Q92" s="1">
        <f t="shared" si="195"/>
        <v>0.2222222222</v>
      </c>
      <c r="R92" s="1">
        <f t="shared" si="4"/>
        <v>1.029429429</v>
      </c>
      <c r="S92" s="1">
        <f t="array" ref="S92">IF($R92="","",IF(Method!$B$56="proportional",O92/$R92,IF(Method!$B$56="power",IFERROR(INDEX(power_devig($L92,$M92,$N92),1,1),O92/$R92),IFERROR(INDEX(shin($L92,$M92,$N92),1,1),O92/$R92))))</f>
        <v>0.5292971116</v>
      </c>
      <c r="T92" s="1">
        <f t="array" ref="T92">IF($R92="","",IF(Method!$B$56="proportional",P92/$R92,IF(Method!$B$56="power",IFERROR(INDEX(power_devig($L92,$M92,$N92),2,1),P92/$R92),IFERROR(INDEX(shin($L92,$M92,$N92),2,1),P92/$R92))))</f>
        <v>0.2574065153</v>
      </c>
      <c r="U92" s="1">
        <f t="array" ref="U92">IF($R92="","",IF(Method!$B$56="proportional",Q92/$R92,IF(Method!$B$56="power",IFERROR(INDEX(power_devig($L92,$M92,$N92),3,1),Q92/$R92),IFERROR(INDEX(shin($L92,$M92,$N92),3,1),Q92/$R92))))</f>
        <v>0.2132963731</v>
      </c>
      <c r="V92" s="1">
        <f>IF(S92="","",Method!$B$4*IF(BC92="",I92,BC92)+(1-Method!$B$4)*S92/($S92+$T92+$U92))</f>
        <v>0.4846193163</v>
      </c>
      <c r="W92" s="1">
        <f>IF(T92="","",Method!$B$4*IF(BD92="",J92,BD92)+(1-Method!$B$4)*T92/($S92+$T92+$U92))</f>
        <v>0.2657699269</v>
      </c>
      <c r="X92" s="1">
        <f>IF(U92="","",Method!$B$4*IF(BE92="",K92,BE92)+(1-Method!$B$4)*U92/($S92+$T92+$U92))</f>
        <v>0.2496107567</v>
      </c>
      <c r="Y92" s="1">
        <f t="shared" ref="Y92:AA92" si="196">IF(V92="","",V92*L92-1)</f>
        <v>-0.1034542648</v>
      </c>
      <c r="Z92" s="1">
        <f t="shared" si="196"/>
        <v>-0.003362774092</v>
      </c>
      <c r="AA92" s="1">
        <f t="shared" si="196"/>
        <v>0.1232484053</v>
      </c>
      <c r="AB92" s="1">
        <f t="shared" si="6"/>
        <v>3</v>
      </c>
      <c r="AC92" s="1" t="str">
        <f t="shared" si="7"/>
        <v>A</v>
      </c>
      <c r="AD92" s="1" t="str">
        <f t="shared" si="8"/>
        <v>2  Norway</v>
      </c>
      <c r="AE92" s="79">
        <f t="shared" si="9"/>
        <v>4.5</v>
      </c>
      <c r="AF92" s="1">
        <f t="shared" si="10"/>
        <v>0.1232484053</v>
      </c>
      <c r="AG92" s="1">
        <f t="shared" si="11"/>
        <v>0.03631438362</v>
      </c>
      <c r="AH92" s="1" t="str">
        <f t="array" ref="AH92">IF(AB92="","· enter odds",IF(OR(AF92&gt;Method!$B$87,IFERROR(INDEX(BC92:BE92,1,AB92)/INDEX(S92:U92,1,AB92),0)&gt;Method!$B$88),"PASS",IF(AND(AF92&gt;=Method!$B$7,AG92&gt;=Method!$B$8),"BET","PASS")))</f>
        <v>BET</v>
      </c>
      <c r="AI92" s="1">
        <f>IF(AH92&lt;&gt;"BET",0,ROUND(MIN(Method!$B$6,Method!$B$5*AL92)*100,1))</f>
        <v>0.9</v>
      </c>
      <c r="AJ92" s="1">
        <f>IF(OR(AH92&lt;&gt;"BET",Method!$B$55=TRUE()),0,IF(AI92*Method!$B$10/100&lt;Method!$B$9,0,ROUND(AI92*Method!$B$10/100,0)))</f>
        <v>9</v>
      </c>
      <c r="AK92" s="1">
        <f t="shared" si="12"/>
        <v>0.2496107567</v>
      </c>
      <c r="AL92" s="1">
        <f t="shared" si="13"/>
        <v>0.0352138301</v>
      </c>
      <c r="AM92" s="1">
        <f t="shared" si="14"/>
        <v>0.1233394053</v>
      </c>
      <c r="AN92" s="1" t="str">
        <f>IF(Matchday!N94="","",Matchday!N94)</f>
        <v/>
      </c>
      <c r="AO92" s="1" t="str">
        <f>IF(Matchday!P94="","",Matchday!P94)</f>
        <v/>
      </c>
      <c r="AP92" s="1" t="str">
        <f>IF(Matchday!Q94="","",Matchday!Q94)</f>
        <v/>
      </c>
      <c r="AQ92" s="1" t="str">
        <f>IF(Matchday!R94="","",Matchday!R94)</f>
        <v>A</v>
      </c>
      <c r="AR92" s="1" t="str">
        <f t="shared" si="15"/>
        <v/>
      </c>
      <c r="AS92" s="1" t="str">
        <f t="shared" si="16"/>
        <v/>
      </c>
      <c r="AT92" s="1" t="str">
        <f>IFERROR(__xludf.DUMMYFUNCTION("IF(AB92="""",""Type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pauses."")),IF(AH92=""BET"",IF(AJ92=0,""Edge found but stake rounds under £""&amp;Method!$B$9&amp;"" — skip"",IF(AND(AE92&gt;=6,AG92&gt;=0.15),""🟡 WAIT — long-shot review: odds ""&amp;TEXT(AE92,""0.00"")&amp;"" + edge ""&amp;TEXT(AG92,""0.0%"")"&amp;"&amp;"" — verify sharp-book + team news + stake comfort before Placed=Y"",""Value found: EV ""&amp;TEXT(AF92,""0.0%"")&amp;"", edge ""&amp;TEXT(AG92,""0.0%""))),IF(OR(AF92&gt;Method!$B$87,IFERROR(INDEX(BC92:BE92,1,AB92)/INDEX(S92:U92,1,AB92),0)&gt;Method!$B$88),""🛑 Tail trap "&amp;"— auto-PASS · EV ""&amp;TEXT(AF92,""0.0%"")&amp;"" (cap ""&amp;TEXT(Method!$B$87,""0%"")&amp;"") · model/market ""&amp;TEXT(IFERROR(INDEX(BC92:BE92,1,AB92)/INDEX(S92:U92,1,AB92),0),""0.0"")&amp;""× (cap ""&amp;TEXT(Method!$B$88,""0.0"")&amp;""×)"",IF(AF92&lt;Method!$B$7,""Price too short —"&amp;" EV ""&amp;TEXT(AF92,""0.0%"")&amp;"" (need ""&amp;TEXT(Method!$B$7,""0.0%"")&amp;""+)"",""Model ≈ market — edge ""&amp;TEXT(AG92,""0.0%"")&amp;"" (need ""&amp;TEXT(Method!$B$8,""0.0%"")&amp;""+)"")))))"),"Value found: EV 12.3%, edge 3.6%")</f>
        <v>Value found: EV 12.3%, edge 3.6%</v>
      </c>
      <c r="AU92" s="1" t="str">
        <f t="shared" si="17"/>
        <v/>
      </c>
      <c r="AV92" s="1" t="str">
        <f>IF(Matchday!O94="","",Matchday!O94)</f>
        <v/>
      </c>
      <c r="AW92" s="1"/>
      <c r="AX92" s="1"/>
      <c r="AY92" s="1"/>
      <c r="AZ92" s="1" t="str">
        <f t="shared" si="18"/>
        <v>BET</v>
      </c>
      <c r="BA92" s="1">
        <f>IF(AX92&lt;&gt;"",AX92,IF(AH92&lt;&gt;"BET",0,IF(AI92*Method!$B$10/100&lt;Method!$B$9,0,ROUND(AI92*Method!$B$10/100,0))))</f>
        <v>9</v>
      </c>
      <c r="BB92" s="12">
        <v>-34.24</v>
      </c>
      <c r="BC92" s="12">
        <v>0.4016462679716767</v>
      </c>
      <c r="BD92" s="12">
        <v>0.28130197712736704</v>
      </c>
      <c r="BE92" s="12">
        <v>0.3170517549009563</v>
      </c>
      <c r="BF92" s="14" t="s">
        <v>407</v>
      </c>
      <c r="BG92" s="12">
        <v>0.0</v>
      </c>
    </row>
    <row r="93" ht="15.75" customHeight="1">
      <c r="A93" s="54">
        <v>92.0</v>
      </c>
      <c r="B93" s="77">
        <v>46208.0</v>
      </c>
      <c r="C93" s="55" t="s">
        <v>403</v>
      </c>
      <c r="D93" s="55" t="s">
        <v>44</v>
      </c>
      <c r="E93" s="55" t="s">
        <v>86</v>
      </c>
      <c r="F93" s="55" t="s">
        <v>255</v>
      </c>
      <c r="G93" s="78">
        <v>0.75</v>
      </c>
      <c r="H93" s="1"/>
      <c r="I93" s="54">
        <v>0.265321404641682</v>
      </c>
      <c r="J93" s="54">
        <v>0.3012857548022382</v>
      </c>
      <c r="K93" s="54">
        <v>0.43339284055607985</v>
      </c>
      <c r="L93" s="79">
        <f>IF(Matchday!E95="","",Matchday!E95)</f>
        <v>3.1</v>
      </c>
      <c r="M93" s="79">
        <f>IF(Matchday!F95="","",Matchday!F95)</f>
        <v>3.2</v>
      </c>
      <c r="N93" s="79">
        <f>IF(Matchday!G95="","",Matchday!G95)</f>
        <v>2.45</v>
      </c>
      <c r="O93" s="1">
        <f t="shared" ref="O93:Q93" si="197">IF(L93="","",1/L93)</f>
        <v>0.3225806452</v>
      </c>
      <c r="P93" s="1">
        <f t="shared" si="197"/>
        <v>0.3125</v>
      </c>
      <c r="Q93" s="1">
        <f t="shared" si="197"/>
        <v>0.4081632653</v>
      </c>
      <c r="R93" s="1">
        <f t="shared" si="4"/>
        <v>1.04324391</v>
      </c>
      <c r="S93" s="1">
        <f t="array" ref="S93">IF($R93="","",IF(Method!$B$56="proportional",O93/$R93,IF(Method!$B$56="power",IFERROR(INDEX(power_devig($L93,$M93,$N93),1,1),O93/$R93),IFERROR(INDEX(shin($L93,$M93,$N93),1,1),O93/$R93))))</f>
        <v>0.3084335658</v>
      </c>
      <c r="T93" s="1">
        <f t="array" ref="T93">IF($R93="","",IF(Method!$B$56="proportional",P93/$R93,IF(Method!$B$56="power",IFERROR(INDEX(power_devig($L93,$M93,$N93),2,1),P93/$R93),IFERROR(INDEX(shin($L93,$M93,$N93),2,1),P93/$R93))))</f>
        <v>0.2984617266</v>
      </c>
      <c r="U93" s="1">
        <f t="array" ref="U93">IF($R93="","",IF(Method!$B$56="proportional",Q93/$R93,IF(Method!$B$56="power",IFERROR(INDEX(power_devig($L93,$M93,$N93),3,1),Q93/$R93),IFERROR(INDEX(shin($L93,$M93,$N93),3,1),Q93/$R93))))</f>
        <v>0.3931047077</v>
      </c>
      <c r="V93" s="1">
        <f>IF(S93="","",Method!$B$4*IF(BC93="",I93,BC93)+(1-Method!$B$4)*S93/($S93+$T93+$U93))</f>
        <v>0.2933443094</v>
      </c>
      <c r="W93" s="1">
        <f>IF(T93="","",Method!$B$4*IF(BD93="",J93,BD93)+(1-Method!$B$4)*T93/($S93+$T93+$U93))</f>
        <v>0.2994501364</v>
      </c>
      <c r="X93" s="1">
        <f>IF(U93="","",Method!$B$4*IF(BE93="",K93,BE93)+(1-Method!$B$4)*U93/($S93+$T93+$U93))</f>
        <v>0.4072055542</v>
      </c>
      <c r="Y93" s="1">
        <f t="shared" ref="Y93:AA93" si="198">IF(V93="","",V93*L93-1)</f>
        <v>-0.09063264092</v>
      </c>
      <c r="Z93" s="1">
        <f t="shared" si="198"/>
        <v>-0.04175956337</v>
      </c>
      <c r="AA93" s="1">
        <f t="shared" si="198"/>
        <v>-0.002346392281</v>
      </c>
      <c r="AB93" s="1">
        <f t="shared" si="6"/>
        <v>3</v>
      </c>
      <c r="AC93" s="1" t="str">
        <f t="shared" si="7"/>
        <v>A</v>
      </c>
      <c r="AD93" s="1" t="str">
        <f t="shared" si="8"/>
        <v>2  England</v>
      </c>
      <c r="AE93" s="79">
        <f t="shared" si="9"/>
        <v>2.45</v>
      </c>
      <c r="AF93" s="1">
        <f t="shared" si="10"/>
        <v>-0.002346392281</v>
      </c>
      <c r="AG93" s="1">
        <f t="shared" si="11"/>
        <v>0.01410084652</v>
      </c>
      <c r="AH93" s="1" t="str">
        <f t="array" ref="AH93">IF(AB93="","· enter odds",IF(OR(AF93&gt;Method!$B$87,IFERROR(INDEX(BC93:BE93,1,AB93)/INDEX(S93:U93,1,AB93),0)&gt;Method!$B$88),"PASS",IF(AND(AF93&gt;=Method!$B$7,AG93&gt;=Method!$B$8),"BET","PASS")))</f>
        <v>PASS</v>
      </c>
      <c r="AI93" s="1">
        <f>IF(AH93&lt;&gt;"BET",0,ROUND(MIN(Method!$B$6,Method!$B$5*AL93)*100,1))</f>
        <v>0</v>
      </c>
      <c r="AJ93" s="1">
        <f>IF(OR(AH93&lt;&gt;"BET",Method!$B$55=TRUE()),0,IF(AI93*Method!$B$10/100&lt;Method!$B$9,0,ROUND(AI93*Method!$B$10/100,0)))</f>
        <v>0</v>
      </c>
      <c r="AK93" s="1">
        <f t="shared" si="12"/>
        <v>0.4072055542</v>
      </c>
      <c r="AL93" s="1" t="str">
        <f t="shared" si="13"/>
        <v/>
      </c>
      <c r="AM93" s="1" t="str">
        <f t="shared" si="14"/>
        <v/>
      </c>
      <c r="AN93" s="1" t="str">
        <f>IF(Matchday!N95="","",Matchday!N95)</f>
        <v/>
      </c>
      <c r="AO93" s="1" t="str">
        <f>IF(Matchday!P95="","",Matchday!P95)</f>
        <v/>
      </c>
      <c r="AP93" s="1" t="str">
        <f>IF(Matchday!Q95="","",Matchday!Q95)</f>
        <v/>
      </c>
      <c r="AQ93" s="1" t="str">
        <f>IF(Matchday!R95="","",Matchday!R95)</f>
        <v>A</v>
      </c>
      <c r="AR93" s="1" t="str">
        <f t="shared" si="15"/>
        <v/>
      </c>
      <c r="AS93" s="1" t="str">
        <f t="shared" si="16"/>
        <v/>
      </c>
      <c r="AT93" s="1" t="str">
        <f>IFERROR(__xludf.DUMMYFUNCTION("IF(AB93="""",""Type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pauses."")),IF(AH93=""BET"",IF(AJ93=0,""Edge found but stake rounds under £""&amp;Method!$B$9&amp;"" — skip"",IF(AND(AE93&gt;=6,AG93&gt;=0.15),""🟡 WAIT — long-shot review: odds ""&amp;TEXT(AE93,""0.00"")&amp;"" + edge ""&amp;TEXT(AG93,""0.0%"")"&amp;"&amp;"" — verify sharp-book + team news + stake comfort before Placed=Y"",""Value found: EV ""&amp;TEXT(AF93,""0.0%"")&amp;"", edge ""&amp;TEXT(AG93,""0.0%""))),IF(OR(AF93&gt;Method!$B$87,IFERROR(INDEX(BC93:BE93,1,AB93)/INDEX(S93:U93,1,AB93),0)&gt;Method!$B$88),""🛑 Tail trap "&amp;"— auto-PASS · EV ""&amp;TEXT(AF93,""0.0%"")&amp;"" (cap ""&amp;TEXT(Method!$B$87,""0%"")&amp;"") · model/market ""&amp;TEXT(IFERROR(INDEX(BC93:BE93,1,AB93)/INDEX(S93:U93,1,AB93),0),""0.0"")&amp;""× (cap ""&amp;TEXT(Method!$B$88,""0.0"")&amp;""×)"",IF(AF93&lt;Method!$B$7,""Price too short —"&amp;" EV ""&amp;TEXT(AF93,""0.0%"")&amp;"" (need ""&amp;TEXT(Method!$B$7,""0.0%"")&amp;""+)"",""Model ≈ market — edge ""&amp;TEXT(AG93,""0.0%"")&amp;"" (need ""&amp;TEXT(Method!$B$8,""0.0%"")&amp;""+)"")))))"),"Price too short — EV -0.2% (need 2.5%+)")</f>
        <v>Price too short — EV -0.2% (need 2.5%+)</v>
      </c>
      <c r="AU93" s="1" t="str">
        <f t="shared" si="17"/>
        <v/>
      </c>
      <c r="AV93" s="1" t="str">
        <f>IF(Matchday!O95="","",Matchday!O95)</f>
        <v/>
      </c>
      <c r="AW93" s="1"/>
      <c r="AX93" s="1"/>
      <c r="AY93" s="1"/>
      <c r="AZ93" s="1" t="str">
        <f t="shared" si="18"/>
        <v>PASS</v>
      </c>
      <c r="BA93" s="1">
        <f>IF(AX93&lt;&gt;"",AX93,IF(AH93&lt;&gt;"BET",0,IF(AI93*Method!$B$10/100&lt;Method!$B$9,0,ROUND(AI93*Method!$B$10/100,0))))</f>
        <v>0</v>
      </c>
      <c r="BB93" s="12">
        <v>-6.04</v>
      </c>
      <c r="BC93" s="12">
        <v>0.265321404641682</v>
      </c>
      <c r="BD93" s="12">
        <v>0.3012857548022382</v>
      </c>
      <c r="BE93" s="12">
        <v>0.43339284055607985</v>
      </c>
      <c r="BF93" s="14" t="s">
        <v>408</v>
      </c>
      <c r="BG93" s="12">
        <v>2240.0</v>
      </c>
      <c r="BH93" s="14" t="s">
        <v>257</v>
      </c>
    </row>
    <row r="94" ht="15.75" customHeight="1">
      <c r="A94" s="54">
        <v>93.0</v>
      </c>
      <c r="B94" s="77">
        <v>46209.0</v>
      </c>
      <c r="C94" s="55" t="s">
        <v>403</v>
      </c>
      <c r="D94" s="55" t="s">
        <v>84</v>
      </c>
      <c r="E94" s="55" t="s">
        <v>68</v>
      </c>
      <c r="F94" s="55" t="s">
        <v>386</v>
      </c>
      <c r="G94" s="78">
        <v>0.5833333333321207</v>
      </c>
      <c r="H94" s="1"/>
      <c r="I94" s="54">
        <v>0.17697389243999934</v>
      </c>
      <c r="J94" s="54">
        <v>0.2515900790293481</v>
      </c>
      <c r="K94" s="54">
        <v>0.5714360285306526</v>
      </c>
      <c r="L94" s="79">
        <f>IF(Matchday!E96="","",Matchday!E96)</f>
        <v>4</v>
      </c>
      <c r="M94" s="79">
        <f>IF(Matchday!F96="","",Matchday!F96)</f>
        <v>3.6</v>
      </c>
      <c r="N94" s="79">
        <f>IF(Matchday!G96="","",Matchday!G96)</f>
        <v>1.9</v>
      </c>
      <c r="O94" s="1">
        <f t="shared" ref="O94:Q94" si="199">IF(L94="","",1/L94)</f>
        <v>0.25</v>
      </c>
      <c r="P94" s="1">
        <f t="shared" si="199"/>
        <v>0.2777777778</v>
      </c>
      <c r="Q94" s="1">
        <f t="shared" si="199"/>
        <v>0.5263157895</v>
      </c>
      <c r="R94" s="1">
        <f t="shared" si="4"/>
        <v>1.054093567</v>
      </c>
      <c r="S94" s="1">
        <f t="array" ref="S94">IF($R94="","",IF(Method!$B$56="proportional",O94/$R94,IF(Method!$B$56="power",IFERROR(INDEX(power_devig($L94,$M94,$N94),1,1),O94/$R94),IFERROR(INDEX(shin($L94,$M94,$N94),1,1),O94/$R94))))</f>
        <v>0.2333181507</v>
      </c>
      <c r="T94" s="1">
        <f t="array" ref="T94">IF($R94="","",IF(Method!$B$56="proportional",P94/$R94,IF(Method!$B$56="power",IFERROR(INDEX(power_devig($L94,$M94,$N94),2,1),P94/$R94),IFERROR(INDEX(shin($L94,$M94,$N94),2,1),P94/$R94))))</f>
        <v>0.2607092976</v>
      </c>
      <c r="U94" s="1">
        <f t="array" ref="U94">IF($R94="","",IF(Method!$B$56="proportional",Q94/$R94,IF(Method!$B$56="power",IFERROR(INDEX(power_devig($L94,$M94,$N94),3,1),Q94/$R94),IFERROR(INDEX(shin($L94,$M94,$N94),3,1),Q94/$R94))))</f>
        <v>0.5059725516</v>
      </c>
      <c r="V94" s="1">
        <f>IF(S94="","",Method!$B$4*IF(BC94="",I94,BC94)+(1-Method!$B$4)*S94/($S94+$T94+$U94))</f>
        <v>0.2135976603</v>
      </c>
      <c r="W94" s="1">
        <f>IF(T94="","",Method!$B$4*IF(BD94="",J94,BD94)+(1-Method!$B$4)*T94/($S94+$T94+$U94))</f>
        <v>0.2575175711</v>
      </c>
      <c r="X94" s="1">
        <f>IF(U94="","",Method!$B$4*IF(BE94="",K94,BE94)+(1-Method!$B$4)*U94/($S94+$T94+$U94))</f>
        <v>0.5288847685</v>
      </c>
      <c r="Y94" s="1">
        <f t="shared" ref="Y94:AA94" si="200">IF(V94="","",V94*L94-1)</f>
        <v>-0.1456093586</v>
      </c>
      <c r="Z94" s="1">
        <f t="shared" si="200"/>
        <v>-0.07293674397</v>
      </c>
      <c r="AA94" s="1">
        <f t="shared" si="200"/>
        <v>0.004881060226</v>
      </c>
      <c r="AB94" s="1">
        <f t="shared" si="6"/>
        <v>3</v>
      </c>
      <c r="AC94" s="1" t="str">
        <f t="shared" si="7"/>
        <v>A</v>
      </c>
      <c r="AD94" s="1" t="str">
        <f t="shared" si="8"/>
        <v>2  Spain</v>
      </c>
      <c r="AE94" s="79">
        <f t="shared" si="9"/>
        <v>1.9</v>
      </c>
      <c r="AF94" s="1">
        <f t="shared" si="10"/>
        <v>0.004881060226</v>
      </c>
      <c r="AG94" s="1">
        <f t="shared" si="11"/>
        <v>0.02291221692</v>
      </c>
      <c r="AH94" s="1" t="str">
        <f t="array" ref="AH94">IF(AB94="","· enter odds",IF(OR(AF94&gt;Method!$B$87,IFERROR(INDEX(BC94:BE94,1,AB94)/INDEX(S94:U94,1,AB94),0)&gt;Method!$B$88),"PASS",IF(AND(AF94&gt;=Method!$B$7,AG94&gt;=Method!$B$8),"BET","PASS")))</f>
        <v>PASS</v>
      </c>
      <c r="AI94" s="1">
        <f>IF(AH94&lt;&gt;"BET",0,ROUND(MIN(Method!$B$6,Method!$B$5*AL94)*100,1))</f>
        <v>0</v>
      </c>
      <c r="AJ94" s="1">
        <f>IF(OR(AH94&lt;&gt;"BET",Method!$B$55=TRUE()),0,IF(AI94*Method!$B$10/100&lt;Method!$B$9,0,ROUND(AI94*Method!$B$10/100,0)))</f>
        <v>0</v>
      </c>
      <c r="AK94" s="1">
        <f t="shared" si="12"/>
        <v>0.5288847685</v>
      </c>
      <c r="AL94" s="1" t="str">
        <f t="shared" si="13"/>
        <v/>
      </c>
      <c r="AM94" s="1" t="str">
        <f t="shared" si="14"/>
        <v/>
      </c>
      <c r="AN94" s="1" t="str">
        <f>IF(Matchday!N96="","",Matchday!N96)</f>
        <v/>
      </c>
      <c r="AO94" s="1" t="str">
        <f>IF(Matchday!P96="","",Matchday!P96)</f>
        <v/>
      </c>
      <c r="AP94" s="1" t="str">
        <f>IF(Matchday!Q96="","",Matchday!Q96)</f>
        <v/>
      </c>
      <c r="AQ94" s="1" t="str">
        <f>IF(Matchday!R96="","",Matchday!R96)</f>
        <v>A</v>
      </c>
      <c r="AR94" s="1" t="str">
        <f t="shared" si="15"/>
        <v/>
      </c>
      <c r="AS94" s="1" t="str">
        <f t="shared" si="16"/>
        <v/>
      </c>
      <c r="AT94" s="1" t="str">
        <f>IFERROR(__xludf.DUMMYFUNCTION("IF(AB94="""",""Type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pauses."")),IF(AH94=""BET"",IF(AJ94=0,""Edge found but stake rounds under £""&amp;Method!$B$9&amp;"" — skip"",IF(AND(AE94&gt;=6,AG94&gt;=0.15),""🟡 WAIT — long-shot review: odds ""&amp;TEXT(AE94,""0.00"")&amp;"" + edge ""&amp;TEXT(AG94,""0.0%"")"&amp;"&amp;"" — verify sharp-book + team news + stake comfort before Placed=Y"",""Value found: EV ""&amp;TEXT(AF94,""0.0%"")&amp;"", edge ""&amp;TEXT(AG94,""0.0%""))),IF(OR(AF94&gt;Method!$B$87,IFERROR(INDEX(BC94:BE94,1,AB94)/INDEX(S94:U94,1,AB94),0)&gt;Method!$B$88),""🛑 Tail trap "&amp;"— auto-PASS · EV ""&amp;TEXT(AF94,""0.0%"")&amp;"" (cap ""&amp;TEXT(Method!$B$87,""0%"")&amp;"") · model/market ""&amp;TEXT(IFERROR(INDEX(BC94:BE94,1,AB94)/INDEX(S94:U94,1,AB94),0),""0.0"")&amp;""× (cap ""&amp;TEXT(Method!$B$88,""0.0"")&amp;""×)"",IF(AF94&lt;Method!$B$7,""Price too short —"&amp;" EV ""&amp;TEXT(AF94,""0.0%"")&amp;"" (need ""&amp;TEXT(Method!$B$7,""0.0%"")&amp;""+)"",""Model ≈ market — edge ""&amp;TEXT(AG94,""0.0%"")&amp;"" (need ""&amp;TEXT(Method!$B$8,""0.0%"")&amp;""+)"")))))"),"Price too short — EV 0.5% (need 2.5%+)")</f>
        <v>Price too short — EV 0.5% (need 2.5%+)</v>
      </c>
      <c r="AU94" s="1" t="str">
        <f t="shared" si="17"/>
        <v/>
      </c>
      <c r="AV94" s="1" t="str">
        <f>IF(Matchday!O96="","",Matchday!O96)</f>
        <v/>
      </c>
      <c r="AW94" s="1"/>
      <c r="AX94" s="1"/>
      <c r="AY94" s="1"/>
      <c r="AZ94" s="1" t="str">
        <f t="shared" si="18"/>
        <v>PASS</v>
      </c>
      <c r="BA94" s="1">
        <f>IF(AX94&lt;&gt;"",AX94,IF(AH94&lt;&gt;"BET",0,IF(AI94*Method!$B$10/100&lt;Method!$B$9,0,ROUND(AI94*Method!$B$10/100,0))))</f>
        <v>0</v>
      </c>
      <c r="BB94" s="12">
        <v>17.96</v>
      </c>
      <c r="BC94" s="12">
        <v>0.17697389243999934</v>
      </c>
      <c r="BD94" s="12">
        <v>0.2515900790293481</v>
      </c>
      <c r="BE94" s="12">
        <v>0.5714360285306526</v>
      </c>
      <c r="BF94" s="14" t="s">
        <v>409</v>
      </c>
      <c r="BG94" s="12">
        <v>0.0</v>
      </c>
    </row>
    <row r="95" ht="15.75" customHeight="1">
      <c r="A95" s="54">
        <v>94.0</v>
      </c>
      <c r="B95" s="77">
        <v>46209.0</v>
      </c>
      <c r="C95" s="55" t="s">
        <v>403</v>
      </c>
      <c r="D95" s="55" t="s">
        <v>50</v>
      </c>
      <c r="E95" s="55" t="s">
        <v>70</v>
      </c>
      <c r="F95" s="55" t="s">
        <v>393</v>
      </c>
      <c r="G95" s="78">
        <v>0.7083333333321207</v>
      </c>
      <c r="H95" s="1"/>
      <c r="I95" s="54">
        <v>0.21224096240225707</v>
      </c>
      <c r="J95" s="54">
        <v>0.2548364423731314</v>
      </c>
      <c r="K95" s="54">
        <v>0.5329225952246116</v>
      </c>
      <c r="L95" s="79">
        <f>IF(Matchday!E97="","",Matchday!E97)</f>
        <v>2.75</v>
      </c>
      <c r="M95" s="79">
        <f>IF(Matchday!F97="","",Matchday!F97)</f>
        <v>3.3</v>
      </c>
      <c r="N95" s="79">
        <f>IF(Matchday!G97="","",Matchday!G97)</f>
        <v>2.6</v>
      </c>
      <c r="O95" s="1">
        <f t="shared" ref="O95:Q95" si="201">IF(L95="","",1/L95)</f>
        <v>0.3636363636</v>
      </c>
      <c r="P95" s="1">
        <f t="shared" si="201"/>
        <v>0.303030303</v>
      </c>
      <c r="Q95" s="1">
        <f t="shared" si="201"/>
        <v>0.3846153846</v>
      </c>
      <c r="R95" s="1">
        <f t="shared" si="4"/>
        <v>1.051282051</v>
      </c>
      <c r="S95" s="1">
        <f t="array" ref="S95">IF($R95="","",IF(Method!$B$56="proportional",O95/$R95,IF(Method!$B$56="power",IFERROR(INDEX(power_devig($L95,$M95,$N95),1,1),O95/$R95),IFERROR(INDEX(shin($L95,$M95,$N95),1,1),O95/$R95))))</f>
        <v>0.346372937</v>
      </c>
      <c r="T95" s="1">
        <f t="array" ref="T95">IF($R95="","",IF(Method!$B$56="proportional",P95/$R95,IF(Method!$B$56="power",IFERROR(INDEX(power_devig($L95,$M95,$N95),2,1),P95/$R95),IFERROR(INDEX(shin($L95,$M95,$N95),2,1),P95/$R95))))</f>
        <v>0.2865387644</v>
      </c>
      <c r="U95" s="1">
        <f t="array" ref="U95">IF($R95="","",IF(Method!$B$56="proportional",Q95/$R95,IF(Method!$B$56="power",IFERROR(INDEX(power_devig($L95,$M95,$N95),3,1),Q95/$R95),IFERROR(INDEX(shin($L95,$M95,$N95),3,1),Q95/$R95))))</f>
        <v>0.3670882986</v>
      </c>
      <c r="V95" s="1">
        <f>IF(S95="","",Method!$B$4*IF(BC95="",I95,BC95)+(1-Method!$B$4)*S95/($S95+$T95+$U95))</f>
        <v>0.2994267459</v>
      </c>
      <c r="W95" s="1">
        <f>IF(T95="","",Method!$B$4*IF(BD95="",J95,BD95)+(1-Method!$B$4)*T95/($S95+$T95+$U95))</f>
        <v>0.2754429517</v>
      </c>
      <c r="X95" s="1">
        <f>IF(U95="","",Method!$B$4*IF(BE95="",K95,BE95)+(1-Method!$B$4)*U95/($S95+$T95+$U95))</f>
        <v>0.4251303024</v>
      </c>
      <c r="Y95" s="1">
        <f t="shared" ref="Y95:AA95" si="202">IF(V95="","",V95*L95-1)</f>
        <v>-0.1765764487</v>
      </c>
      <c r="Z95" s="1">
        <f t="shared" si="202"/>
        <v>-0.09103825942</v>
      </c>
      <c r="AA95" s="1">
        <f t="shared" si="202"/>
        <v>0.1053387862</v>
      </c>
      <c r="AB95" s="1">
        <f t="shared" si="6"/>
        <v>3</v>
      </c>
      <c r="AC95" s="1" t="str">
        <f t="shared" si="7"/>
        <v>A</v>
      </c>
      <c r="AD95" s="1" t="str">
        <f t="shared" si="8"/>
        <v>2  Belgium</v>
      </c>
      <c r="AE95" s="79">
        <f t="shared" si="9"/>
        <v>2.6</v>
      </c>
      <c r="AF95" s="1">
        <f t="shared" si="10"/>
        <v>0.1053387862</v>
      </c>
      <c r="AG95" s="1">
        <f t="shared" si="11"/>
        <v>0.05804200383</v>
      </c>
      <c r="AH95" s="1" t="str">
        <f t="array" ref="AH95">IF(AB95="","· enter odds",IF(OR(AF95&gt;Method!$B$87,IFERROR(INDEX(BC95:BE95,1,AB95)/INDEX(S95:U95,1,AB95),0)&gt;Method!$B$88),"PASS",IF(AND(AF95&gt;=Method!$B$7,AG95&gt;=Method!$B$8),"BET","PASS")))</f>
        <v>BET</v>
      </c>
      <c r="AI95" s="1">
        <f>IF(AH95&lt;&gt;"BET",0,ROUND(MIN(Method!$B$6,Method!$B$5*AL95)*100,1))</f>
        <v>1.6</v>
      </c>
      <c r="AJ95" s="1">
        <f>IF(OR(AH95&lt;&gt;"BET",Method!$B$55=TRUE()),0,IF(AI95*Method!$B$10/100&lt;Method!$B$9,0,ROUND(AI95*Method!$B$10/100,0)))</f>
        <v>16</v>
      </c>
      <c r="AK95" s="1">
        <f t="shared" si="12"/>
        <v>0.4251303024</v>
      </c>
      <c r="AL95" s="1">
        <f t="shared" si="13"/>
        <v>0.06583674139</v>
      </c>
      <c r="AM95" s="1">
        <f t="shared" si="14"/>
        <v>0.1054327862</v>
      </c>
      <c r="AN95" s="1" t="str">
        <f>IF(Matchday!N97="","",Matchday!N97)</f>
        <v/>
      </c>
      <c r="AO95" s="1" t="str">
        <f>IF(Matchday!P97="","",Matchday!P97)</f>
        <v/>
      </c>
      <c r="AP95" s="1" t="str">
        <f>IF(Matchday!Q97="","",Matchday!Q97)</f>
        <v/>
      </c>
      <c r="AQ95" s="1" t="str">
        <f>IF(Matchday!R97="","",Matchday!R97)</f>
        <v>A</v>
      </c>
      <c r="AR95" s="1" t="str">
        <f t="shared" si="15"/>
        <v/>
      </c>
      <c r="AS95" s="1" t="str">
        <f t="shared" si="16"/>
        <v/>
      </c>
      <c r="AT95" s="1" t="str">
        <f>IFERROR(__xludf.DUMMYFUNCTION("IF(AB95="""",""Type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pauses."")),IF(AH95=""BET"",IF(AJ95=0,""Edge found but stake rounds under £""&amp;Method!$B$9&amp;"" — skip"",IF(AND(AE95&gt;=6,AG95&gt;=0.15),""🟡 WAIT — long-shot review: odds ""&amp;TEXT(AE95,""0.00"")&amp;"" + edge ""&amp;TEXT(AG95,""0.0%"")"&amp;"&amp;"" — verify sharp-book + team news + stake comfort before Placed=Y"",""Value found: EV ""&amp;TEXT(AF95,""0.0%"")&amp;"", edge ""&amp;TEXT(AG95,""0.0%""))),IF(OR(AF95&gt;Method!$B$87,IFERROR(INDEX(BC95:BE95,1,AB95)/INDEX(S95:U95,1,AB95),0)&gt;Method!$B$88),""🛑 Tail trap "&amp;"— auto-PASS · EV ""&amp;TEXT(AF95,""0.0%"")&amp;"" (cap ""&amp;TEXT(Method!$B$87,""0%"")&amp;"") · model/market ""&amp;TEXT(IFERROR(INDEX(BC95:BE95,1,AB95)/INDEX(S95:U95,1,AB95),0),""0.0"")&amp;""× (cap ""&amp;TEXT(Method!$B$88,""0.0"")&amp;""×)"",IF(AF95&lt;Method!$B$7,""Price too short —"&amp;" EV ""&amp;TEXT(AF95,""0.0%"")&amp;"" (need ""&amp;TEXT(Method!$B$7,""0.0%"")&amp;""+)"",""Model ≈ market — edge ""&amp;TEXT(AG95,""0.0%"")&amp;"" (need ""&amp;TEXT(Method!$B$8,""0.0%"")&amp;""+)"")))))"),"Value found: EV 10.5%, edge 5.8%")</f>
        <v>Value found: EV 10.5%, edge 5.8%</v>
      </c>
      <c r="AU95" s="1" t="str">
        <f t="shared" si="17"/>
        <v/>
      </c>
      <c r="AV95" s="1" t="str">
        <f>IF(Matchday!O97="","",Matchday!O97)</f>
        <v/>
      </c>
      <c r="AW95" s="1"/>
      <c r="AX95" s="1"/>
      <c r="AY95" s="1"/>
      <c r="AZ95" s="1" t="str">
        <f t="shared" si="18"/>
        <v>BET</v>
      </c>
      <c r="BA95" s="1">
        <f>IF(AX95&lt;&gt;"",AX95,IF(AH95&lt;&gt;"BET",0,IF(AI95*Method!$B$10/100&lt;Method!$B$9,0,ROUND(AI95*Method!$B$10/100,0))))</f>
        <v>16</v>
      </c>
      <c r="BB95" s="12">
        <v>-38.09</v>
      </c>
      <c r="BC95" s="12">
        <v>0.21224096240225707</v>
      </c>
      <c r="BD95" s="12">
        <v>0.2548364423731314</v>
      </c>
      <c r="BE95" s="12">
        <v>0.5329225952246116</v>
      </c>
      <c r="BF95" s="14" t="s">
        <v>410</v>
      </c>
      <c r="BG95" s="12">
        <v>5.0</v>
      </c>
      <c r="BH95" s="14" t="s">
        <v>266</v>
      </c>
    </row>
    <row r="96" ht="15.75" customHeight="1">
      <c r="A96" s="54">
        <v>95.0</v>
      </c>
      <c r="B96" s="77">
        <v>46210.0</v>
      </c>
      <c r="C96" s="55" t="s">
        <v>403</v>
      </c>
      <c r="D96" s="55" t="s">
        <v>80</v>
      </c>
      <c r="E96" s="55" t="s">
        <v>71</v>
      </c>
      <c r="F96" s="55" t="s">
        <v>389</v>
      </c>
      <c r="G96" s="78">
        <v>0.5</v>
      </c>
      <c r="H96" s="1"/>
      <c r="I96" s="54">
        <v>0.7604381456095195</v>
      </c>
      <c r="J96" s="54">
        <v>0.17787600257810526</v>
      </c>
      <c r="K96" s="54">
        <v>0.06168585181237525</v>
      </c>
      <c r="L96" s="79">
        <f>IF(Matchday!E98="","",Matchday!E98)</f>
        <v>1.36</v>
      </c>
      <c r="M96" s="79">
        <f>IF(Matchday!F98="","",Matchday!F98)</f>
        <v>5</v>
      </c>
      <c r="N96" s="79">
        <f>IF(Matchday!G98="","",Matchday!G98)</f>
        <v>10</v>
      </c>
      <c r="O96" s="1">
        <f t="shared" ref="O96:Q96" si="203">IF(L96="","",1/L96)</f>
        <v>0.7352941176</v>
      </c>
      <c r="P96" s="1">
        <f t="shared" si="203"/>
        <v>0.2</v>
      </c>
      <c r="Q96" s="1">
        <f t="shared" si="203"/>
        <v>0.1</v>
      </c>
      <c r="R96" s="1">
        <f t="shared" si="4"/>
        <v>1.035294118</v>
      </c>
      <c r="S96" s="1">
        <f t="array" ref="S96">IF($R96="","",IF(Method!$B$56="proportional",O96/$R96,IF(Method!$B$56="power",IFERROR(INDEX(power_devig($L96,$M96,$N96),1,1),O96/$R96),IFERROR(INDEX(shin($L96,$M96,$N96),1,1),O96/$R96))))</f>
        <v>0.7201414953</v>
      </c>
      <c r="T96" s="1">
        <f t="array" ref="T96">IF($R96="","",IF(Method!$B$56="proportional",P96/$R96,IF(Method!$B$56="power",IFERROR(INDEX(power_devig($L96,$M96,$N96),2,1),P96/$R96),IFERROR(INDEX(shin($L96,$M96,$N96),2,1),P96/$R96))))</f>
        <v>0.1894120735</v>
      </c>
      <c r="U96" s="1">
        <f t="array" ref="U96">IF($R96="","",IF(Method!$B$56="proportional",Q96/$R96,IF(Method!$B$56="power",IFERROR(INDEX(power_devig($L96,$M96,$N96),3,1),Q96/$R96),IFERROR(INDEX(shin($L96,$M96,$N96),3,1),Q96/$R96))))</f>
        <v>0.09044643118</v>
      </c>
      <c r="V96" s="1">
        <f>IF(S96="","",Method!$B$4*IF(BC96="",I96,BC96)+(1-Method!$B$4)*S96/($S96+$T96+$U96))</f>
        <v>0.7342453229</v>
      </c>
      <c r="W96" s="1">
        <f>IF(T96="","",Method!$B$4*IF(BD96="",J96,BD96)+(1-Method!$B$4)*T96/($S96+$T96+$U96))</f>
        <v>0.1853744487</v>
      </c>
      <c r="X96" s="1">
        <f>IF(U96="","",Method!$B$4*IF(BE96="",K96,BE96)+(1-Method!$B$4)*U96/($S96+$T96+$U96))</f>
        <v>0.0803802284</v>
      </c>
      <c r="Y96" s="1">
        <f t="shared" ref="Y96:AA96" si="204">IF(V96="","",V96*L96-1)</f>
        <v>-0.001426360864</v>
      </c>
      <c r="Z96" s="1">
        <f t="shared" si="204"/>
        <v>-0.07312775647</v>
      </c>
      <c r="AA96" s="1">
        <f t="shared" si="204"/>
        <v>-0.196197716</v>
      </c>
      <c r="AB96" s="1">
        <f t="shared" si="6"/>
        <v>1</v>
      </c>
      <c r="AC96" s="1" t="str">
        <f t="shared" si="7"/>
        <v>H</v>
      </c>
      <c r="AD96" s="1" t="str">
        <f t="shared" si="8"/>
        <v>1  Argentina</v>
      </c>
      <c r="AE96" s="79">
        <f t="shared" si="9"/>
        <v>1.36</v>
      </c>
      <c r="AF96" s="1">
        <f t="shared" si="10"/>
        <v>-0.001426360864</v>
      </c>
      <c r="AG96" s="1">
        <f t="shared" si="11"/>
        <v>0.01410382762</v>
      </c>
      <c r="AH96" s="1" t="str">
        <f t="array" ref="AH96">IF(AB96="","· enter odds",IF(OR(AF96&gt;Method!$B$87,IFERROR(INDEX(BC96:BE96,1,AB96)/INDEX(S96:U96,1,AB96),0)&gt;Method!$B$88),"PASS",IF(AND(AF96&gt;=Method!$B$7,AG96&gt;=Method!$B$8),"BET","PASS")))</f>
        <v>PASS</v>
      </c>
      <c r="AI96" s="1">
        <f>IF(AH96&lt;&gt;"BET",0,ROUND(MIN(Method!$B$6,Method!$B$5*AL96)*100,1))</f>
        <v>0</v>
      </c>
      <c r="AJ96" s="1">
        <f>IF(OR(AH96&lt;&gt;"BET",Method!$B$55=TRUE()),0,IF(AI96*Method!$B$10/100&lt;Method!$B$9,0,ROUND(AI96*Method!$B$10/100,0)))</f>
        <v>0</v>
      </c>
      <c r="AK96" s="1">
        <f t="shared" si="12"/>
        <v>0.7342453229</v>
      </c>
      <c r="AL96" s="1" t="str">
        <f t="shared" si="13"/>
        <v/>
      </c>
      <c r="AM96" s="1" t="str">
        <f t="shared" si="14"/>
        <v/>
      </c>
      <c r="AN96" s="1" t="str">
        <f>IF(Matchday!N98="","",Matchday!N98)</f>
        <v/>
      </c>
      <c r="AO96" s="1" t="str">
        <f>IF(Matchday!P98="","",Matchday!P98)</f>
        <v/>
      </c>
      <c r="AP96" s="1" t="str">
        <f>IF(Matchday!Q98="","",Matchday!Q98)</f>
        <v/>
      </c>
      <c r="AQ96" s="1" t="str">
        <f>IF(Matchday!R98="","",Matchday!R98)</f>
        <v>H</v>
      </c>
      <c r="AR96" s="1" t="str">
        <f t="shared" si="15"/>
        <v/>
      </c>
      <c r="AS96" s="1" t="str">
        <f t="shared" si="16"/>
        <v/>
      </c>
      <c r="AT96" s="1" t="str">
        <f>IFERROR(__xludf.DUMMYFUNCTION("IF(AB96="""",""Type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pauses."")),IF(AH96=""BET"",IF(AJ96=0,""Edge found but stake rounds under £""&amp;Method!$B$9&amp;"" — skip"",IF(AND(AE96&gt;=6,AG96&gt;=0.15),""🟡 WAIT — long-shot review: odds ""&amp;TEXT(AE96,""0.00"")&amp;"" + edge ""&amp;TEXT(AG96,""0.0%"")"&amp;"&amp;"" — verify sharp-book + team news + stake comfort before Placed=Y"",""Value found: EV ""&amp;TEXT(AF96,""0.0%"")&amp;"", edge ""&amp;TEXT(AG96,""0.0%""))),IF(OR(AF96&gt;Method!$B$87,IFERROR(INDEX(BC96:BE96,1,AB96)/INDEX(S96:U96,1,AB96),0)&gt;Method!$B$88),""🛑 Tail trap "&amp;"— auto-PASS · EV ""&amp;TEXT(AF96,""0.0%"")&amp;"" (cap ""&amp;TEXT(Method!$B$87,""0%"")&amp;"") · model/market ""&amp;TEXT(IFERROR(INDEX(BC96:BE96,1,AB96)/INDEX(S96:U96,1,AB96),0),""0.0"")&amp;""× (cap ""&amp;TEXT(Method!$B$88,""0.0"")&amp;""×)"",IF(AF96&lt;Method!$B$7,""Price too short —"&amp;" EV ""&amp;TEXT(AF96,""0.0%"")&amp;"" (need ""&amp;TEXT(Method!$B$7,""0.0%"")&amp;""+)"",""Model ≈ market — edge ""&amp;TEXT(AG96,""0.0%"")&amp;"" (need ""&amp;TEXT(Method!$B$8,""0.0%"")&amp;""+)"")))))"),"Price too short — EV -0.1% (need 2.5%+)")</f>
        <v>Price too short — EV -0.1% (need 2.5%+)</v>
      </c>
      <c r="AU96" s="1" t="str">
        <f t="shared" si="17"/>
        <v/>
      </c>
      <c r="AV96" s="1" t="str">
        <f>IF(Matchday!O98="","",Matchday!O98)</f>
        <v/>
      </c>
      <c r="AW96" s="1"/>
      <c r="AX96" s="1"/>
      <c r="AY96" s="1"/>
      <c r="AZ96" s="1" t="str">
        <f t="shared" si="18"/>
        <v>PASS</v>
      </c>
      <c r="BA96" s="1">
        <f>IF(AX96&lt;&gt;"",AX96,IF(AH96&lt;&gt;"BET",0,IF(AI96*Method!$B$10/100&lt;Method!$B$9,0,ROUND(AI96*Method!$B$10/100,0))))</f>
        <v>0</v>
      </c>
      <c r="BB96" s="12">
        <v>-14.05</v>
      </c>
      <c r="BC96" s="12">
        <v>0.7604381456095195</v>
      </c>
      <c r="BD96" s="12">
        <v>0.17787600257810526</v>
      </c>
      <c r="BE96" s="12">
        <v>0.06168585181237525</v>
      </c>
      <c r="BF96" s="81" t="s">
        <v>411</v>
      </c>
      <c r="BG96" s="12">
        <v>320.0</v>
      </c>
      <c r="BH96" s="14" t="s">
        <v>300</v>
      </c>
    </row>
    <row r="97" ht="15.75" customHeight="1">
      <c r="A97" s="54">
        <v>96.0</v>
      </c>
      <c r="B97" s="77">
        <v>46210.0</v>
      </c>
      <c r="C97" s="55" t="s">
        <v>403</v>
      </c>
      <c r="D97" s="55" t="s">
        <v>53</v>
      </c>
      <c r="E97" s="55" t="s">
        <v>91</v>
      </c>
      <c r="F97" s="55" t="s">
        <v>280</v>
      </c>
      <c r="G97" s="78">
        <v>0.5416666666678793</v>
      </c>
      <c r="H97" s="1"/>
      <c r="I97" s="54">
        <v>0.27304450688876514</v>
      </c>
      <c r="J97" s="54">
        <v>0.28717159378289436</v>
      </c>
      <c r="K97" s="54">
        <v>0.43978389932834044</v>
      </c>
      <c r="L97" s="79">
        <f>IF(Matchday!E99="","",Matchday!E99)</f>
        <v>3.5</v>
      </c>
      <c r="M97" s="79">
        <f>IF(Matchday!F99="","",Matchday!F99)</f>
        <v>3.3</v>
      </c>
      <c r="N97" s="79">
        <f>IF(Matchday!G99="","",Matchday!G99)</f>
        <v>2.25</v>
      </c>
      <c r="O97" s="1">
        <f t="shared" ref="O97:Q97" si="205">IF(L97="","",1/L97)</f>
        <v>0.2857142857</v>
      </c>
      <c r="P97" s="1">
        <f t="shared" si="205"/>
        <v>0.303030303</v>
      </c>
      <c r="Q97" s="1">
        <f t="shared" si="205"/>
        <v>0.4444444444</v>
      </c>
      <c r="R97" s="1">
        <f t="shared" si="4"/>
        <v>1.033189033</v>
      </c>
      <c r="S97" s="1">
        <f t="array" ref="S97">IF($R97="","",IF(Method!$B$56="proportional",O97/$R97,IF(Method!$B$56="power",IFERROR(INDEX(power_devig($L97,$M97,$N97),1,1),O97/$R97),IFERROR(INDEX(shin($L97,$M97,$N97),1,1),O97/$R97))))</f>
        <v>0.2751334209</v>
      </c>
      <c r="T97" s="1">
        <f t="array" ref="T97">IF($R97="","",IF(Method!$B$56="proportional",P97/$R97,IF(Method!$B$56="power",IFERROR(INDEX(power_devig($L97,$M97,$N97),2,1),P97/$R97),IFERROR(INDEX(shin($L97,$M97,$N97),2,1),P97/$R97))))</f>
        <v>0.2923051059</v>
      </c>
      <c r="U97" s="1">
        <f t="array" ref="U97">IF($R97="","",IF(Method!$B$56="proportional",Q97/$R97,IF(Method!$B$56="power",IFERROR(INDEX(power_devig($L97,$M97,$N97),3,1),Q97/$R97),IFERROR(INDEX(shin($L97,$M97,$N97),3,1),Q97/$R97))))</f>
        <v>0.4325614732</v>
      </c>
      <c r="V97" s="1">
        <f>IF(S97="","",Method!$B$4*IF(BC97="",I97,BC97)+(1-Method!$B$4)*S97/($S97+$T97+$U97))</f>
        <v>0.274402301</v>
      </c>
      <c r="W97" s="1">
        <f>IF(T97="","",Method!$B$4*IF(BD97="",J97,BD97)+(1-Method!$B$4)*T97/($S97+$T97+$U97))</f>
        <v>0.2905083767</v>
      </c>
      <c r="X97" s="1">
        <f>IF(U97="","",Method!$B$4*IF(BE97="",K97,BE97)+(1-Method!$B$4)*U97/($S97+$T97+$U97))</f>
        <v>0.4350893223</v>
      </c>
      <c r="Y97" s="1">
        <f t="shared" ref="Y97:AA97" si="206">IF(V97="","",V97*L97-1)</f>
        <v>-0.03959194654</v>
      </c>
      <c r="Z97" s="1">
        <f t="shared" si="206"/>
        <v>-0.04132235696</v>
      </c>
      <c r="AA97" s="1">
        <f t="shared" si="206"/>
        <v>-0.02104902475</v>
      </c>
      <c r="AB97" s="1">
        <f t="shared" si="6"/>
        <v>3</v>
      </c>
      <c r="AC97" s="1" t="str">
        <f t="shared" si="7"/>
        <v>A</v>
      </c>
      <c r="AD97" s="1" t="str">
        <f t="shared" si="8"/>
        <v>2  Colombia</v>
      </c>
      <c r="AE97" s="79">
        <f t="shared" si="9"/>
        <v>2.25</v>
      </c>
      <c r="AF97" s="1">
        <f t="shared" si="10"/>
        <v>-0.02104902475</v>
      </c>
      <c r="AG97" s="1">
        <f t="shared" si="11"/>
        <v>0.00252784915</v>
      </c>
      <c r="AH97" s="1" t="str">
        <f t="array" ref="AH97">IF(AB97="","· enter odds",IF(OR(AF97&gt;Method!$B$87,IFERROR(INDEX(BC97:BE97,1,AB97)/INDEX(S97:U97,1,AB97),0)&gt;Method!$B$88),"PASS",IF(AND(AF97&gt;=Method!$B$7,AG97&gt;=Method!$B$8),"BET","PASS")))</f>
        <v>PASS</v>
      </c>
      <c r="AI97" s="1">
        <f>IF(AH97&lt;&gt;"BET",0,ROUND(MIN(Method!$B$6,Method!$B$5*AL97)*100,1))</f>
        <v>0</v>
      </c>
      <c r="AJ97" s="1">
        <f>IF(OR(AH97&lt;&gt;"BET",Method!$B$55=TRUE()),0,IF(AI97*Method!$B$10/100&lt;Method!$B$9,0,ROUND(AI97*Method!$B$10/100,0)))</f>
        <v>0</v>
      </c>
      <c r="AK97" s="1">
        <f t="shared" si="12"/>
        <v>0.4350893223</v>
      </c>
      <c r="AL97" s="1" t="str">
        <f t="shared" si="13"/>
        <v/>
      </c>
      <c r="AM97" s="1" t="str">
        <f t="shared" si="14"/>
        <v/>
      </c>
      <c r="AN97" s="1" t="str">
        <f>IF(Matchday!N99="","",Matchday!N99)</f>
        <v/>
      </c>
      <c r="AO97" s="1" t="str">
        <f>IF(Matchday!P99="","",Matchday!P99)</f>
        <v/>
      </c>
      <c r="AP97" s="1" t="str">
        <f>IF(Matchday!Q99="","",Matchday!Q99)</f>
        <v/>
      </c>
      <c r="AQ97" s="1" t="str">
        <f>IF(Matchday!R99="","",Matchday!R99)</f>
        <v>D</v>
      </c>
      <c r="AR97" s="1" t="str">
        <f t="shared" si="15"/>
        <v/>
      </c>
      <c r="AS97" s="1" t="str">
        <f t="shared" si="16"/>
        <v/>
      </c>
      <c r="AT97" s="1" t="str">
        <f>IFERROR(__xludf.DUMMYFUNCTION("IF(AB97="""",""Type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pauses."")),IF(AH97=""BET"",IF(AJ97=0,""Edge found but stake rounds under £""&amp;Method!$B$9&amp;"" — skip"",IF(AND(AE97&gt;=6,AG97&gt;=0.15),""🟡 WAIT — long-shot review: odds ""&amp;TEXT(AE97,""0.00"")&amp;"" + edge ""&amp;TEXT(AG97,""0.0%"")"&amp;"&amp;"" — verify sharp-book + team news + stake comfort before Placed=Y"",""Value found: EV ""&amp;TEXT(AF97,""0.0%"")&amp;"", edge ""&amp;TEXT(AG97,""0.0%""))),IF(OR(AF97&gt;Method!$B$87,IFERROR(INDEX(BC97:BE97,1,AB97)/INDEX(S97:U97,1,AB97),0)&gt;Method!$B$88),""🛑 Tail trap "&amp;"— auto-PASS · EV ""&amp;TEXT(AF97,""0.0%"")&amp;"" (cap ""&amp;TEXT(Method!$B$87,""0%"")&amp;"") · model/market ""&amp;TEXT(IFERROR(INDEX(BC97:BE97,1,AB97)/INDEX(S97:U97,1,AB97),0),""0.0"")&amp;""× (cap ""&amp;TEXT(Method!$B$88,""0.0"")&amp;""×)"",IF(AF97&lt;Method!$B$7,""Price too short —"&amp;" EV ""&amp;TEXT(AF97,""0.0%"")&amp;"" (need ""&amp;TEXT(Method!$B$7,""0.0%"")&amp;""+)"",""Model ≈ market — edge ""&amp;TEXT(AG97,""0.0%"")&amp;"" (need ""&amp;TEXT(Method!$B$8,""0.0%"")&amp;""+)"")))))"),"Price too short — EV -2.1% (need 2.5%+)")</f>
        <v>Price too short — EV -2.1% (need 2.5%+)</v>
      </c>
      <c r="AU97" s="1" t="str">
        <f t="shared" si="17"/>
        <v/>
      </c>
      <c r="AV97" s="1" t="str">
        <f>IF(Matchday!O99="","",Matchday!O99)</f>
        <v/>
      </c>
      <c r="AW97" s="1"/>
      <c r="AX97" s="1"/>
      <c r="AY97" s="1"/>
      <c r="AZ97" s="1" t="str">
        <f t="shared" si="18"/>
        <v>PASS</v>
      </c>
      <c r="BA97" s="1">
        <f>IF(AX97&lt;&gt;"",AX97,IF(AH97&lt;&gt;"BET",0,IF(AI97*Method!$B$10/100&lt;Method!$B$9,0,ROUND(AI97*Method!$B$10/100,0))))</f>
        <v>0</v>
      </c>
      <c r="BB97" s="12">
        <v>-15.669999999999998</v>
      </c>
      <c r="BC97" s="12">
        <v>0.27304450688876514</v>
      </c>
      <c r="BD97" s="12">
        <v>0.28717159378289436</v>
      </c>
      <c r="BE97" s="12">
        <v>0.43978389932834044</v>
      </c>
      <c r="BF97" s="81" t="s">
        <v>412</v>
      </c>
      <c r="BG97" s="12">
        <v>0.0</v>
      </c>
      <c r="BH97" s="14" t="s">
        <v>283</v>
      </c>
    </row>
    <row r="98" ht="15.75" customHeight="1">
      <c r="A98" s="54">
        <v>97.0</v>
      </c>
      <c r="B98" s="77">
        <v>46212.0</v>
      </c>
      <c r="C98" s="55" t="s">
        <v>413</v>
      </c>
      <c r="D98" s="55" t="s">
        <v>76</v>
      </c>
      <c r="E98" s="55" t="s">
        <v>55</v>
      </c>
      <c r="F98" s="55" t="s">
        <v>378</v>
      </c>
      <c r="G98" s="78">
        <v>0.6666666666678793</v>
      </c>
      <c r="H98" s="1"/>
      <c r="I98" s="54">
        <v>0.4226018439872609</v>
      </c>
      <c r="J98" s="54">
        <v>0.26789165620434413</v>
      </c>
      <c r="K98" s="54">
        <v>0.3095064998083949</v>
      </c>
      <c r="L98" s="79">
        <f>IF(Matchday!E100="","",Matchday!E100)</f>
        <v>1.57</v>
      </c>
      <c r="M98" s="79">
        <f>IF(Matchday!F100="","",Matchday!F100)</f>
        <v>3.9</v>
      </c>
      <c r="N98" s="79">
        <f>IF(Matchday!G100="","",Matchday!G100)</f>
        <v>6.5</v>
      </c>
      <c r="O98" s="1">
        <f t="shared" ref="O98:Q98" si="207">IF(L98="","",1/L98)</f>
        <v>0.6369426752</v>
      </c>
      <c r="P98" s="1">
        <f t="shared" si="207"/>
        <v>0.2564102564</v>
      </c>
      <c r="Q98" s="1">
        <f t="shared" si="207"/>
        <v>0.1538461538</v>
      </c>
      <c r="R98" s="1">
        <f t="shared" si="4"/>
        <v>1.047199085</v>
      </c>
      <c r="S98" s="1">
        <f t="array" ref="S98">IF($R98="","",IF(Method!$B$56="proportional",O98/$R98,IF(Method!$B$56="power",IFERROR(INDEX(power_devig($L98,$M98,$N98),1,1),O98/$R98),IFERROR(INDEX(shin($L98,$M98,$N98),1,1),O98/$R98))))</f>
        <v>0.6178817963</v>
      </c>
      <c r="T98" s="1">
        <f t="array" ref="T98">IF($R98="","",IF(Method!$B$56="proportional",P98/$R98,IF(Method!$B$56="power",IFERROR(INDEX(power_devig($L98,$M98,$N98),2,1),P98/$R98),IFERROR(INDEX(shin($L98,$M98,$N98),2,1),P98/$R98))))</f>
        <v>0.2416829952</v>
      </c>
      <c r="U98" s="1">
        <f t="array" ref="U98">IF($R98="","",IF(Method!$B$56="proportional",Q98/$R98,IF(Method!$B$56="power",IFERROR(INDEX(power_devig($L98,$M98,$N98),3,1),Q98/$R98),IFERROR(INDEX(shin($L98,$M98,$N98),3,1),Q98/$R98))))</f>
        <v>0.1404352085</v>
      </c>
      <c r="V98" s="1">
        <f>IF(S98="","",Method!$B$4*IF(BC98="",I98,BC98)+(1-Method!$B$4)*S98/($S98+$T98+$U98))</f>
        <v>0.549533813</v>
      </c>
      <c r="W98" s="1">
        <f>IF(T98="","",Method!$B$4*IF(BD98="",J98,BD98)+(1-Method!$B$4)*T98/($S98+$T98+$U98))</f>
        <v>0.2508560265</v>
      </c>
      <c r="X98" s="1">
        <f>IF(U98="","",Method!$B$4*IF(BE98="",K98,BE98)+(1-Method!$B$4)*U98/($S98+$T98+$U98))</f>
        <v>0.1996101605</v>
      </c>
      <c r="Y98" s="1">
        <f t="shared" ref="Y98:AA98" si="208">IF(V98="","",V98*L98-1)</f>
        <v>-0.1372319136</v>
      </c>
      <c r="Z98" s="1">
        <f t="shared" si="208"/>
        <v>-0.02166149651</v>
      </c>
      <c r="AA98" s="1">
        <f t="shared" si="208"/>
        <v>0.2974660432</v>
      </c>
      <c r="AB98" s="1">
        <f t="shared" si="6"/>
        <v>3</v>
      </c>
      <c r="AC98" s="1" t="str">
        <f t="shared" si="7"/>
        <v>A</v>
      </c>
      <c r="AD98" s="1" t="str">
        <f t="shared" si="8"/>
        <v>2  Morocco</v>
      </c>
      <c r="AE98" s="79">
        <f t="shared" si="9"/>
        <v>6.5</v>
      </c>
      <c r="AF98" s="1">
        <f t="shared" si="10"/>
        <v>0.2974660432</v>
      </c>
      <c r="AG98" s="1">
        <f t="shared" si="11"/>
        <v>0.05917495194</v>
      </c>
      <c r="AH98" s="1" t="str">
        <f t="array" ref="AH98">IF(AB98="","· enter odds",IF(OR(AF98&gt;Method!$B$87,IFERROR(INDEX(BC98:BE98,1,AB98)/INDEX(S98:U98,1,AB98),0)&gt;Method!$B$88),"PASS",IF(AND(AF98&gt;=Method!$B$7,AG98&gt;=Method!$B$8),"BET","PASS")))</f>
        <v>BET</v>
      </c>
      <c r="AI98" s="1">
        <f>IF(AH98&lt;&gt;"BET",0,ROUND(MIN(Method!$B$6,Method!$B$5*AL98)*100,1))</f>
        <v>1.4</v>
      </c>
      <c r="AJ98" s="1">
        <f>IF(OR(AH98&lt;&gt;"BET",Method!$B$55=TRUE()),0,IF(AI98*Method!$B$10/100&lt;Method!$B$9,0,ROUND(AI98*Method!$B$10/100,0)))</f>
        <v>14</v>
      </c>
      <c r="AK98" s="1">
        <f t="shared" si="12"/>
        <v>0.1996101605</v>
      </c>
      <c r="AL98" s="1">
        <f t="shared" si="13"/>
        <v>0.05408473512</v>
      </c>
      <c r="AM98" s="1">
        <f t="shared" si="14"/>
        <v>0.2975630432</v>
      </c>
      <c r="AN98" s="1" t="str">
        <f>IF(Matchday!N100="","",Matchday!N100)</f>
        <v/>
      </c>
      <c r="AO98" s="1" t="str">
        <f>IF(Matchday!P100="","",Matchday!P100)</f>
        <v/>
      </c>
      <c r="AP98" s="1" t="str">
        <f>IF(Matchday!Q100="","",Matchday!Q100)</f>
        <v/>
      </c>
      <c r="AQ98" s="1" t="str">
        <f>IF(Matchday!R100="","",Matchday!R100)</f>
        <v/>
      </c>
      <c r="AR98" s="1" t="str">
        <f t="shared" si="15"/>
        <v/>
      </c>
      <c r="AS98" s="1" t="str">
        <f t="shared" si="16"/>
        <v/>
      </c>
      <c r="AT98" s="1" t="str">
        <f>IFERROR(__xludf.DUMMYFUNCTION("IF(AB98="""",""Type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pauses."")),IF(AH98=""BET"",IF(AJ98=0,""Edge found but stake rounds under £""&amp;Method!$B$9&amp;"" — skip"",IF(AND(AE98&gt;=6,AG98&gt;=0.15),""🟡 WAIT — long-shot review: odds ""&amp;TEXT(AE98,""0.00"")&amp;"" + edge ""&amp;TEXT(AG98,""0.0%"")"&amp;"&amp;"" — verify sharp-book + team news + stake comfort before Placed=Y"",""Value found: EV ""&amp;TEXT(AF98,""0.0%"")&amp;"", edge ""&amp;TEXT(AG98,""0.0%""))),IF(OR(AF98&gt;Method!$B$87,IFERROR(INDEX(BC98:BE98,1,AB98)/INDEX(S98:U98,1,AB98),0)&gt;Method!$B$88),""🛑 Tail trap "&amp;"— auto-PASS · EV ""&amp;TEXT(AF98,""0.0%"")&amp;"" (cap ""&amp;TEXT(Method!$B$87,""0%"")&amp;"") · model/market ""&amp;TEXT(IFERROR(INDEX(BC98:BE98,1,AB98)/INDEX(S98:U98,1,AB98),0),""0.0"")&amp;""× (cap ""&amp;TEXT(Method!$B$88,""0.0"")&amp;""×)"",IF(AF98&lt;Method!$B$7,""Price too short —"&amp;" EV ""&amp;TEXT(AF98,""0.0%"")&amp;"" (need ""&amp;TEXT(Method!$B$7,""0.0%"")&amp;""+)"",""Model ≈ market — edge ""&amp;TEXT(AG98,""0.0%"")&amp;"" (need ""&amp;TEXT(Method!$B$8,""0.0%"")&amp;""+)"")))))"),"Value found: EV 29.7%, edge 5.9%")</f>
        <v>Value found: EV 29.7%, edge 5.9%</v>
      </c>
      <c r="AU98" s="1" t="str">
        <f t="shared" si="17"/>
        <v/>
      </c>
      <c r="AV98" s="1" t="str">
        <f>IF(Matchday!O100="","",Matchday!O100)</f>
        <v/>
      </c>
      <c r="AW98" s="1"/>
      <c r="AX98" s="1"/>
      <c r="AY98" s="1"/>
      <c r="AZ98" s="1" t="str">
        <f t="shared" si="18"/>
        <v>BET</v>
      </c>
      <c r="BA98" s="1">
        <f>IF(AX98&lt;&gt;"",AX98,IF(AH98&lt;&gt;"BET",0,IF(AI98*Method!$B$10/100&lt;Method!$B$9,0,ROUND(AI98*Method!$B$10/100,0))))</f>
        <v>14</v>
      </c>
      <c r="BB98" s="12">
        <v>13.07</v>
      </c>
      <c r="BC98" s="12">
        <v>0.4226018439872609</v>
      </c>
      <c r="BD98" s="12">
        <v>0.26789165620434413</v>
      </c>
      <c r="BE98" s="12">
        <v>0.3095064998083949</v>
      </c>
      <c r="BF98" s="81" t="s">
        <v>414</v>
      </c>
      <c r="BG98" s="12">
        <v>0.0</v>
      </c>
    </row>
    <row r="99" ht="15.75" customHeight="1">
      <c r="A99" s="54">
        <v>98.0</v>
      </c>
      <c r="B99" s="77">
        <v>46213.0</v>
      </c>
      <c r="C99" s="55" t="s">
        <v>413</v>
      </c>
      <c r="D99" s="55" t="s">
        <v>68</v>
      </c>
      <c r="E99" s="55" t="s">
        <v>70</v>
      </c>
      <c r="F99" s="55" t="s">
        <v>376</v>
      </c>
      <c r="G99" s="78">
        <v>0.5</v>
      </c>
      <c r="H99" s="1"/>
      <c r="I99" s="54">
        <v>0.6705252663295024</v>
      </c>
      <c r="J99" s="54">
        <v>0.22696392388450287</v>
      </c>
      <c r="K99" s="54">
        <v>0.10251080978599475</v>
      </c>
      <c r="L99" s="79">
        <f>IF(Matchday!E101="","",Matchday!E101)</f>
        <v>1.61</v>
      </c>
      <c r="M99" s="79">
        <f>IF(Matchday!F101="","",Matchday!F101)</f>
        <v>3.9</v>
      </c>
      <c r="N99" s="79">
        <f>IF(Matchday!G101="","",Matchday!G101)</f>
        <v>5.5</v>
      </c>
      <c r="O99" s="1">
        <f t="shared" ref="O99:Q99" si="209">IF(L99="","",1/L99)</f>
        <v>0.6211180124</v>
      </c>
      <c r="P99" s="1">
        <f t="shared" si="209"/>
        <v>0.2564102564</v>
      </c>
      <c r="Q99" s="1">
        <f t="shared" si="209"/>
        <v>0.1818181818</v>
      </c>
      <c r="R99" s="1">
        <f t="shared" si="4"/>
        <v>1.059346451</v>
      </c>
      <c r="S99" s="1">
        <f t="array" ref="S99">IF($R99="","",IF(Method!$B$56="proportional",O99/$R99,IF(Method!$B$56="power",IFERROR(INDEX(power_devig($L99,$M99,$N99),1,1),O99/$R99),IFERROR(INDEX(shin($L99,$M99,$N99),1,1),O99/$R99))))</f>
        <v>0.5974652072</v>
      </c>
      <c r="T99" s="1">
        <f t="array" ref="T99">IF($R99="","",IF(Method!$B$56="proportional",P99/$R99,IF(Method!$B$56="power",IFERROR(INDEX(power_devig($L99,$M99,$N99),2,1),P99/$R99),IFERROR(INDEX(shin($L99,$M99,$N99),2,1),P99/$R99))))</f>
        <v>0.2379629674</v>
      </c>
      <c r="U99" s="1">
        <f t="array" ref="U99">IF($R99="","",IF(Method!$B$56="proportional",Q99/$R99,IF(Method!$B$56="power",IFERROR(INDEX(power_devig($L99,$M99,$N99),3,1),Q99/$R99),IFERROR(INDEX(shin($L99,$M99,$N99),3,1),Q99/$R99))))</f>
        <v>0.1645718254</v>
      </c>
      <c r="V99" s="1">
        <f>IF(S99="","",Method!$B$4*IF(BC99="",I99,BC99)+(1-Method!$B$4)*S99/($S99+$T99+$U99))</f>
        <v>0.6230362279</v>
      </c>
      <c r="W99" s="1">
        <f>IF(T99="","",Method!$B$4*IF(BD99="",J99,BD99)+(1-Method!$B$4)*T99/($S99+$T99+$U99))</f>
        <v>0.2341133022</v>
      </c>
      <c r="X99" s="1">
        <f>IF(U99="","",Method!$B$4*IF(BE99="",K99,BE99)+(1-Method!$B$4)*U99/($S99+$T99+$U99))</f>
        <v>0.1428504699</v>
      </c>
      <c r="Y99" s="1">
        <f t="shared" ref="Y99:AA99" si="210">IF(V99="","",V99*L99-1)</f>
        <v>0.003088326957</v>
      </c>
      <c r="Z99" s="1">
        <f t="shared" si="210"/>
        <v>-0.08695812152</v>
      </c>
      <c r="AA99" s="1">
        <f t="shared" si="210"/>
        <v>-0.2143224155</v>
      </c>
      <c r="AB99" s="1">
        <f t="shared" si="6"/>
        <v>1</v>
      </c>
      <c r="AC99" s="1" t="str">
        <f t="shared" si="7"/>
        <v>H</v>
      </c>
      <c r="AD99" s="1" t="str">
        <f t="shared" si="8"/>
        <v>1  Spain</v>
      </c>
      <c r="AE99" s="79">
        <f t="shared" si="9"/>
        <v>1.61</v>
      </c>
      <c r="AF99" s="1">
        <f t="shared" si="10"/>
        <v>0.003088326957</v>
      </c>
      <c r="AG99" s="1">
        <f t="shared" si="11"/>
        <v>0.02557102068</v>
      </c>
      <c r="AH99" s="1" t="str">
        <f t="array" ref="AH99">IF(AB99="","· enter odds",IF(OR(AF99&gt;Method!$B$87,IFERROR(INDEX(BC99:BE99,1,AB99)/INDEX(S99:U99,1,AB99),0)&gt;Method!$B$88),"PASS",IF(AND(AF99&gt;=Method!$B$7,AG99&gt;=Method!$B$8),"BET","PASS")))</f>
        <v>PASS</v>
      </c>
      <c r="AI99" s="1">
        <f>IF(AH99&lt;&gt;"BET",0,ROUND(MIN(Method!$B$6,Method!$B$5*AL99)*100,1))</f>
        <v>0</v>
      </c>
      <c r="AJ99" s="1">
        <f>IF(OR(AH99&lt;&gt;"BET",Method!$B$55=TRUE()),0,IF(AI99*Method!$B$10/100&lt;Method!$B$9,0,ROUND(AI99*Method!$B$10/100,0)))</f>
        <v>0</v>
      </c>
      <c r="AK99" s="1">
        <f t="shared" si="12"/>
        <v>0.6230362279</v>
      </c>
      <c r="AL99" s="1" t="str">
        <f t="shared" si="13"/>
        <v/>
      </c>
      <c r="AM99" s="1" t="str">
        <f t="shared" si="14"/>
        <v/>
      </c>
      <c r="AN99" s="1" t="str">
        <f>IF(Matchday!N101="","",Matchday!N101)</f>
        <v/>
      </c>
      <c r="AO99" s="1" t="str">
        <f>IF(Matchday!P101="","",Matchday!P101)</f>
        <v/>
      </c>
      <c r="AP99" s="1" t="str">
        <f>IF(Matchday!Q101="","",Matchday!Q101)</f>
        <v/>
      </c>
      <c r="AQ99" s="1" t="str">
        <f>IF(Matchday!R101="","",Matchday!R101)</f>
        <v/>
      </c>
      <c r="AR99" s="1" t="str">
        <f t="shared" si="15"/>
        <v/>
      </c>
      <c r="AS99" s="1" t="str">
        <f t="shared" si="16"/>
        <v/>
      </c>
      <c r="AT99" s="1" t="str">
        <f>IFERROR(__xludf.DUMMYFUNCTION("IF(AB99="""",""Type the 3 odds on the Matchday tab"",IF(Method!$B$55=TRUE(),IF(Method!$B$81=TRUE(),IF(REGEXMATCH(LOWER(Method!$B$63),""circuit""),""🛑 PAUSED — circuit breaker upstream; wait for a clean live refresh."",IF(REGEXMATCH(LOWER(Method!$B$63),"""&amp;"pipeline""),""🛑 PAUSED — live pipeline warning; check Live!B11/Method!B62 before betting."",IF(REGEXMATCH(LOWER(Method!$B$63),""missing""),""🛑 PAUSED — feed timestamp missing; refresh feed before betting."",""🛑 PAUSED — feed stale &gt; 25 min — check Live"&amp;"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over"&amp;"ride stale/circuit-breaker/pipeline pauses."")),IF(AH99=""BET"",IF(AJ99=0,""Edge found but stake rounds under £""&amp;Method!$B$9&amp;"" — skip"",IF(AND(AE99&gt;=6,AG99&gt;=0.15),""🟡 WAIT — long-shot review: odds ""&amp;TEXT(AE99,""0.00"")&amp;"" + edge ""&amp;TEXT(AG99,""0.0%"")"&amp;"&amp;"" — verify sharp-book + team news + stake comfort before Placed=Y"",""Value found: EV ""&amp;TEXT(AF99,""0.0%"")&amp;"", edge ""&amp;TEXT(AG99,""0.0%""))),IF(OR(AF99&gt;Method!$B$87,IFERROR(INDEX(BC99:BE99,1,AB99)/INDEX(S99:U99,1,AB99),0)&gt;Method!$B$88),""🛑 Tail trap "&amp;"— auto-PASS · EV ""&amp;TEXT(AF99,""0.0%"")&amp;"" (cap ""&amp;TEXT(Method!$B$87,""0%"")&amp;"") · model/market ""&amp;TEXT(IFERROR(INDEX(BC99:BE99,1,AB99)/INDEX(S99:U99,1,AB99),0),""0.0"")&amp;""× (cap ""&amp;TEXT(Method!$B$88,""0.0"")&amp;""×)"",IF(AF99&lt;Method!$B$7,""Price too short —"&amp;" EV ""&amp;TEXT(AF99,""0.0%"")&amp;"" (need ""&amp;TEXT(Method!$B$7,""0.0%"")&amp;""+)"",""Model ≈ market — edge ""&amp;TEXT(AG99,""0.0%"")&amp;"" (need ""&amp;TEXT(Method!$B$8,""0.0%"")&amp;""+)"")))))"),"Price too short — EV 0.3% (need 2.5%+)")</f>
        <v>Price too short — EV 0.3% (need 2.5%+)</v>
      </c>
      <c r="AU99" s="1" t="str">
        <f t="shared" si="17"/>
        <v/>
      </c>
      <c r="AV99" s="1" t="str">
        <f>IF(Matchday!O101="","",Matchday!O101)</f>
        <v/>
      </c>
      <c r="AW99" s="1"/>
      <c r="AX99" s="1"/>
      <c r="AY99" s="1"/>
      <c r="AZ99" s="1" t="str">
        <f t="shared" si="18"/>
        <v>PASS</v>
      </c>
      <c r="BA99" s="1">
        <f>IF(AX99&lt;&gt;"",AX99,IF(AH99&lt;&gt;"BET",0,IF(AI99*Method!$B$10/100&lt;Method!$B$9,0,ROUND(AI99*Method!$B$10/100,0))))</f>
        <v>0</v>
      </c>
      <c r="BB99" s="12">
        <v>5.92</v>
      </c>
      <c r="BC99" s="12">
        <v>0.6705252663295024</v>
      </c>
      <c r="BD99" s="12">
        <v>0.22696392388450287</v>
      </c>
      <c r="BE99" s="12">
        <v>0.10251080978599475</v>
      </c>
      <c r="BF99" s="81" t="s">
        <v>415</v>
      </c>
      <c r="BG99" s="12">
        <v>0.0</v>
      </c>
    </row>
    <row r="100" ht="15.75" customHeight="1">
      <c r="A100" s="54">
        <v>99.0</v>
      </c>
      <c r="B100" s="77">
        <v>46214.0</v>
      </c>
      <c r="C100" s="55" t="s">
        <v>413</v>
      </c>
      <c r="D100" s="55" t="s">
        <v>79</v>
      </c>
      <c r="E100" s="55" t="s">
        <v>86</v>
      </c>
      <c r="F100" s="55" t="s">
        <v>398</v>
      </c>
      <c r="G100" s="78">
        <v>0.7083333333321207</v>
      </c>
      <c r="H100" s="1"/>
      <c r="I100" s="54">
        <v>0.2778691701841539</v>
      </c>
      <c r="J100" s="54">
        <v>0.296072758171866</v>
      </c>
      <c r="K100" s="54">
        <v>0.42605807164398013</v>
      </c>
      <c r="L100" s="79">
        <f>IF(Matchday!E102="","",Matchday!E102)</f>
        <v>4.2</v>
      </c>
      <c r="M100" s="79">
        <f>IF(Matchday!F102="","",Matchday!F102)</f>
        <v>3.7</v>
      </c>
      <c r="N100" s="79">
        <f>IF(Matchday!G102="","",Matchday!G102)</f>
        <v>1.85</v>
      </c>
      <c r="O100" s="1">
        <f t="shared" ref="O100:Q100" si="211">IF(L100="","",1/L100)</f>
        <v>0.2380952381</v>
      </c>
      <c r="P100" s="1">
        <f t="shared" si="211"/>
        <v>0.2702702703</v>
      </c>
      <c r="Q100" s="1">
        <f t="shared" si="211"/>
        <v>0.5405405405</v>
      </c>
      <c r="R100" s="1">
        <f t="shared" si="4"/>
        <v>1.048906049</v>
      </c>
      <c r="S100" s="1">
        <f t="array" ref="S100">IF($R100="","",IF(Method!$B$56="proportional",O100/$R100,IF(Method!$B$56="power",IFERROR(INDEX(power_devig($L100,$M100,$N100),1,1),O100/$R100),IFERROR(INDEX(shin($L100,$M100,$N100),1,1),O100/$R100))))</f>
        <v>0.2231387029</v>
      </c>
      <c r="T100" s="1">
        <f t="array" ref="T100">IF($R100="","",IF(Method!$B$56="proportional",P100/$R100,IF(Method!$B$56="power",IFERROR(INDEX(power_devig($L100,$M100,$N100),2,1),P100/$R100),IFERROR(INDEX(shin($L100,$M100,$N100),2,1),P100/$R100))))</f>
        <v>0.2549075695</v>
      </c>
      <c r="U100" s="1">
        <f t="array" ref="U100">IF($R100="","",IF(Method!$B$56="proportional",Q100/$R100,IF(Method!$B$56="power",IFERROR(INDEX(power_devig($L100,$M100,$N100),3,1),Q100/$R100),IFERROR(INDEX(shin($L100,$M100,$N100),3,1),Q100/$R100))))</f>
        <v>0.5219537277</v>
      </c>
      <c r="V100" s="1">
        <f>IF(S100="","",Method!$B$4*IF(BC100="",I100,BC100)+(1-Method!$B$4)*S100/($S100+$T100+$U100))</f>
        <v>0.2422943664</v>
      </c>
      <c r="W100" s="1">
        <f>IF(T100="","",Method!$B$4*IF(BD100="",J100,BD100)+(1-Method!$B$4)*T100/($S100+$T100+$U100))</f>
        <v>0.2693153855</v>
      </c>
      <c r="X100" s="1">
        <f>IF(U100="","",Method!$B$4*IF(BE100="",K100,BE100)+(1-Method!$B$4)*U100/($S100+$T100+$U100))</f>
        <v>0.4883902481</v>
      </c>
      <c r="Y100" s="1">
        <f t="shared" ref="Y100:AA100" si="212">IF(V100="","",V100*L100-1)</f>
        <v>0.01763633904</v>
      </c>
      <c r="Z100" s="1">
        <f t="shared" si="212"/>
        <v>-0.003533073633</v>
      </c>
      <c r="AA100" s="1">
        <f t="shared" si="212"/>
        <v>-0.09647804109</v>
      </c>
      <c r="AB100" s="1">
        <f t="shared" si="6"/>
        <v>1</v>
      </c>
      <c r="AC100" s="1" t="str">
        <f t="shared" si="7"/>
        <v>H</v>
      </c>
      <c r="AD100" s="1" t="str">
        <f t="shared" si="8"/>
        <v>1  Norway</v>
      </c>
      <c r="AE100" s="79">
        <f t="shared" si="9"/>
        <v>4.2</v>
      </c>
      <c r="AF100" s="1">
        <f t="shared" si="10"/>
        <v>0.01763633904</v>
      </c>
      <c r="AG100" s="1">
        <f t="shared" si="11"/>
        <v>0.01915566356</v>
      </c>
      <c r="AH100" s="1" t="str">
        <f t="array" ref="AH100">IF(AB100="","· enter odds",IF(OR(AF100&gt;Method!$B$87,IFERROR(INDEX(BC100:BE100,1,AB100)/INDEX(S100:U100,1,AB100),0)&gt;Method!$B$88),"PASS",IF(AND(AF100&gt;=Method!$B$7,AG100&gt;=Method!$B$8),"BET","PASS")))</f>
        <v>PASS</v>
      </c>
      <c r="AI100" s="1">
        <f>IF(AH100&lt;&gt;"BET",0,ROUND(MIN(Method!$B$6,Method!$B$5*AL100)*100,1))</f>
        <v>0</v>
      </c>
      <c r="AJ100" s="1">
        <f>IF(OR(AH100&lt;&gt;"BET",Method!$B$55=TRUE()),0,IF(AI100*Method!$B$10/100&lt;Method!$B$9,0,ROUND(AI100*Method!$B$10/100,0)))</f>
        <v>0</v>
      </c>
      <c r="AK100" s="1">
        <f t="shared" si="12"/>
        <v>0.2422943664</v>
      </c>
      <c r="AL100" s="1" t="str">
        <f t="shared" si="13"/>
        <v/>
      </c>
      <c r="AM100" s="1" t="str">
        <f t="shared" si="14"/>
        <v/>
      </c>
      <c r="AN100" s="1" t="str">
        <f>IF(Matchday!N102="","",Matchday!N102)</f>
        <v/>
      </c>
      <c r="AO100" s="1" t="str">
        <f>IF(Matchday!P102="","",Matchday!P102)</f>
        <v/>
      </c>
      <c r="AP100" s="1" t="str">
        <f>IF(Matchday!Q102="","",Matchday!Q102)</f>
        <v/>
      </c>
      <c r="AQ100" s="1" t="str">
        <f>IF(Matchday!R102="","",Matchday!R102)</f>
        <v/>
      </c>
      <c r="AR100" s="1" t="str">
        <f t="shared" si="15"/>
        <v/>
      </c>
      <c r="AS100" s="1" t="str">
        <f t="shared" si="16"/>
        <v/>
      </c>
      <c r="AT100" s="1" t="str">
        <f>IFERROR(__xludf.DUMMYFUNCTION("IF(AB100="""",""Type the 3 odds on the Matchday tab"",IF(Method!$B$55=TRUE(),IF(Method!$B$81=TRUE(),IF(REGEXMATCH(LOWER(Method!$B$63),""circuit""),""🛑 PAUSED — circuit breaker upstream; wait for a clean live refresh."",IF(REGEXMATCH(LOWER(Method!$B$63),"&amp;"""pipeline""),""🛑 PAUSED — live pipeline warning; check Live!B11/Method!B62 before betting."",IF(REGEXMATCH(LOWER(Method!$B$63),""missing""),""🛑 PAUSED — feed timestamp missing; refresh feed before betting."",""🛑 PAUSED — feed stale &gt; 25 min — check Li"&amp;"ve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ov"&amp;"erride stale/circuit-breaker/pipeline pauses."")),IF(AH100=""BET"",IF(AJ100=0,""Edge found but stake rounds under £""&amp;Method!$B$9&amp;"" — skip"",IF(AND(AE100&gt;=6,AG100&gt;=0.15),""🟡 WAIT — long-shot review: odds ""&amp;TEXT(AE100,""0.00"")&amp;"" + edge ""&amp;TEXT(AG100,"&amp;"""0.0%"")&amp;"" — verify sharp-book + team news + stake comfort before Placed=Y"",""Value found: EV ""&amp;TEXT(AF100,""0.0%"")&amp;"", edge ""&amp;TEXT(AG100,""0.0%""))),IF(OR(AF100&gt;Method!$B$87,IFERROR(INDEX(BC100:BE100,1,AB100)/INDEX(S100:U100,1,AB100),0)&gt;Method!$B$8"&amp;"8),""🛑 Tail trap — auto-PASS · EV ""&amp;TEXT(AF100,""0.0%"")&amp;"" (cap ""&amp;TEXT(Method!$B$87,""0%"")&amp;"") · model/market ""&amp;TEXT(IFERROR(INDEX(BC100:BE100,1,AB100)/INDEX(S100:U100,1,AB100),0),""0.0"")&amp;""× (cap ""&amp;TEXT(Method!$B$88,""0.0"")&amp;""×)"",IF(AF100&lt;Metho"&amp;"d!$B$7,""Price too short — EV ""&amp;TEXT(AF100,""0.0%"")&amp;"" (need ""&amp;TEXT(Method!$B$7,""0.0%"")&amp;""+)"",""Model ≈ market — edge ""&amp;TEXT(AG100,""0.0%"")&amp;"" (need ""&amp;TEXT(Method!$B$8,""0.0%"")&amp;""+)"")))))"),"Price too short — EV 1.8% (need 2.5%+)")</f>
        <v>Price too short — EV 1.8% (need 2.5%+)</v>
      </c>
      <c r="AU100" s="1" t="str">
        <f t="shared" si="17"/>
        <v/>
      </c>
      <c r="AV100" s="1" t="str">
        <f>IF(Matchday!O102="","",Matchday!O102)</f>
        <v/>
      </c>
      <c r="AW100" s="1"/>
      <c r="AX100" s="1"/>
      <c r="AY100" s="1"/>
      <c r="AZ100" s="1" t="str">
        <f t="shared" si="18"/>
        <v>PASS</v>
      </c>
      <c r="BA100" s="1">
        <f>IF(AX100&lt;&gt;"",AX100,IF(AH100&lt;&gt;"BET",0,IF(AI100*Method!$B$10/100&lt;Method!$B$9,0,ROUND(AI100*Method!$B$10/100,0))))</f>
        <v>0</v>
      </c>
      <c r="BB100" s="12">
        <v>-30.22</v>
      </c>
      <c r="BC100" s="12">
        <v>0.2778691701841539</v>
      </c>
      <c r="BD100" s="12">
        <v>0.296072758171866</v>
      </c>
      <c r="BE100" s="12">
        <v>0.42605807164398013</v>
      </c>
      <c r="BF100" s="81" t="s">
        <v>416</v>
      </c>
      <c r="BG100" s="12">
        <v>0.0</v>
      </c>
    </row>
    <row r="101" ht="15.75" customHeight="1">
      <c r="A101" s="54">
        <v>100.0</v>
      </c>
      <c r="B101" s="77">
        <v>46214.0</v>
      </c>
      <c r="C101" s="55" t="s">
        <v>413</v>
      </c>
      <c r="D101" s="55" t="s">
        <v>80</v>
      </c>
      <c r="E101" s="55" t="s">
        <v>53</v>
      </c>
      <c r="F101" s="55" t="s">
        <v>400</v>
      </c>
      <c r="G101" s="78">
        <v>0.8333333333321207</v>
      </c>
      <c r="H101" s="1"/>
      <c r="I101" s="54">
        <v>0.6643469726180622</v>
      </c>
      <c r="J101" s="54">
        <v>0.23321102388911572</v>
      </c>
      <c r="K101" s="54">
        <v>0.10244200349282213</v>
      </c>
      <c r="L101" s="79">
        <f>IF(Matchday!E103="","",Matchday!E103)</f>
        <v>1.72</v>
      </c>
      <c r="M101" s="79">
        <f>IF(Matchday!F103="","",Matchday!F103)</f>
        <v>3.5</v>
      </c>
      <c r="N101" s="79">
        <f>IF(Matchday!G103="","",Matchday!G103)</f>
        <v>5.5</v>
      </c>
      <c r="O101" s="1">
        <f t="shared" ref="O101:Q101" si="213">IF(L101="","",1/L101)</f>
        <v>0.5813953488</v>
      </c>
      <c r="P101" s="1">
        <f t="shared" si="213"/>
        <v>0.2857142857</v>
      </c>
      <c r="Q101" s="1">
        <f t="shared" si="213"/>
        <v>0.1818181818</v>
      </c>
      <c r="R101" s="1">
        <f t="shared" si="4"/>
        <v>1.048927816</v>
      </c>
      <c r="S101" s="1">
        <f t="array" ref="S101">IF($R101="","",IF(Method!$B$56="proportional",O101/$R101,IF(Method!$B$56="power",IFERROR(INDEX(power_devig($L101,$M101,$N101),1,1),O101/$R101),IFERROR(INDEX(shin($L101,$M101,$N101),1,1),O101/$R101))))</f>
        <v>0.5623073031</v>
      </c>
      <c r="T101" s="1">
        <f t="array" ref="T101">IF($R101="","",IF(Method!$B$56="proportional",P101/$R101,IF(Method!$B$56="power",IFERROR(INDEX(power_devig($L101,$M101,$N101),2,1),P101/$R101),IFERROR(INDEX(shin($L101,$M101,$N101),2,1),P101/$R101))))</f>
        <v>0.2701245225</v>
      </c>
      <c r="U101" s="1">
        <f t="array" ref="U101">IF($R101="","",IF(Method!$B$56="proportional",Q101/$R101,IF(Method!$B$56="power",IFERROR(INDEX(power_devig($L101,$M101,$N101),3,1),Q101/$R101),IFERROR(INDEX(shin($L101,$M101,$N101),3,1),Q101/$R101))))</f>
        <v>0.1675681744</v>
      </c>
      <c r="V101" s="1">
        <f>IF(S101="","",Method!$B$4*IF(BC101="",I101,BC101)+(1-Method!$B$4)*S101/($S101+$T101+$U101))</f>
        <v>0.5980211874</v>
      </c>
      <c r="W101" s="1">
        <f>IF(T101="","",Method!$B$4*IF(BD101="",J101,BD101)+(1-Method!$B$4)*T101/($S101+$T101+$U101))</f>
        <v>0.257204798</v>
      </c>
      <c r="X101" s="1">
        <f>IF(U101="","",Method!$B$4*IF(BE101="",K101,BE101)+(1-Method!$B$4)*U101/($S101+$T101+$U101))</f>
        <v>0.1447740146</v>
      </c>
      <c r="Y101" s="1">
        <f t="shared" ref="Y101:AA101" si="214">IF(V101="","",V101*L101-1)</f>
        <v>0.02859644235</v>
      </c>
      <c r="Z101" s="1">
        <f t="shared" si="214"/>
        <v>-0.09978320703</v>
      </c>
      <c r="AA101" s="1">
        <f t="shared" si="214"/>
        <v>-0.2037429197</v>
      </c>
      <c r="AB101" s="1">
        <f t="shared" si="6"/>
        <v>1</v>
      </c>
      <c r="AC101" s="1" t="str">
        <f t="shared" si="7"/>
        <v>H</v>
      </c>
      <c r="AD101" s="1" t="str">
        <f t="shared" si="8"/>
        <v>1  Argentina</v>
      </c>
      <c r="AE101" s="79">
        <f t="shared" si="9"/>
        <v>1.72</v>
      </c>
      <c r="AF101" s="1">
        <f t="shared" si="10"/>
        <v>0.02859644235</v>
      </c>
      <c r="AG101" s="1">
        <f t="shared" si="11"/>
        <v>0.03571388434</v>
      </c>
      <c r="AH101" s="1" t="str">
        <f t="array" ref="AH101">IF(AB101="","· enter odds",IF(OR(AF101&gt;Method!$B$87,IFERROR(INDEX(BC101:BE101,1,AB101)/INDEX(S101:U101,1,AB101),0)&gt;Method!$B$88),"PASS",IF(AND(AF101&gt;=Method!$B$7,AG101&gt;=Method!$B$8),"BET","PASS")))</f>
        <v>BET</v>
      </c>
      <c r="AI101" s="1">
        <f>IF(AH101&lt;&gt;"BET",0,ROUND(MIN(Method!$B$6,Method!$B$5*AL101)*100,1))</f>
        <v>1</v>
      </c>
      <c r="AJ101" s="1">
        <f>IF(OR(AH101&lt;&gt;"BET",Method!$B$55=TRUE()),0,IF(AI101*Method!$B$10/100&lt;Method!$B$9,0,ROUND(AI101*Method!$B$10/100,0)))</f>
        <v>10</v>
      </c>
      <c r="AK101" s="1">
        <f t="shared" si="12"/>
        <v>0.5980211874</v>
      </c>
      <c r="AL101" s="1">
        <f t="shared" si="13"/>
        <v>0.03971728105</v>
      </c>
      <c r="AM101" s="1">
        <f t="shared" si="14"/>
        <v>0.02869644235</v>
      </c>
      <c r="AN101" s="1" t="str">
        <f>IF(Matchday!N103="","",Matchday!N103)</f>
        <v/>
      </c>
      <c r="AO101" s="1" t="str">
        <f>IF(Matchday!P103="","",Matchday!P103)</f>
        <v/>
      </c>
      <c r="AP101" s="1" t="str">
        <f>IF(Matchday!Q103="","",Matchday!Q103)</f>
        <v/>
      </c>
      <c r="AQ101" s="1" t="str">
        <f>IF(Matchday!R103="","",Matchday!R103)</f>
        <v/>
      </c>
      <c r="AR101" s="1" t="str">
        <f t="shared" si="15"/>
        <v/>
      </c>
      <c r="AS101" s="1" t="str">
        <f t="shared" si="16"/>
        <v/>
      </c>
      <c r="AT101" s="1" t="str">
        <f>IFERROR(__xludf.DUMMYFUNCTION("IF(AB101="""",""Type the 3 odds on the Matchday tab"",IF(Method!$B$55=TRUE(),IF(Method!$B$81=TRUE(),IF(REGEXMATCH(LOWER(Method!$B$63),""circuit""),""🛑 PAUSED — circuit breaker upstream; wait for a clean live refresh."",IF(REGEXMATCH(LOWER(Method!$B$63),"&amp;"""pipeline""),""🛑 PAUSED — live pipeline warning; check Live!B11/Method!B62 before betting."",IF(REGEXMATCH(LOWER(Method!$B$63),""missing""),""🛑 PAUSED — feed timestamp missing; refresh feed before betting."",""🛑 PAUSED — feed stale &gt; 25 min — check Li"&amp;"ve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ov"&amp;"erride stale/circuit-breaker/pipeline pauses."")),IF(AH101=""BET"",IF(AJ101=0,""Edge found but stake rounds under £""&amp;Method!$B$9&amp;"" — skip"",IF(AND(AE101&gt;=6,AG101&gt;=0.15),""🟡 WAIT — long-shot review: odds ""&amp;TEXT(AE101,""0.00"")&amp;"" + edge ""&amp;TEXT(AG101,"&amp;"""0.0%"")&amp;"" — verify sharp-book + team news + stake comfort before Placed=Y"",""Value found: EV ""&amp;TEXT(AF101,""0.0%"")&amp;"", edge ""&amp;TEXT(AG101,""0.0%""))),IF(OR(AF101&gt;Method!$B$87,IFERROR(INDEX(BC101:BE101,1,AB101)/INDEX(S101:U101,1,AB101),0)&gt;Method!$B$8"&amp;"8),""🛑 Tail trap — auto-PASS · EV ""&amp;TEXT(AF101,""0.0%"")&amp;"" (cap ""&amp;TEXT(Method!$B$87,""0%"")&amp;"") · model/market ""&amp;TEXT(IFERROR(INDEX(BC101:BE101,1,AB101)/INDEX(S101:U101,1,AB101),0),""0.0"")&amp;""× (cap ""&amp;TEXT(Method!$B$88,""0.0"")&amp;""×)"",IF(AF101&lt;Metho"&amp;"d!$B$7,""Price too short — EV ""&amp;TEXT(AF101,""0.0%"")&amp;"" (need ""&amp;TEXT(Method!$B$7,""0.0%"")&amp;""+)"",""Model ≈ market — edge ""&amp;TEXT(AG101,""0.0%"")&amp;"" (need ""&amp;TEXT(Method!$B$8,""0.0%"")&amp;""+)"")))))"),"Value found: EV 2.9%, edge 3.6%")</f>
        <v>Value found: EV 2.9%, edge 3.6%</v>
      </c>
      <c r="AU101" s="1" t="str">
        <f t="shared" si="17"/>
        <v/>
      </c>
      <c r="AV101" s="1" t="str">
        <f>IF(Matchday!O103="","",Matchday!O103)</f>
        <v/>
      </c>
      <c r="AW101" s="1"/>
      <c r="AX101" s="1"/>
      <c r="AY101" s="1"/>
      <c r="AZ101" s="1" t="str">
        <f t="shared" si="18"/>
        <v>BET</v>
      </c>
      <c r="BA101" s="1">
        <f>IF(AX101&lt;&gt;"",AX101,IF(AH101&lt;&gt;"BET",0,IF(AI101*Method!$B$10/100&lt;Method!$B$9,0,ROUND(AI101*Method!$B$10/100,0))))</f>
        <v>10</v>
      </c>
      <c r="BB101" s="12">
        <v>-8.739999999999998</v>
      </c>
      <c r="BC101" s="12">
        <v>0.6643469726180622</v>
      </c>
      <c r="BD101" s="12">
        <v>0.23321102388911572</v>
      </c>
      <c r="BE101" s="12">
        <v>0.10244200349282213</v>
      </c>
      <c r="BF101" s="81" t="s">
        <v>417</v>
      </c>
      <c r="BG101" s="12">
        <v>270.0</v>
      </c>
      <c r="BH101" s="14" t="s">
        <v>314</v>
      </c>
    </row>
    <row r="102" ht="15.75" customHeight="1">
      <c r="A102" s="54">
        <v>101.0</v>
      </c>
      <c r="B102" s="77">
        <v>46217.0</v>
      </c>
      <c r="C102" s="55" t="s">
        <v>418</v>
      </c>
      <c r="D102" s="55" t="s">
        <v>92</v>
      </c>
      <c r="E102" s="55" t="s">
        <v>93</v>
      </c>
      <c r="F102" s="55" t="s">
        <v>386</v>
      </c>
      <c r="G102" s="78">
        <v>0.5833333333321207</v>
      </c>
      <c r="H102" s="1"/>
      <c r="I102" s="1"/>
      <c r="J102" s="1"/>
      <c r="K102" s="1"/>
      <c r="L102" s="1" t="str">
        <f>IF(Matchday!E104="","",Matchday!E104)</f>
        <v/>
      </c>
      <c r="M102" s="1" t="str">
        <f>IF(Matchday!F104="","",Matchday!F104)</f>
        <v/>
      </c>
      <c r="N102" s="1" t="str">
        <f>IF(Matchday!G104="","",Matchday!G104)</f>
        <v/>
      </c>
      <c r="O102" s="1" t="str">
        <f t="shared" ref="O102:Q102" si="215">IF(L102="","",1/L102)</f>
        <v/>
      </c>
      <c r="P102" s="1" t="str">
        <f t="shared" si="215"/>
        <v/>
      </c>
      <c r="Q102" s="1" t="str">
        <f t="shared" si="215"/>
        <v/>
      </c>
      <c r="R102" s="1" t="str">
        <f t="shared" si="4"/>
        <v/>
      </c>
      <c r="S102" s="1" t="str">
        <f t="array" ref="S102">IF($R102="","",IF(Method!$B$56="proportional",O102/$R102,IF(Method!$B$56="power",IFERROR(INDEX(power_devig($L102,$M102,$N102),1,1),O102/$R102),IFERROR(INDEX(shin($L102,$M102,$N102),1,1),O102/$R102))))</f>
        <v/>
      </c>
      <c r="T102" s="1" t="str">
        <f t="array" ref="T102">IF($R102="","",IF(Method!$B$56="proportional",P102/$R102,IF(Method!$B$56="power",IFERROR(INDEX(power_devig($L102,$M102,$N102),2,1),P102/$R102),IFERROR(INDEX(shin($L102,$M102,$N102),2,1),P102/$R102))))</f>
        <v/>
      </c>
      <c r="U102" s="1" t="str">
        <f t="array" ref="U102">IF($R102="","",IF(Method!$B$56="proportional",Q102/$R102,IF(Method!$B$56="power",IFERROR(INDEX(power_devig($L102,$M102,$N102),3,1),Q102/$R102),IFERROR(INDEX(shin($L102,$M102,$N102),3,1),Q102/$R102))))</f>
        <v/>
      </c>
      <c r="V102" s="1" t="str">
        <f>IF(S102="","",Method!$B$4*IF(BC102="",I102,BC102)+(1-Method!$B$4)*S102/($S102+$T102+$U102))</f>
        <v/>
      </c>
      <c r="W102" s="1" t="str">
        <f>IF(T102="","",Method!$B$4*IF(BD102="",J102,BD102)+(1-Method!$B$4)*T102/($S102+$T102+$U102))</f>
        <v/>
      </c>
      <c r="X102" s="1" t="str">
        <f>IF(U102="","",Method!$B$4*IF(BE102="",K102,BE102)+(1-Method!$B$4)*U102/($S102+$T102+$U102))</f>
        <v/>
      </c>
      <c r="Y102" s="1" t="str">
        <f t="shared" ref="Y102:AA102" si="216">IF(V102="","",V102*L102-1)</f>
        <v/>
      </c>
      <c r="Z102" s="1" t="str">
        <f t="shared" si="216"/>
        <v/>
      </c>
      <c r="AA102" s="1" t="str">
        <f t="shared" si="216"/>
        <v/>
      </c>
      <c r="AB102" s="1" t="str">
        <f t="shared" si="6"/>
        <v/>
      </c>
      <c r="AC102" s="1" t="str">
        <f t="shared" si="7"/>
        <v/>
      </c>
      <c r="AD102" s="1" t="str">
        <f t="shared" si="8"/>
        <v/>
      </c>
      <c r="AE102" s="1" t="str">
        <f t="shared" si="9"/>
        <v/>
      </c>
      <c r="AF102" s="1" t="str">
        <f t="shared" si="10"/>
        <v/>
      </c>
      <c r="AG102" s="1" t="str">
        <f t="shared" si="11"/>
        <v/>
      </c>
      <c r="AH102" s="1" t="str">
        <f t="array" ref="AH102">IF(AB102="","· enter odds",IF(OR(AF102&gt;Method!$B$87,IFERROR(INDEX(BC102:BE102,1,AB102)/INDEX(S102:U102,1,AB102),0)&gt;Method!$B$88),"PASS",IF(AND(AF102&gt;=Method!$B$7,AG102&gt;=Method!$B$8),"BET","PASS")))</f>
        <v>· enter odds</v>
      </c>
      <c r="AI102" s="1">
        <f>IF(AH102&lt;&gt;"BET",0,ROUND(MIN(Method!$B$6,Method!$B$5*AL102)*100,1))</f>
        <v>0</v>
      </c>
      <c r="AJ102" s="1">
        <f>IF(OR(AH102&lt;&gt;"BET",Method!$B$55=TRUE()),0,IF(AI102*Method!$B$10/100&lt;Method!$B$9,0,ROUND(AI102*Method!$B$10/100,0)))</f>
        <v>0</v>
      </c>
      <c r="AK102" s="1" t="str">
        <f t="shared" si="12"/>
        <v/>
      </c>
      <c r="AL102" s="1" t="str">
        <f t="shared" si="13"/>
        <v/>
      </c>
      <c r="AM102" s="1" t="str">
        <f t="shared" si="14"/>
        <v/>
      </c>
      <c r="AN102" s="1" t="str">
        <f>IF(Matchday!N104="","",Matchday!N104)</f>
        <v/>
      </c>
      <c r="AO102" s="1" t="str">
        <f>IF(Matchday!P104="","",Matchday!P104)</f>
        <v/>
      </c>
      <c r="AP102" s="1" t="str">
        <f>IF(Matchday!Q104="","",Matchday!Q104)</f>
        <v/>
      </c>
      <c r="AQ102" s="1" t="str">
        <f>IF(Matchday!R104="","",Matchday!R104)</f>
        <v/>
      </c>
      <c r="AR102" s="1" t="str">
        <f t="shared" si="15"/>
        <v/>
      </c>
      <c r="AS102" s="1" t="str">
        <f t="shared" si="16"/>
        <v/>
      </c>
      <c r="AT102" s="1" t="str">
        <f>IFERROR(__xludf.DUMMYFUNCTION("IF(AB102="""",""Type the 3 odds on the Matchday tab"",IF(Method!$B$55=TRUE(),IF(Method!$B$81=TRUE(),IF(REGEXMATCH(LOWER(Method!$B$63),""circuit""),""🛑 PAUSED — circuit breaker upstream; wait for a clean live refresh."",IF(REGEXMATCH(LOWER(Method!$B$63),"&amp;"""pipeline""),""🛑 PAUSED — live pipeline warning; check Live!B11/Method!B62 before betting."",IF(REGEXMATCH(LOWER(Method!$B$63),""missing""),""🛑 PAUSED — feed timestamp missing; refresh feed before betting."",""🛑 PAUSED — feed stale &gt; 25 min — check Li"&amp;"ve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ov"&amp;"erride stale/circuit-breaker/pipeline pauses."")),IF(AH102=""BET"",IF(AJ102=0,""Edge found but stake rounds under £""&amp;Method!$B$9&amp;"" — skip"",IF(AND(AE102&gt;=6,AG102&gt;=0.15),""🟡 WAIT — long-shot review: odds ""&amp;TEXT(AE102,""0.00"")&amp;"" + edge ""&amp;TEXT(AG102,"&amp;"""0.0%"")&amp;"" — verify sharp-book + team news + stake comfort before Placed=Y"",""Value found: EV ""&amp;TEXT(AF102,""0.0%"")&amp;"", edge ""&amp;TEXT(AG102,""0.0%""))),IF(OR(AF102&gt;Method!$B$87,IFERROR(INDEX(BC102:BE102,1,AB102)/INDEX(S102:U102,1,AB102),0)&gt;Method!$B$8"&amp;"8),""🛑 Tail trap — auto-PASS · EV ""&amp;TEXT(AF102,""0.0%"")&amp;"" (cap ""&amp;TEXT(Method!$B$87,""0%"")&amp;"") · model/market ""&amp;TEXT(IFERROR(INDEX(BC102:BE102,1,AB102)/INDEX(S102:U102,1,AB102),0),""0.0"")&amp;""× (cap ""&amp;TEXT(Method!$B$88,""0.0"")&amp;""×)"",IF(AF102&lt;Metho"&amp;"d!$B$7,""Price too short — EV ""&amp;TEXT(AF102,""0.0%"")&amp;"" (need ""&amp;TEXT(Method!$B$7,""0.0%"")&amp;""+)"",""Model ≈ market — edge ""&amp;TEXT(AG102,""0.0%"")&amp;"" (need ""&amp;TEXT(Method!$B$8,""0.0%"")&amp;""+)"")))))"),"Type the 3 odds on the Matchday tab")</f>
        <v>Type the 3 odds on the Matchday tab</v>
      </c>
      <c r="AU102" s="1" t="str">
        <f t="shared" si="17"/>
        <v/>
      </c>
      <c r="AV102" s="1" t="str">
        <f>IF(Matchday!O104="","",Matchday!O104)</f>
        <v/>
      </c>
      <c r="AW102" s="1"/>
      <c r="AX102" s="1"/>
      <c r="AY102" s="1"/>
      <c r="AZ102" s="1" t="str">
        <f t="shared" si="18"/>
        <v>· enter odds</v>
      </c>
      <c r="BA102" s="1">
        <f>IF(AX102&lt;&gt;"",AX102,IF(AH102&lt;&gt;"BET",0,IF(AI102*Method!$B$10/100&lt;Method!$B$9,0,ROUND(AI102*Method!$B$10/100,0))))</f>
        <v>0</v>
      </c>
      <c r="BB102" s="12">
        <v>0.0</v>
      </c>
      <c r="BC102" s="12">
        <v>0.0</v>
      </c>
      <c r="BD102" s="12">
        <v>0.0</v>
      </c>
      <c r="BE102" s="12">
        <v>0.0</v>
      </c>
      <c r="BG102" s="12">
        <v>0.0</v>
      </c>
    </row>
    <row r="103" ht="15.75" customHeight="1">
      <c r="A103" s="54">
        <v>102.0</v>
      </c>
      <c r="B103" s="77">
        <v>46218.0</v>
      </c>
      <c r="C103" s="55" t="s">
        <v>418</v>
      </c>
      <c r="D103" s="55" t="s">
        <v>94</v>
      </c>
      <c r="E103" s="55" t="s">
        <v>95</v>
      </c>
      <c r="F103" s="55" t="s">
        <v>389</v>
      </c>
      <c r="G103" s="78">
        <v>0.625</v>
      </c>
      <c r="H103" s="1"/>
      <c r="I103" s="1"/>
      <c r="J103" s="1"/>
      <c r="K103" s="1"/>
      <c r="L103" s="1" t="str">
        <f>IF(Matchday!E105="","",Matchday!E105)</f>
        <v/>
      </c>
      <c r="M103" s="1" t="str">
        <f>IF(Matchday!F105="","",Matchday!F105)</f>
        <v/>
      </c>
      <c r="N103" s="1" t="str">
        <f>IF(Matchday!G105="","",Matchday!G105)</f>
        <v/>
      </c>
      <c r="O103" s="1" t="str">
        <f t="shared" ref="O103:Q103" si="217">IF(L103="","",1/L103)</f>
        <v/>
      </c>
      <c r="P103" s="1" t="str">
        <f t="shared" si="217"/>
        <v/>
      </c>
      <c r="Q103" s="1" t="str">
        <f t="shared" si="217"/>
        <v/>
      </c>
      <c r="R103" s="1" t="str">
        <f t="shared" si="4"/>
        <v/>
      </c>
      <c r="S103" s="1" t="str">
        <f t="array" ref="S103">IF($R103="","",IF(Method!$B$56="proportional",O103/$R103,IF(Method!$B$56="power",IFERROR(INDEX(power_devig($L103,$M103,$N103),1,1),O103/$R103),IFERROR(INDEX(shin($L103,$M103,$N103),1,1),O103/$R103))))</f>
        <v/>
      </c>
      <c r="T103" s="1" t="str">
        <f t="array" ref="T103">IF($R103="","",IF(Method!$B$56="proportional",P103/$R103,IF(Method!$B$56="power",IFERROR(INDEX(power_devig($L103,$M103,$N103),2,1),P103/$R103),IFERROR(INDEX(shin($L103,$M103,$N103),2,1),P103/$R103))))</f>
        <v/>
      </c>
      <c r="U103" s="1" t="str">
        <f t="array" ref="U103">IF($R103="","",IF(Method!$B$56="proportional",Q103/$R103,IF(Method!$B$56="power",IFERROR(INDEX(power_devig($L103,$M103,$N103),3,1),Q103/$R103),IFERROR(INDEX(shin($L103,$M103,$N103),3,1),Q103/$R103))))</f>
        <v/>
      </c>
      <c r="V103" s="1" t="str">
        <f>IF(S103="","",Method!$B$4*IF(BC103="",I103,BC103)+(1-Method!$B$4)*S103/($S103+$T103+$U103))</f>
        <v/>
      </c>
      <c r="W103" s="1" t="str">
        <f>IF(T103="","",Method!$B$4*IF(BD103="",J103,BD103)+(1-Method!$B$4)*T103/($S103+$T103+$U103))</f>
        <v/>
      </c>
      <c r="X103" s="1" t="str">
        <f>IF(U103="","",Method!$B$4*IF(BE103="",K103,BE103)+(1-Method!$B$4)*U103/($S103+$T103+$U103))</f>
        <v/>
      </c>
      <c r="Y103" s="1" t="str">
        <f t="shared" ref="Y103:AA103" si="218">IF(V103="","",V103*L103-1)</f>
        <v/>
      </c>
      <c r="Z103" s="1" t="str">
        <f t="shared" si="218"/>
        <v/>
      </c>
      <c r="AA103" s="1" t="str">
        <f t="shared" si="218"/>
        <v/>
      </c>
      <c r="AB103" s="1" t="str">
        <f t="shared" si="6"/>
        <v/>
      </c>
      <c r="AC103" s="1" t="str">
        <f t="shared" si="7"/>
        <v/>
      </c>
      <c r="AD103" s="1" t="str">
        <f t="shared" si="8"/>
        <v/>
      </c>
      <c r="AE103" s="1" t="str">
        <f t="shared" si="9"/>
        <v/>
      </c>
      <c r="AF103" s="1" t="str">
        <f t="shared" si="10"/>
        <v/>
      </c>
      <c r="AG103" s="1" t="str">
        <f t="shared" si="11"/>
        <v/>
      </c>
      <c r="AH103" s="1" t="str">
        <f t="array" ref="AH103">IF(AB103="","· enter odds",IF(OR(AF103&gt;Method!$B$87,IFERROR(INDEX(BC103:BE103,1,AB103)/INDEX(S103:U103,1,AB103),0)&gt;Method!$B$88),"PASS",IF(AND(AF103&gt;=Method!$B$7,AG103&gt;=Method!$B$8),"BET","PASS")))</f>
        <v>· enter odds</v>
      </c>
      <c r="AI103" s="1">
        <f>IF(AH103&lt;&gt;"BET",0,ROUND(MIN(Method!$B$6,Method!$B$5*AL103)*100,1))</f>
        <v>0</v>
      </c>
      <c r="AJ103" s="1">
        <f>IF(OR(AH103&lt;&gt;"BET",Method!$B$55=TRUE()),0,IF(AI103*Method!$B$10/100&lt;Method!$B$9,0,ROUND(AI103*Method!$B$10/100,0)))</f>
        <v>0</v>
      </c>
      <c r="AK103" s="1" t="str">
        <f t="shared" si="12"/>
        <v/>
      </c>
      <c r="AL103" s="1" t="str">
        <f t="shared" si="13"/>
        <v/>
      </c>
      <c r="AM103" s="1" t="str">
        <f t="shared" si="14"/>
        <v/>
      </c>
      <c r="AN103" s="1" t="str">
        <f>IF(Matchday!N105="","",Matchday!N105)</f>
        <v/>
      </c>
      <c r="AO103" s="1" t="str">
        <f>IF(Matchday!P105="","",Matchday!P105)</f>
        <v/>
      </c>
      <c r="AP103" s="1" t="str">
        <f>IF(Matchday!Q105="","",Matchday!Q105)</f>
        <v/>
      </c>
      <c r="AQ103" s="1" t="str">
        <f>IF(Matchday!R105="","",Matchday!R105)</f>
        <v/>
      </c>
      <c r="AR103" s="1" t="str">
        <f t="shared" si="15"/>
        <v/>
      </c>
      <c r="AS103" s="1" t="str">
        <f t="shared" si="16"/>
        <v/>
      </c>
      <c r="AT103" s="1" t="str">
        <f>IFERROR(__xludf.DUMMYFUNCTION("IF(AB103="""",""Type the 3 odds on the Matchday tab"",IF(Method!$B$55=TRUE(),IF(Method!$B$81=TRUE(),IF(REGEXMATCH(LOWER(Method!$B$63),""circuit""),""🛑 PAUSED — circuit breaker upstream; wait for a clean live refresh."",IF(REGEXMATCH(LOWER(Method!$B$63),"&amp;"""pipeline""),""🛑 PAUSED — live pipeline warning; check Live!B11/Method!B62 before betting."",IF(REGEXMATCH(LOWER(Method!$B$63),""missing""),""🛑 PAUSED — feed timestamp missing; refresh feed before betting."",""🛑 PAUSED — feed stale &gt; 25 min — check Li"&amp;"ve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ov"&amp;"erride stale/circuit-breaker/pipeline pauses."")),IF(AH103=""BET"",IF(AJ103=0,""Edge found but stake rounds under £""&amp;Method!$B$9&amp;"" — skip"",IF(AND(AE103&gt;=6,AG103&gt;=0.15),""🟡 WAIT — long-shot review: odds ""&amp;TEXT(AE103,""0.00"")&amp;"" + edge ""&amp;TEXT(AG103,"&amp;"""0.0%"")&amp;"" — verify sharp-book + team news + stake comfort before Placed=Y"",""Value found: EV ""&amp;TEXT(AF103,""0.0%"")&amp;"", edge ""&amp;TEXT(AG103,""0.0%""))),IF(OR(AF103&gt;Method!$B$87,IFERROR(INDEX(BC103:BE103,1,AB103)/INDEX(S103:U103,1,AB103),0)&gt;Method!$B$8"&amp;"8),""🛑 Tail trap — auto-PASS · EV ""&amp;TEXT(AF103,""0.0%"")&amp;"" (cap ""&amp;TEXT(Method!$B$87,""0%"")&amp;"") · model/market ""&amp;TEXT(IFERROR(INDEX(BC103:BE103,1,AB103)/INDEX(S103:U103,1,AB103),0),""0.0"")&amp;""× (cap ""&amp;TEXT(Method!$B$88,""0.0"")&amp;""×)"",IF(AF103&lt;Metho"&amp;"d!$B$7,""Price too short — EV ""&amp;TEXT(AF103,""0.0%"")&amp;"" (need ""&amp;TEXT(Method!$B$7,""0.0%"")&amp;""+)"",""Model ≈ market — edge ""&amp;TEXT(AG103,""0.0%"")&amp;"" (need ""&amp;TEXT(Method!$B$8,""0.0%"")&amp;""+)"")))))"),"Type the 3 odds on the Matchday tab")</f>
        <v>Type the 3 odds on the Matchday tab</v>
      </c>
      <c r="AU103" s="1" t="str">
        <f t="shared" si="17"/>
        <v/>
      </c>
      <c r="AV103" s="1" t="str">
        <f>IF(Matchday!O105="","",Matchday!O105)</f>
        <v/>
      </c>
      <c r="AW103" s="1"/>
      <c r="AX103" s="1"/>
      <c r="AY103" s="1"/>
      <c r="AZ103" s="1" t="str">
        <f t="shared" si="18"/>
        <v>· enter odds</v>
      </c>
      <c r="BA103" s="1">
        <f>IF(AX103&lt;&gt;"",AX103,IF(AH103&lt;&gt;"BET",0,IF(AI103*Method!$B$10/100&lt;Method!$B$9,0,ROUND(AI103*Method!$B$10/100,0))))</f>
        <v>0</v>
      </c>
      <c r="BB103" s="12">
        <v>0.0</v>
      </c>
      <c r="BC103" s="12">
        <v>0.0</v>
      </c>
      <c r="BD103" s="12">
        <v>0.0</v>
      </c>
      <c r="BE103" s="12">
        <v>0.0</v>
      </c>
      <c r="BG103" s="12">
        <v>320.0</v>
      </c>
      <c r="BH103" s="14" t="s">
        <v>300</v>
      </c>
    </row>
    <row r="104" ht="15.75" customHeight="1">
      <c r="A104" s="54">
        <v>103.0</v>
      </c>
      <c r="B104" s="77">
        <v>46221.0</v>
      </c>
      <c r="C104" s="55" t="s">
        <v>419</v>
      </c>
      <c r="D104" s="55" t="s">
        <v>96</v>
      </c>
      <c r="E104" s="55" t="s">
        <v>97</v>
      </c>
      <c r="F104" s="55" t="s">
        <v>398</v>
      </c>
      <c r="G104" s="78">
        <v>0.7083333333321207</v>
      </c>
      <c r="H104" s="1"/>
      <c r="I104" s="1"/>
      <c r="J104" s="1"/>
      <c r="K104" s="1"/>
      <c r="L104" s="1" t="str">
        <f>IF(Matchday!E106="","",Matchday!E106)</f>
        <v/>
      </c>
      <c r="M104" s="1" t="str">
        <f>IF(Matchday!F106="","",Matchday!F106)</f>
        <v/>
      </c>
      <c r="N104" s="1" t="str">
        <f>IF(Matchday!G106="","",Matchday!G106)</f>
        <v/>
      </c>
      <c r="O104" s="1" t="str">
        <f t="shared" ref="O104:Q104" si="219">IF(L104="","",1/L104)</f>
        <v/>
      </c>
      <c r="P104" s="1" t="str">
        <f t="shared" si="219"/>
        <v/>
      </c>
      <c r="Q104" s="1" t="str">
        <f t="shared" si="219"/>
        <v/>
      </c>
      <c r="R104" s="1" t="str">
        <f t="shared" si="4"/>
        <v/>
      </c>
      <c r="S104" s="1" t="str">
        <f t="array" ref="S104">IF($R104="","",IF(Method!$B$56="proportional",O104/$R104,IF(Method!$B$56="power",IFERROR(INDEX(power_devig($L104,$M104,$N104),1,1),O104/$R104),IFERROR(INDEX(shin($L104,$M104,$N104),1,1),O104/$R104))))</f>
        <v/>
      </c>
      <c r="T104" s="1" t="str">
        <f t="array" ref="T104">IF($R104="","",IF(Method!$B$56="proportional",P104/$R104,IF(Method!$B$56="power",IFERROR(INDEX(power_devig($L104,$M104,$N104),2,1),P104/$R104),IFERROR(INDEX(shin($L104,$M104,$N104),2,1),P104/$R104))))</f>
        <v/>
      </c>
      <c r="U104" s="1" t="str">
        <f t="array" ref="U104">IF($R104="","",IF(Method!$B$56="proportional",Q104/$R104,IF(Method!$B$56="power",IFERROR(INDEX(power_devig($L104,$M104,$N104),3,1),Q104/$R104),IFERROR(INDEX(shin($L104,$M104,$N104),3,1),Q104/$R104))))</f>
        <v/>
      </c>
      <c r="V104" s="1" t="str">
        <f>IF(S104="","",Method!$B$4*IF(BC104="",I104,BC104)+(1-Method!$B$4)*S104/($S104+$T104+$U104))</f>
        <v/>
      </c>
      <c r="W104" s="1" t="str">
        <f>IF(T104="","",Method!$B$4*IF(BD104="",J104,BD104)+(1-Method!$B$4)*T104/($S104+$T104+$U104))</f>
        <v/>
      </c>
      <c r="X104" s="1" t="str">
        <f>IF(U104="","",Method!$B$4*IF(BE104="",K104,BE104)+(1-Method!$B$4)*U104/($S104+$T104+$U104))</f>
        <v/>
      </c>
      <c r="Y104" s="1" t="str">
        <f t="shared" ref="Y104:AA104" si="220">IF(V104="","",V104*L104-1)</f>
        <v/>
      </c>
      <c r="Z104" s="1" t="str">
        <f t="shared" si="220"/>
        <v/>
      </c>
      <c r="AA104" s="1" t="str">
        <f t="shared" si="220"/>
        <v/>
      </c>
      <c r="AB104" s="1" t="str">
        <f t="shared" si="6"/>
        <v/>
      </c>
      <c r="AC104" s="1" t="str">
        <f t="shared" si="7"/>
        <v/>
      </c>
      <c r="AD104" s="1" t="str">
        <f t="shared" si="8"/>
        <v/>
      </c>
      <c r="AE104" s="1" t="str">
        <f t="shared" si="9"/>
        <v/>
      </c>
      <c r="AF104" s="1" t="str">
        <f t="shared" si="10"/>
        <v/>
      </c>
      <c r="AG104" s="1" t="str">
        <f t="shared" si="11"/>
        <v/>
      </c>
      <c r="AH104" s="1" t="str">
        <f t="array" ref="AH104">IF(AB104="","· enter odds",IF(OR(AF104&gt;Method!$B$87,IFERROR(INDEX(BC104:BE104,1,AB104)/INDEX(S104:U104,1,AB104),0)&gt;Method!$B$88),"PASS",IF(AND(AF104&gt;=Method!$B$7,AG104&gt;=Method!$B$8),"BET","PASS")))</f>
        <v>· enter odds</v>
      </c>
      <c r="AI104" s="1">
        <f>IF(AH104&lt;&gt;"BET",0,ROUND(MIN(Method!$B$6,Method!$B$5*AL104)*100,1))</f>
        <v>0</v>
      </c>
      <c r="AJ104" s="1">
        <f>IF(OR(AH104&lt;&gt;"BET",Method!$B$55=TRUE()),0,IF(AI104*Method!$B$10/100&lt;Method!$B$9,0,ROUND(AI104*Method!$B$10/100,0)))</f>
        <v>0</v>
      </c>
      <c r="AK104" s="1" t="str">
        <f t="shared" si="12"/>
        <v/>
      </c>
      <c r="AL104" s="1" t="str">
        <f t="shared" si="13"/>
        <v/>
      </c>
      <c r="AM104" s="1" t="str">
        <f t="shared" si="14"/>
        <v/>
      </c>
      <c r="AN104" s="1" t="str">
        <f>IF(Matchday!N106="","",Matchday!N106)</f>
        <v/>
      </c>
      <c r="AO104" s="1" t="str">
        <f>IF(Matchday!P106="","",Matchday!P106)</f>
        <v/>
      </c>
      <c r="AP104" s="1" t="str">
        <f>IF(Matchday!Q106="","",Matchday!Q106)</f>
        <v/>
      </c>
      <c r="AQ104" s="1" t="str">
        <f>IF(Matchday!R106="","",Matchday!R106)</f>
        <v/>
      </c>
      <c r="AR104" s="1" t="str">
        <f t="shared" si="15"/>
        <v/>
      </c>
      <c r="AS104" s="1" t="str">
        <f t="shared" si="16"/>
        <v/>
      </c>
      <c r="AT104" s="1" t="str">
        <f>IFERROR(__xludf.DUMMYFUNCTION("IF(AB104="""",""Type the 3 odds on the Matchday tab"",IF(Method!$B$55=TRUE(),IF(Method!$B$81=TRUE(),IF(REGEXMATCH(LOWER(Method!$B$63),""circuit""),""🛑 PAUSED — circuit breaker upstream; wait for a clean live refresh."",IF(REGEXMATCH(LOWER(Method!$B$63),"&amp;"""pipeline""),""🛑 PAUSED — live pipeline warning; check Live!B11/Method!B62 before betting."",IF(REGEXMATCH(LOWER(Method!$B$63),""missing""),""🛑 PAUSED — feed timestamp missing; refresh feed before betting."",""🛑 PAUSED — feed stale &gt; 25 min — check Li"&amp;"ve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ov"&amp;"erride stale/circuit-breaker/pipeline pauses."")),IF(AH104=""BET"",IF(AJ104=0,""Edge found but stake rounds under £""&amp;Method!$B$9&amp;"" — skip"",IF(AND(AE104&gt;=6,AG104&gt;=0.15),""🟡 WAIT — long-shot review: odds ""&amp;TEXT(AE104,""0.00"")&amp;"" + edge ""&amp;TEXT(AG104,"&amp;"""0.0%"")&amp;"" — verify sharp-book + team news + stake comfort before Placed=Y"",""Value found: EV ""&amp;TEXT(AF104,""0.0%"")&amp;"", edge ""&amp;TEXT(AG104,""0.0%""))),IF(OR(AF104&gt;Method!$B$87,IFERROR(INDEX(BC104:BE104,1,AB104)/INDEX(S104:U104,1,AB104),0)&gt;Method!$B$8"&amp;"8),""🛑 Tail trap — auto-PASS · EV ""&amp;TEXT(AF104,""0.0%"")&amp;"" (cap ""&amp;TEXT(Method!$B$87,""0%"")&amp;"") · model/market ""&amp;TEXT(IFERROR(INDEX(BC104:BE104,1,AB104)/INDEX(S104:U104,1,AB104),0),""0.0"")&amp;""× (cap ""&amp;TEXT(Method!$B$88,""0.0"")&amp;""×)"",IF(AF104&lt;Metho"&amp;"d!$B$7,""Price too short — EV ""&amp;TEXT(AF104,""0.0%"")&amp;"" (need ""&amp;TEXT(Method!$B$7,""0.0%"")&amp;""+)"",""Model ≈ market — edge ""&amp;TEXT(AG104,""0.0%"")&amp;"" (need ""&amp;TEXT(Method!$B$8,""0.0%"")&amp;""+)"")))))"),"Type the 3 odds on the Matchday tab")</f>
        <v>Type the 3 odds on the Matchday tab</v>
      </c>
      <c r="AU104" s="1" t="str">
        <f t="shared" si="17"/>
        <v/>
      </c>
      <c r="AV104" s="1" t="str">
        <f>IF(Matchday!O106="","",Matchday!O106)</f>
        <v/>
      </c>
      <c r="AW104" s="1"/>
      <c r="AX104" s="1"/>
      <c r="AY104" s="1"/>
      <c r="AZ104" s="1" t="str">
        <f t="shared" si="18"/>
        <v>· enter odds</v>
      </c>
      <c r="BA104" s="1">
        <f>IF(AX104&lt;&gt;"",AX104,IF(AH104&lt;&gt;"BET",0,IF(AI104*Method!$B$10/100&lt;Method!$B$9,0,ROUND(AI104*Method!$B$10/100,0))))</f>
        <v>0</v>
      </c>
      <c r="BB104" s="12">
        <v>0.0</v>
      </c>
      <c r="BC104" s="12">
        <v>0.0</v>
      </c>
      <c r="BD104" s="12">
        <v>0.0</v>
      </c>
      <c r="BE104" s="12">
        <v>0.0</v>
      </c>
      <c r="BG104" s="12">
        <v>0.0</v>
      </c>
    </row>
    <row r="105" ht="15.75" customHeight="1">
      <c r="A105" s="54">
        <v>104.0</v>
      </c>
      <c r="B105" s="77">
        <v>46222.0</v>
      </c>
      <c r="C105" s="55" t="s">
        <v>420</v>
      </c>
      <c r="D105" s="55" t="s">
        <v>98</v>
      </c>
      <c r="E105" s="55" t="s">
        <v>99</v>
      </c>
      <c r="F105" s="55" t="s">
        <v>384</v>
      </c>
      <c r="G105" s="78">
        <v>0.625</v>
      </c>
      <c r="H105" s="1"/>
      <c r="I105" s="1"/>
      <c r="J105" s="1"/>
      <c r="K105" s="1"/>
      <c r="L105" s="1" t="str">
        <f>IF(Matchday!E107="","",Matchday!E107)</f>
        <v/>
      </c>
      <c r="M105" s="1" t="str">
        <f>IF(Matchday!F107="","",Matchday!F107)</f>
        <v/>
      </c>
      <c r="N105" s="1" t="str">
        <f>IF(Matchday!G107="","",Matchday!G107)</f>
        <v/>
      </c>
      <c r="O105" s="1" t="str">
        <f t="shared" ref="O105:Q105" si="221">IF(L105="","",1/L105)</f>
        <v/>
      </c>
      <c r="P105" s="1" t="str">
        <f t="shared" si="221"/>
        <v/>
      </c>
      <c r="Q105" s="1" t="str">
        <f t="shared" si="221"/>
        <v/>
      </c>
      <c r="R105" s="1" t="str">
        <f t="shared" si="4"/>
        <v/>
      </c>
      <c r="S105" s="1" t="str">
        <f t="array" ref="S105">IF($R105="","",IF(Method!$B$56="proportional",O105/$R105,IF(Method!$B$56="power",IFERROR(INDEX(power_devig($L105,$M105,$N105),1,1),O105/$R105),IFERROR(INDEX(shin($L105,$M105,$N105),1,1),O105/$R105))))</f>
        <v/>
      </c>
      <c r="T105" s="1" t="str">
        <f t="array" ref="T105">IF($R105="","",IF(Method!$B$56="proportional",P105/$R105,IF(Method!$B$56="power",IFERROR(INDEX(power_devig($L105,$M105,$N105),2,1),P105/$R105),IFERROR(INDEX(shin($L105,$M105,$N105),2,1),P105/$R105))))</f>
        <v/>
      </c>
      <c r="U105" s="1" t="str">
        <f t="array" ref="U105">IF($R105="","",IF(Method!$B$56="proportional",Q105/$R105,IF(Method!$B$56="power",IFERROR(INDEX(power_devig($L105,$M105,$N105),3,1),Q105/$R105),IFERROR(INDEX(shin($L105,$M105,$N105),3,1),Q105/$R105))))</f>
        <v/>
      </c>
      <c r="V105" s="1" t="str">
        <f>IF(S105="","",Method!$B$4*IF(BC105="",I105,BC105)+(1-Method!$B$4)*S105/($S105+$T105+$U105))</f>
        <v/>
      </c>
      <c r="W105" s="1" t="str">
        <f>IF(T105="","",Method!$B$4*IF(BD105="",J105,BD105)+(1-Method!$B$4)*T105/($S105+$T105+$U105))</f>
        <v/>
      </c>
      <c r="X105" s="1" t="str">
        <f>IF(U105="","",Method!$B$4*IF(BE105="",K105,BE105)+(1-Method!$B$4)*U105/($S105+$T105+$U105))</f>
        <v/>
      </c>
      <c r="Y105" s="1" t="str">
        <f t="shared" ref="Y105:AA105" si="222">IF(V105="","",V105*L105-1)</f>
        <v/>
      </c>
      <c r="Z105" s="1" t="str">
        <f t="shared" si="222"/>
        <v/>
      </c>
      <c r="AA105" s="1" t="str">
        <f t="shared" si="222"/>
        <v/>
      </c>
      <c r="AB105" s="1" t="str">
        <f t="shared" si="6"/>
        <v/>
      </c>
      <c r="AC105" s="1" t="str">
        <f t="shared" si="7"/>
        <v/>
      </c>
      <c r="AD105" s="1" t="str">
        <f t="shared" si="8"/>
        <v/>
      </c>
      <c r="AE105" s="1" t="str">
        <f t="shared" si="9"/>
        <v/>
      </c>
      <c r="AF105" s="1" t="str">
        <f t="shared" si="10"/>
        <v/>
      </c>
      <c r="AG105" s="1" t="str">
        <f t="shared" si="11"/>
        <v/>
      </c>
      <c r="AH105" s="1" t="str">
        <f t="array" ref="AH105">IF(AB105="","· enter odds",IF(OR(AF105&gt;Method!$B$87,IFERROR(INDEX(BC105:BE105,1,AB105)/INDEX(S105:U105,1,AB105),0)&gt;Method!$B$88),"PASS",IF(AND(AF105&gt;=Method!$B$7,AG105&gt;=Method!$B$8),"BET","PASS")))</f>
        <v>· enter odds</v>
      </c>
      <c r="AI105" s="1">
        <f>IF(AH105&lt;&gt;"BET",0,ROUND(MIN(Method!$B$6,Method!$B$5*AL105)*100,1))</f>
        <v>0</v>
      </c>
      <c r="AJ105" s="1">
        <f>IF(OR(AH105&lt;&gt;"BET",Method!$B$55=TRUE()),0,IF(AI105*Method!$B$10/100&lt;Method!$B$9,0,ROUND(AI105*Method!$B$10/100,0)))</f>
        <v>0</v>
      </c>
      <c r="AK105" s="1" t="str">
        <f t="shared" si="12"/>
        <v/>
      </c>
      <c r="AL105" s="1" t="str">
        <f t="shared" si="13"/>
        <v/>
      </c>
      <c r="AM105" s="1" t="str">
        <f t="shared" si="14"/>
        <v/>
      </c>
      <c r="AN105" s="1" t="str">
        <f>IF(Matchday!N107="","",Matchday!N107)</f>
        <v/>
      </c>
      <c r="AO105" s="1" t="str">
        <f>IF(Matchday!P107="","",Matchday!P107)</f>
        <v/>
      </c>
      <c r="AP105" s="1" t="str">
        <f>IF(Matchday!Q107="","",Matchday!Q107)</f>
        <v/>
      </c>
      <c r="AQ105" s="1" t="str">
        <f>IF(Matchday!R107="","",Matchday!R107)</f>
        <v/>
      </c>
      <c r="AR105" s="1" t="str">
        <f t="shared" si="15"/>
        <v/>
      </c>
      <c r="AS105" s="1" t="str">
        <f t="shared" si="16"/>
        <v/>
      </c>
      <c r="AT105" s="1" t="str">
        <f>IFERROR(__xludf.DUMMYFUNCTION("IF(AB105="""",""Type the 3 odds on the Matchday tab"",IF(Method!$B$55=TRUE(),IF(Method!$B$81=TRUE(),IF(REGEXMATCH(LOWER(Method!$B$63),""circuit""),""🛑 PAUSED — circuit breaker upstream; wait for a clean live refresh."",IF(REGEXMATCH(LOWER(Method!$B$63),"&amp;"""pipeline""),""🛑 PAUSED — live pipeline warning; check Live!B11/Method!B62 before betting."",IF(REGEXMATCH(LOWER(Method!$B$63),""missing""),""🛑 PAUSED — feed timestamp missing; refresh feed before betting."",""🛑 PAUSED — feed stale &gt; 25 min — check Li"&amp;"ve tab; refresh feed before betting.""))),IF(Method!$B$51&gt;=Method!$B$52,""🛑 PAUSED — drawdown ""&amp;TEXT(Method!$B$51,""0.0%"")&amp;"" ≥ ""&amp;TEXT(Method!$B$52,""0.0%"")&amp;"". Set Method!B54=Y to override."",""🛑 PAUSED — see Method!B62/B63/B81 for cause; do not ov"&amp;"erride stale/circuit-breaker/pipeline pauses."")),IF(AH105=""BET"",IF(AJ105=0,""Edge found but stake rounds under £""&amp;Method!$B$9&amp;"" — skip"",IF(AND(AE105&gt;=6,AG105&gt;=0.15),""🟡 WAIT — long-shot review: odds ""&amp;TEXT(AE105,""0.00"")&amp;"" + edge ""&amp;TEXT(AG105,"&amp;"""0.0%"")&amp;"" — verify sharp-book + team news + stake comfort before Placed=Y"",""Value found: EV ""&amp;TEXT(AF105,""0.0%"")&amp;"", edge ""&amp;TEXT(AG105,""0.0%""))),IF(OR(AF105&gt;Method!$B$87,IFERROR(INDEX(BC105:BE105,1,AB105)/INDEX(S105:U105,1,AB105),0)&gt;Method!$B$8"&amp;"8),""🛑 Tail trap — auto-PASS · EV ""&amp;TEXT(AF105,""0.0%"")&amp;"" (cap ""&amp;TEXT(Method!$B$87,""0%"")&amp;"") · model/market ""&amp;TEXT(IFERROR(INDEX(BC105:BE105,1,AB105)/INDEX(S105:U105,1,AB105),0),""0.0"")&amp;""× (cap ""&amp;TEXT(Method!$B$88,""0.0"")&amp;""×)"",IF(AF105&lt;Metho"&amp;"d!$B$7,""Price too short — EV ""&amp;TEXT(AF105,""0.0%"")&amp;"" (need ""&amp;TEXT(Method!$B$7,""0.0%"")&amp;""+)"",""Model ≈ market — edge ""&amp;TEXT(AG105,""0.0%"")&amp;"" (need ""&amp;TEXT(Method!$B$8,""0.0%"")&amp;""+)"")))))"),"Type the 3 odds on the Matchday tab")</f>
        <v>Type the 3 odds on the Matchday tab</v>
      </c>
      <c r="AU105" s="1" t="str">
        <f t="shared" si="17"/>
        <v/>
      </c>
      <c r="AV105" s="1" t="str">
        <f>IF(Matchday!O107="","",Matchday!O107)</f>
        <v/>
      </c>
      <c r="AW105" s="1"/>
      <c r="AX105" s="1"/>
      <c r="AY105" s="1"/>
      <c r="AZ105" s="1" t="str">
        <f t="shared" si="18"/>
        <v>· enter odds</v>
      </c>
      <c r="BA105" s="1">
        <f>IF(AX105&lt;&gt;"",AX105,IF(AH105&lt;&gt;"BET",0,IF(AI105*Method!$B$10/100&lt;Method!$B$9,0,ROUND(AI105*Method!$B$10/100,0))))</f>
        <v>0</v>
      </c>
      <c r="BB105" s="12">
        <v>0.0</v>
      </c>
      <c r="BC105" s="12">
        <v>0.0</v>
      </c>
      <c r="BD105" s="12">
        <v>0.0</v>
      </c>
      <c r="BE105" s="12">
        <v>0.0</v>
      </c>
      <c r="BG105" s="12">
        <v>0.0</v>
      </c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</row>
  </sheetData>
  <conditionalFormatting sqref="AH2:AH73">
    <cfRule type="cellIs" dxfId="2" priority="1" operator="equal">
      <formula>"BET"</formula>
    </cfRule>
  </conditionalFormatting>
  <conditionalFormatting sqref="AH2:AH73">
    <cfRule type="cellIs" dxfId="3" priority="2" operator="equal">
      <formula>"PASS"</formula>
    </cfRule>
  </conditionalFormatting>
  <conditionalFormatting sqref="AG2:AG73">
    <cfRule type="colorScale" priority="3">
      <colorScale>
        <cfvo type="formula" val="-0.05"/>
        <cfvo type="formula" val="0"/>
        <cfvo type="formula" val="0.08"/>
        <color rgb="FFFCA5A5"/>
        <color rgb="FFFFFFFF"/>
        <color rgb="FF4ADE80"/>
      </colorScale>
    </cfRule>
  </conditionalFormatting>
  <conditionalFormatting sqref="AR2:AR73">
    <cfRule type="cellIs" dxfId="0" priority="4" operator="lessThan">
      <formula>0</formula>
    </cfRule>
  </conditionalFormatting>
  <conditionalFormatting sqref="AR2:AR73">
    <cfRule type="cellIs" dxfId="1" priority="5" operator="greaterThan">
      <formula>0</formula>
    </cfRule>
  </conditionalFormatting>
  <conditionalFormatting sqref="AU2:AU73">
    <cfRule type="expression" dxfId="4" priority="6">
      <formula>ISNUMBER(SEARCH("⚠",AU2))</formula>
    </cfRule>
  </conditionalFormatting>
  <conditionalFormatting sqref="AU2:AU73">
    <cfRule type="expression" dxfId="1" priority="7">
      <formula>ISNUMBER(SEARCH("✓",AU2))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5.0"/>
    <col customWidth="1" min="2" max="2" width="10.0"/>
    <col customWidth="1" min="3" max="3" width="8.0"/>
    <col customWidth="1" min="4" max="4" width="32.0"/>
    <col customWidth="1" min="5" max="7" width="8.0"/>
    <col customWidth="1" min="8" max="8" width="22.0"/>
    <col customWidth="1" min="9" max="9" width="12.0"/>
    <col customWidth="1" min="10" max="10" width="11.0"/>
    <col customWidth="1" min="11" max="11" width="36.0"/>
    <col customWidth="1" min="12" max="12" width="13.0"/>
    <col customWidth="1" min="13" max="13" width="30.0"/>
    <col customWidth="1" min="14" max="15" width="9.0"/>
    <col customWidth="1" min="16" max="16" width="10.0"/>
    <col customWidth="1" min="17" max="18" width="11.0"/>
    <col customWidth="1" min="19" max="19" width="46.14"/>
    <col customWidth="1" min="20" max="20" width="10.0"/>
    <col customWidth="1" min="21" max="21" width="8.0"/>
    <col customWidth="1" min="22" max="22" width="14.0"/>
    <col customWidth="1" min="23" max="23" width="13.0"/>
  </cols>
  <sheetData>
    <row r="1" ht="15.75" customHeight="1">
      <c r="A1" s="82" t="s">
        <v>421</v>
      </c>
      <c r="V1" s="83"/>
      <c r="W1" s="84"/>
      <c r="X1" s="2"/>
      <c r="Y1" s="2"/>
      <c r="Z1" s="2"/>
    </row>
    <row r="2" ht="15.0" customHeight="1">
      <c r="A2" s="85" t="s">
        <v>422</v>
      </c>
      <c r="B2" s="42"/>
      <c r="C2" s="42"/>
      <c r="D2" s="42"/>
      <c r="E2" s="86" t="s">
        <v>423</v>
      </c>
      <c r="F2" s="42"/>
      <c r="G2" s="42"/>
      <c r="H2" s="87" t="s">
        <v>424</v>
      </c>
      <c r="I2" s="42"/>
      <c r="J2" s="42"/>
      <c r="K2" s="42"/>
      <c r="L2" s="88" t="s">
        <v>425</v>
      </c>
      <c r="M2" s="42"/>
      <c r="N2" s="89" t="s">
        <v>426</v>
      </c>
      <c r="O2" s="42"/>
      <c r="P2" s="42"/>
      <c r="Q2" s="42"/>
      <c r="R2" s="42"/>
      <c r="S2" s="90" t="s">
        <v>427</v>
      </c>
      <c r="T2" s="85" t="s">
        <v>428</v>
      </c>
      <c r="U2" s="42"/>
      <c r="V2" s="83" t="s">
        <v>429</v>
      </c>
      <c r="X2" s="2"/>
      <c r="Y2" s="2"/>
      <c r="Z2" s="2"/>
    </row>
    <row r="3" ht="25.5" customHeight="1">
      <c r="A3" s="91" t="s">
        <v>134</v>
      </c>
      <c r="B3" s="91" t="s">
        <v>29</v>
      </c>
      <c r="C3" s="91" t="s">
        <v>430</v>
      </c>
      <c r="D3" s="91" t="s">
        <v>136</v>
      </c>
      <c r="E3" s="91" t="s">
        <v>431</v>
      </c>
      <c r="F3" s="91" t="s">
        <v>432</v>
      </c>
      <c r="G3" s="91" t="s">
        <v>433</v>
      </c>
      <c r="H3" s="91" t="s">
        <v>227</v>
      </c>
      <c r="I3" s="91" t="s">
        <v>230</v>
      </c>
      <c r="J3" s="91" t="s">
        <v>232</v>
      </c>
      <c r="K3" s="91" t="s">
        <v>434</v>
      </c>
      <c r="L3" s="91" t="s">
        <v>435</v>
      </c>
      <c r="M3" s="91" t="s">
        <v>436</v>
      </c>
      <c r="N3" s="91" t="s">
        <v>437</v>
      </c>
      <c r="O3" s="91" t="s">
        <v>438</v>
      </c>
      <c r="P3" s="91" t="s">
        <v>439</v>
      </c>
      <c r="Q3" s="91" t="s">
        <v>440</v>
      </c>
      <c r="R3" s="91" t="s">
        <v>441</v>
      </c>
      <c r="S3" s="91" t="s">
        <v>181</v>
      </c>
      <c r="T3" s="91" t="s">
        <v>107</v>
      </c>
      <c r="U3" s="91" t="s">
        <v>442</v>
      </c>
      <c r="V3" s="83" t="s">
        <v>443</v>
      </c>
      <c r="W3" s="83" t="s">
        <v>444</v>
      </c>
      <c r="X3" s="2"/>
      <c r="Y3" s="2"/>
      <c r="Z3" s="2"/>
    </row>
    <row r="4" ht="16.5" customHeight="1">
      <c r="A4" s="92">
        <f>Bets!A2</f>
        <v>1</v>
      </c>
      <c r="B4" s="93">
        <f>Bets!B2</f>
        <v>46184</v>
      </c>
      <c r="C4" s="94">
        <f>IF(Bets!H2="","TBC",Bets!H2)</f>
        <v>0.8333333333</v>
      </c>
      <c r="D4" s="95" t="str">
        <f>Bets!D2&amp;"  v  "&amp;Bets!E2</f>
        <v>Mexico  v  South Africa</v>
      </c>
      <c r="E4" s="96">
        <v>1.42</v>
      </c>
      <c r="F4" s="96">
        <v>4.5</v>
      </c>
      <c r="G4" s="96">
        <v>8.5</v>
      </c>
      <c r="H4" s="97" t="str">
        <f>Bets!AD2</f>
        <v>X  Draw</v>
      </c>
      <c r="I4" s="98" t="str">
        <f>Bets!AH2</f>
        <v>PASS</v>
      </c>
      <c r="J4" s="99">
        <f>Bets!AJ2</f>
        <v>0</v>
      </c>
      <c r="K4" s="100" t="str">
        <f>Bets!AT2</f>
        <v>Price too short — EV -1.2% (need 2.5%+)</v>
      </c>
      <c r="L4" s="101" t="s">
        <v>445</v>
      </c>
      <c r="M4" s="97" t="str">
        <f>IFERROR(__xludf.DUMMYFUNCTION("IF(Bets!AH2=""· enter odds"","""",IF(Method!$B$55=TRUE(),IF(Method!$B$81=TRUE(),IF(REGEXMATCH(LOWER(Method!$B$63),""circuit""),""🛑 PAUSED — circuit breaker upstream; wait for a clean live refresh."",IF(REGEXMATCH(LOWER(Method!$B$63),""pipeline""),""🛑 PA"&amp;"USED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pauses."")),IF(Bets!AH2&lt;&gt;""BET"",IF(OR(Bets!AF2&gt;Method!$B$87,IFERROR(INDEX(Bets!BC2:BE2,1,Bets!AB2)/INDEX(Bets!S2:U2,1,Bets!AB2),0)&gt;Method!$B$88),""🛑 NO BET — tail trap (EV ""&amp;TEXT(Bets!AF2,""0.0%"")&amp;"" / model ""&amp;TEXT(IFERROR(INDEX(Bets!BC2:BE2,1,Bets"&amp;"!AB2)/INDEX(Bets!S2:U2,1,Bets!AB2),0),""0.0"")&amp;""× market)"",""❌ NO BET — price not good enough""),IF(Bets!AJ2=0,""❌ NO BET — stake under minimum"",IF(L4="""",IF(AND(Bets!AE2&gt;=6,Bets!AG2&gt;=0.15),""🟡 WAIT — long-shot review: odds ""&amp;TEXT(Bets!AE2,""0.00"")"&amp;"&amp;"" + edge ""&amp;TEXT(Bets!AG2,""0.0%"")&amp;"" — verify sharp-book + team news + stake comfort"",""🟡 WAIT — check team news first""),IF(L4=""N"",""🔴 SKIP — team news concern"",IF(L4=""Y"",""🟢 PLACE £""&amp;Bets!AJ2&amp;"" on ""&amp;Bets!AD2,"""")))))))"),"❌ NO BET — price not good enough")</f>
        <v>❌ NO BET — price not good enough</v>
      </c>
      <c r="N4" s="101" t="s">
        <v>445</v>
      </c>
      <c r="O4" s="101" t="s">
        <v>111</v>
      </c>
      <c r="P4" s="96">
        <v>1.42</v>
      </c>
      <c r="Q4" s="102">
        <v>20.0</v>
      </c>
      <c r="R4" s="101" t="s">
        <v>111</v>
      </c>
      <c r="S4" s="100" t="str">
        <f>Bets!AU2</f>
        <v>⚠ FUN BET — engine said pass · staked £20 vs engine £0</v>
      </c>
      <c r="T4" s="96">
        <v>0.48</v>
      </c>
      <c r="U4" s="103">
        <f t="shared" ref="U4:U107" si="1">IF(OR(T4="",P4=""),"",P4/T4-1)</f>
        <v>1.958333333</v>
      </c>
      <c r="V4" s="83">
        <v>50.0</v>
      </c>
      <c r="W4" s="83">
        <v>180.0</v>
      </c>
      <c r="X4" s="2"/>
      <c r="Y4" s="2"/>
      <c r="Z4" s="2"/>
    </row>
    <row r="5" ht="15.0" customHeight="1">
      <c r="A5" s="92">
        <f>Bets!A3</f>
        <v>2</v>
      </c>
      <c r="B5" s="93">
        <f>Bets!B3</f>
        <v>46184</v>
      </c>
      <c r="C5" s="92" t="str">
        <f>IF(Bets!H3="","TBC",Bets!H3)</f>
        <v>03:00 +1d</v>
      </c>
      <c r="D5" s="95" t="str">
        <f>Bets!D3&amp;"  v  "&amp;Bets!E3</f>
        <v>South Korea  v  Czechia</v>
      </c>
      <c r="E5" s="96">
        <v>2.7</v>
      </c>
      <c r="F5" s="96">
        <v>3.1</v>
      </c>
      <c r="G5" s="96">
        <v>2.8</v>
      </c>
      <c r="H5" s="97" t="str">
        <f>Bets!AD3</f>
        <v>1  South Korea</v>
      </c>
      <c r="I5" s="98" t="str">
        <f>Bets!AH3</f>
        <v>BET</v>
      </c>
      <c r="J5" s="99">
        <f>Bets!AJ3</f>
        <v>6</v>
      </c>
      <c r="K5" s="100" t="str">
        <f>Bets!AT3</f>
        <v>Value found: EV 4.4%, edge 3.3%</v>
      </c>
      <c r="L5" s="101" t="s">
        <v>445</v>
      </c>
      <c r="M5" s="97" t="str">
        <f>IFERROR(__xludf.DUMMYFUNCTION("IF(Bets!AH3=""· enter odds"","""",IF(Method!$B$55=TRUE(),IF(Method!$B$81=TRUE(),IF(REGEXMATCH(LOWER(Method!$B$63),""circuit""),""🛑 PAUSED — circuit breaker upstream; wait for a clean live refresh."",IF(REGEXMATCH(LOWER(Method!$B$63),""pipeline""),""🛑 PA"&amp;"USED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pauses."")),IF(Bets!AH3&lt;&gt;""BET"",IF(OR(Bets!AF3&gt;Method!$B$87,IFERROR(INDEX(Bets!BC3:BE3,1,Bets!AB3)/INDEX(Bets!S3:U3,1,Bets!AB3),0)&gt;Method!$B$88),""🛑 NO BET — tail trap (EV ""&amp;TEXT(Bets!AF3,""0.0%"")&amp;"" / model ""&amp;TEXT(IFERROR(INDEX(Bets!BC3:BE3,1,Bets"&amp;"!AB3)/INDEX(Bets!S3:U3,1,Bets!AB3),0),""0.0"")&amp;""× market)"",""❌ NO BET — price not good enough""),IF(Bets!AJ3=0,""❌ NO BET — stake under minimum"",IF(L5="""",IF(AND(Bets!AE3&gt;=6,Bets!AG3&gt;=0.15),""🟡 WAIT — long-shot review: odds ""&amp;TEXT(Bets!AE3,""0.00"")"&amp;"&amp;"" + edge ""&amp;TEXT(Bets!AG3,""0.0%"")&amp;"" — verify sharp-book + team news + stake comfort"",""🟡 WAIT — check team news first""),IF(L5=""N"",""🔴 SKIP — team news concern"",IF(L5=""Y"",""🟢 PLACE £""&amp;Bets!AJ3&amp;"" on ""&amp;Bets!AD3,"""")))))))"),"🟢 PLACE £6 on 1  South Korea")</f>
        <v>🟢 PLACE £6 on 1  South Korea</v>
      </c>
      <c r="N5" s="101" t="s">
        <v>445</v>
      </c>
      <c r="O5" s="101" t="s">
        <v>111</v>
      </c>
      <c r="P5" s="96">
        <v>2.6</v>
      </c>
      <c r="Q5" s="102">
        <v>10.0</v>
      </c>
      <c r="R5" s="101" t="s">
        <v>111</v>
      </c>
      <c r="S5" s="100" t="str">
        <f>Bets!AU3</f>
        <v>⚠ stake over engine £3</v>
      </c>
      <c r="T5" s="96">
        <v>1.66</v>
      </c>
      <c r="U5" s="103">
        <f t="shared" si="1"/>
        <v>0.5662650602</v>
      </c>
      <c r="V5" s="83">
        <v>10.0</v>
      </c>
      <c r="W5" s="83">
        <v>26.0</v>
      </c>
      <c r="X5" s="2"/>
      <c r="Y5" s="2"/>
      <c r="Z5" s="2"/>
    </row>
    <row r="6" ht="15.0" customHeight="1">
      <c r="A6" s="92">
        <f>Bets!A4</f>
        <v>3</v>
      </c>
      <c r="B6" s="93">
        <f>Bets!B4</f>
        <v>46185</v>
      </c>
      <c r="C6" s="94">
        <f>IF(Bets!H4="","TBC",Bets!H4)</f>
        <v>0.8333333333</v>
      </c>
      <c r="D6" s="95" t="str">
        <f>Bets!D4&amp;"  v  "&amp;Bets!E4</f>
        <v>Canada  v  Bosnia and Herzegovina</v>
      </c>
      <c r="E6" s="96">
        <v>1.85</v>
      </c>
      <c r="F6" s="96">
        <v>3.5</v>
      </c>
      <c r="G6" s="96">
        <v>4.5</v>
      </c>
      <c r="H6" s="97" t="str">
        <f>Bets!AD4</f>
        <v>1  Canada</v>
      </c>
      <c r="I6" s="98" t="str">
        <f>Bets!AH4</f>
        <v>BET</v>
      </c>
      <c r="J6" s="99">
        <f>Bets!AJ4</f>
        <v>17</v>
      </c>
      <c r="K6" s="100" t="str">
        <f>Bets!AT4</f>
        <v>Value found: EV 6.0%, edge 5.1%</v>
      </c>
      <c r="L6" s="101" t="s">
        <v>446</v>
      </c>
      <c r="M6" s="97" t="str">
        <f>IFERROR(__xludf.DUMMYFUNCTION("IF(Bets!AH4=""· enter odds"","""",IF(Method!$B$55=TRUE(),IF(Method!$B$81=TRUE(),IF(REGEXMATCH(LOWER(Method!$B$63),""circuit""),""🛑 PAUSED — circuit breaker upstream; wait for a clean live refresh."",IF(REGEXMATCH(LOWER(Method!$B$63),""pipeline""),""🛑 PA"&amp;"USED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pauses."")),IF(Bets!AH4&lt;&gt;""BET"",IF(OR(Bets!AF4&gt;Method!$B$87,IFERROR(INDEX(Bets!BC4:BE4,1,Bets!AB4)/INDEX(Bets!S4:U4,1,Bets!AB4),0)&gt;Method!$B$88),""🛑 NO BET — tail trap (EV ""&amp;TEXT(Bets!AF4,""0.0%"")&amp;"" / model ""&amp;TEXT(IFERROR(INDEX(Bets!BC4:BE4,1,Bets"&amp;"!AB4)/INDEX(Bets!S4:U4,1,Bets!AB4),0),""0.0"")&amp;""× market)"",""❌ NO BET — price not good enough""),IF(Bets!AJ4=0,""❌ NO BET — stake under minimum"",IF(L6="""",IF(AND(Bets!AE4&gt;=6,Bets!AG4&gt;=0.15),""🟡 WAIT — long-shot review: odds ""&amp;TEXT(Bets!AE4,""0.00"")"&amp;"&amp;"" + edge ""&amp;TEXT(Bets!AG4,""0.0%"")&amp;"" — verify sharp-book + team news + stake comfort"",""🟡 WAIT — check team news first""),IF(L6=""N"",""🔴 SKIP — team news concern"",IF(L6=""Y"",""🟢 PLACE £""&amp;Bets!AJ4&amp;"" on ""&amp;Bets!AD4,"""")))))))"),"🔴 SKIP — team news concern")</f>
        <v>🔴 SKIP — team news concern</v>
      </c>
      <c r="N6" s="101" t="s">
        <v>445</v>
      </c>
      <c r="O6" s="101" t="s">
        <v>111</v>
      </c>
      <c r="P6" s="96">
        <v>1.85</v>
      </c>
      <c r="Q6" s="102">
        <v>24.0</v>
      </c>
      <c r="R6" s="101" t="s">
        <v>113</v>
      </c>
      <c r="S6" s="100" t="str">
        <f>Bets!AU4</f>
        <v>⚠ stake over engine £12</v>
      </c>
      <c r="T6" s="96"/>
      <c r="U6" s="103" t="str">
        <f t="shared" si="1"/>
        <v/>
      </c>
      <c r="V6" s="83">
        <v>74.0</v>
      </c>
      <c r="W6" s="83">
        <v>0.0</v>
      </c>
      <c r="X6" s="2"/>
      <c r="Y6" s="2"/>
      <c r="Z6" s="2"/>
    </row>
    <row r="7" ht="15.0" customHeight="1">
      <c r="A7" s="92">
        <f>Bets!A5</f>
        <v>4</v>
      </c>
      <c r="B7" s="93">
        <f>Bets!B5</f>
        <v>46185</v>
      </c>
      <c r="C7" s="92" t="str">
        <f>IF(Bets!H5="","TBC",Bets!H5)</f>
        <v>02:00 +1d</v>
      </c>
      <c r="D7" s="95" t="str">
        <f>Bets!D5&amp;"  v  "&amp;Bets!E5</f>
        <v>United States  v  Paraguay</v>
      </c>
      <c r="E7" s="96">
        <v>2.18</v>
      </c>
      <c r="F7" s="96">
        <v>3.3</v>
      </c>
      <c r="G7" s="96">
        <v>4.1</v>
      </c>
      <c r="H7" s="97" t="str">
        <f>Bets!AD5</f>
        <v>1  United States</v>
      </c>
      <c r="I7" s="98" t="str">
        <f>Bets!AH5</f>
        <v>PASS</v>
      </c>
      <c r="J7" s="99">
        <f>Bets!AJ5</f>
        <v>0</v>
      </c>
      <c r="K7" s="100" t="str">
        <f>Bets!AT5</f>
        <v>Price too short — EV 1.6% (need 2.5%+)</v>
      </c>
      <c r="L7" s="101" t="s">
        <v>445</v>
      </c>
      <c r="M7" s="97" t="str">
        <f>IFERROR(__xludf.DUMMYFUNCTION("IF(Bets!AH5=""· enter odds"","""",IF(Method!$B$55=TRUE(),IF(Method!$B$81=TRUE(),IF(REGEXMATCH(LOWER(Method!$B$63),""circuit""),""🛑 PAUSED — circuit breaker upstream; wait for a clean live refresh."",IF(REGEXMATCH(LOWER(Method!$B$63),""pipeline""),""🛑 PA"&amp;"USED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pauses."")),IF(Bets!AH5&lt;&gt;""BET"",IF(OR(Bets!AF5&gt;Method!$B$87,IFERROR(INDEX(Bets!BC5:BE5,1,Bets!AB5)/INDEX(Bets!S5:U5,1,Bets!AB5),0)&gt;Method!$B$88),""🛑 NO BET — tail trap (EV ""&amp;TEXT(Bets!AF5,""0.0%"")&amp;"" / model ""&amp;TEXT(IFERROR(INDEX(Bets!BC5:BE5,1,Bets"&amp;"!AB5)/INDEX(Bets!S5:U5,1,Bets!AB5),0),""0.0"")&amp;""× market)"",""❌ NO BET — price not good enough""),IF(Bets!AJ5=0,""❌ NO BET — stake under minimum"",IF(L7="""",IF(AND(Bets!AE5&gt;=6,Bets!AG5&gt;=0.15),""🟡 WAIT — long-shot review: odds ""&amp;TEXT(Bets!AE5,""0.00"")"&amp;"&amp;"" + edge ""&amp;TEXT(Bets!AG5,""0.0%"")&amp;"" — verify sharp-book + team news + stake comfort"",""🟡 WAIT — check team news first""),IF(L7=""N"",""🔴 SKIP — team news concern"",IF(L7=""Y"",""🟢 PLACE £""&amp;Bets!AJ5&amp;"" on ""&amp;Bets!AD5,"""")))))))"),"❌ NO BET — price not good enough")</f>
        <v>❌ NO BET — price not good enough</v>
      </c>
      <c r="N7" s="101" t="s">
        <v>445</v>
      </c>
      <c r="O7" s="101" t="s">
        <v>111</v>
      </c>
      <c r="P7" s="96">
        <v>2.05</v>
      </c>
      <c r="Q7" s="102">
        <v>20.0</v>
      </c>
      <c r="R7" s="101" t="s">
        <v>111</v>
      </c>
      <c r="S7" s="100" t="str">
        <f>Bets!AU5</f>
        <v>⚠ FUN BET — engine said pass · staked £20 vs engine £0</v>
      </c>
      <c r="T7" s="96">
        <f>28/25</f>
        <v>1.12</v>
      </c>
      <c r="U7" s="103">
        <f t="shared" si="1"/>
        <v>0.8303571429</v>
      </c>
      <c r="V7" s="83">
        <v>20.0</v>
      </c>
      <c r="W7" s="83">
        <v>40.0</v>
      </c>
      <c r="X7" s="2"/>
      <c r="Y7" s="2"/>
      <c r="Z7" s="2"/>
    </row>
    <row r="8" ht="15.0" customHeight="1">
      <c r="A8" s="92">
        <f>Bets!A6</f>
        <v>5</v>
      </c>
      <c r="B8" s="93">
        <f>Bets!B6</f>
        <v>46186</v>
      </c>
      <c r="C8" s="94">
        <f>IF(Bets!H6="","TBC",Bets!H6)</f>
        <v>0.8333333333</v>
      </c>
      <c r="D8" s="95" t="str">
        <f>Bets!D6&amp;"  v  "&amp;Bets!E6</f>
        <v>Qatar  v  Switzerland</v>
      </c>
      <c r="E8" s="96">
        <f>14/1</f>
        <v>14</v>
      </c>
      <c r="F8" s="96">
        <v>7.5</v>
      </c>
      <c r="G8" s="104">
        <v>1.2</v>
      </c>
      <c r="H8" s="97" t="str">
        <f>Bets!AD6</f>
        <v>X  Draw</v>
      </c>
      <c r="I8" s="98" t="str">
        <f>Bets!AH6</f>
        <v>BET</v>
      </c>
      <c r="J8" s="99">
        <f>Bets!AJ6</f>
        <v>7</v>
      </c>
      <c r="K8" s="100" t="str">
        <f>Bets!AT6</f>
        <v>Value found: EV 17.1%, edge 3.4%</v>
      </c>
      <c r="L8" s="101" t="s">
        <v>445</v>
      </c>
      <c r="M8" s="97" t="str">
        <f>IFERROR(__xludf.DUMMYFUNCTION("IF(Bets!AH6=""· enter odds"","""",IF(Method!$B$55=TRUE(),IF(Method!$B$81=TRUE(),IF(REGEXMATCH(LOWER(Method!$B$63),""circuit""),""🛑 PAUSED — circuit breaker upstream; wait for a clean live refresh."",IF(REGEXMATCH(LOWER(Method!$B$63),""pipeline""),""🛑 PA"&amp;"USED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pauses."")),IF(Bets!AH6&lt;&gt;""BET"",IF(OR(Bets!AF6&gt;Method!$B$87,IFERROR(INDEX(Bets!BC6:BE6,1,Bets!AB6)/INDEX(Bets!S6:U6,1,Bets!AB6),0)&gt;Method!$B$88),""🛑 NO BET — tail trap (EV ""&amp;TEXT(Bets!AF6,""0.0%"")&amp;"" / model ""&amp;TEXT(IFERROR(INDEX(Bets!BC6:BE6,1,Bets"&amp;"!AB6)/INDEX(Bets!S6:U6,1,Bets!AB6),0),""0.0"")&amp;""× market)"",""❌ NO BET — price not good enough""),IF(Bets!AJ6=0,""❌ NO BET — stake under minimum"",IF(L8="""",IF(AND(Bets!AE6&gt;=6,Bets!AG6&gt;=0.15),""🟡 WAIT — long-shot review: odds ""&amp;TEXT(Bets!AE6,""0.00"")"&amp;"&amp;"" + edge ""&amp;TEXT(Bets!AG6,""0.0%"")&amp;"" — verify sharp-book + team news + stake comfort"",""🟡 WAIT — check team news first""),IF(L8=""N"",""🔴 SKIP — team news concern"",IF(L8=""Y"",""🟢 PLACE £""&amp;Bets!AJ6&amp;"" on ""&amp;Bets!AD6,"""")))))))"),"🟢 PLACE £7 on X  Draw")</f>
        <v>🟢 PLACE £7 on X  Draw</v>
      </c>
      <c r="N8" s="101" t="s">
        <v>445</v>
      </c>
      <c r="O8" s="101" t="s">
        <v>112</v>
      </c>
      <c r="P8" s="96">
        <v>7.5</v>
      </c>
      <c r="Q8" s="102">
        <v>20.0</v>
      </c>
      <c r="R8" s="101" t="s">
        <v>113</v>
      </c>
      <c r="S8" s="100" t="str">
        <f>Bets!AU6</f>
        <v>⚠ FUN BET — engine said pass · staked £20 vs engine £0</v>
      </c>
      <c r="T8" s="96"/>
      <c r="U8" s="103" t="str">
        <f t="shared" si="1"/>
        <v/>
      </c>
      <c r="V8" s="83">
        <v>20.0</v>
      </c>
      <c r="W8" s="83">
        <v>0.0</v>
      </c>
      <c r="X8" s="2"/>
      <c r="Y8" s="2"/>
      <c r="Z8" s="2"/>
    </row>
    <row r="9" ht="15.0" customHeight="1">
      <c r="A9" s="92">
        <f>Bets!A7</f>
        <v>6</v>
      </c>
      <c r="B9" s="93">
        <f>Bets!B7</f>
        <v>46186</v>
      </c>
      <c r="C9" s="94">
        <f>IF(Bets!H7="","TBC",Bets!H7)</f>
        <v>0.9583333333</v>
      </c>
      <c r="D9" s="95" t="str">
        <f>Bets!D7&amp;"  v  "&amp;Bets!E7</f>
        <v>Brazil  v  Morocco</v>
      </c>
      <c r="E9" s="96">
        <v>1.7</v>
      </c>
      <c r="F9" s="96">
        <v>3.75</v>
      </c>
      <c r="G9" s="96">
        <v>5.5</v>
      </c>
      <c r="H9" s="97" t="str">
        <f>Bets!AD7</f>
        <v>2  Morocco</v>
      </c>
      <c r="I9" s="98" t="str">
        <f>Bets!AH7</f>
        <v>BET</v>
      </c>
      <c r="J9" s="99">
        <f>Bets!AJ7</f>
        <v>8</v>
      </c>
      <c r="K9" s="100" t="str">
        <f>Bets!AT7</f>
        <v>Value found: EV 14.3%, edge 3.7%</v>
      </c>
      <c r="L9" s="101" t="s">
        <v>446</v>
      </c>
      <c r="M9" s="97" t="str">
        <f>IFERROR(__xludf.DUMMYFUNCTION("IF(Bets!AH7=""· enter odds"","""",IF(Method!$B$55=TRUE(),IF(Method!$B$81=TRUE(),IF(REGEXMATCH(LOWER(Method!$B$63),""circuit""),""🛑 PAUSED — circuit breaker upstream; wait for a clean live refresh."",IF(REGEXMATCH(LOWER(Method!$B$63),""pipeline""),""🛑 PA"&amp;"USED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pauses."")),IF(Bets!AH7&lt;&gt;""BET"",IF(OR(Bets!AF7&gt;Method!$B$87,IFERROR(INDEX(Bets!BC7:BE7,1,Bets!AB7)/INDEX(Bets!S7:U7,1,Bets!AB7),0)&gt;Method!$B$88),""🛑 NO BET — tail trap (EV ""&amp;TEXT(Bets!AF7,""0.0%"")&amp;"" / model ""&amp;TEXT(IFERROR(INDEX(Bets!BC7:BE7,1,Bets"&amp;"!AB7)/INDEX(Bets!S7:U7,1,Bets!AB7),0),""0.0"")&amp;""× market)"",""❌ NO BET — price not good enough""),IF(Bets!AJ7=0,""❌ NO BET — stake under minimum"",IF(L9="""",IF(AND(Bets!AE7&gt;=6,Bets!AG7&gt;=0.15),""🟡 WAIT — long-shot review: odds ""&amp;TEXT(Bets!AE7,""0.00"")"&amp;"&amp;"" + edge ""&amp;TEXT(Bets!AG7,""0.0%"")&amp;"" — verify sharp-book + team news + stake comfort"",""🟡 WAIT — check team news first""),IF(L9=""N"",""🔴 SKIP — team news concern"",IF(L9=""Y"",""🟢 PLACE £""&amp;Bets!AJ7&amp;"" on ""&amp;Bets!AD7,"""")))))))"),"🔴 SKIP — team news concern")</f>
        <v>🔴 SKIP — team news concern</v>
      </c>
      <c r="N9" s="101" t="s">
        <v>445</v>
      </c>
      <c r="O9" s="101" t="s">
        <v>111</v>
      </c>
      <c r="P9" s="96">
        <v>1.68</v>
      </c>
      <c r="Q9" s="102">
        <v>30.0</v>
      </c>
      <c r="R9" s="101" t="s">
        <v>113</v>
      </c>
      <c r="S9" s="100" t="str">
        <f>Bets!AU7</f>
        <v>⚠ backed H but engine pick was A</v>
      </c>
      <c r="T9" s="96"/>
      <c r="U9" s="103" t="str">
        <f t="shared" si="1"/>
        <v/>
      </c>
      <c r="V9" s="83">
        <f>0.78+20+0.4+10</f>
        <v>31.18</v>
      </c>
      <c r="W9" s="83">
        <v>0.0</v>
      </c>
      <c r="X9" s="2"/>
      <c r="Y9" s="2"/>
      <c r="Z9" s="2"/>
    </row>
    <row r="10" ht="15.0" customHeight="1">
      <c r="A10" s="92">
        <f>Bets!A8</f>
        <v>7</v>
      </c>
      <c r="B10" s="93">
        <f>Bets!B8</f>
        <v>46186</v>
      </c>
      <c r="C10" s="92" t="str">
        <f>IF(Bets!H8="","TBC",Bets!H8)</f>
        <v>02:00 +1d</v>
      </c>
      <c r="D10" s="95" t="str">
        <f>Bets!D8&amp;"  v  "&amp;Bets!E8</f>
        <v>Haiti  v  Scotland</v>
      </c>
      <c r="E10" s="96">
        <v>6.0</v>
      </c>
      <c r="F10" s="96">
        <v>4.5</v>
      </c>
      <c r="G10" s="96">
        <v>0.53</v>
      </c>
      <c r="H10" s="97" t="str">
        <f>Bets!AD8</f>
        <v>X  Draw</v>
      </c>
      <c r="I10" s="98" t="str">
        <f>Bets!AH8</f>
        <v>PASS</v>
      </c>
      <c r="J10" s="99">
        <f>Bets!AJ8</f>
        <v>0</v>
      </c>
      <c r="K10" s="100" t="str">
        <f>Bets!AT8</f>
        <v>🛑 Tail trap — auto-PASS · EV -27.4% (cap 30%) · model/market 2.9× (cap 2.5×)</v>
      </c>
      <c r="L10" s="101"/>
      <c r="M10" s="97" t="str">
        <f>IFERROR(__xludf.DUMMYFUNCTION("IF(Bets!AH8=""· enter odds"","""",IF(Method!$B$55=TRUE(),IF(Method!$B$81=TRUE(),IF(REGEXMATCH(LOWER(Method!$B$63),""circuit""),""🛑 PAUSED — circuit breaker upstream; wait for a clean live refresh."",IF(REGEXMATCH(LOWER(Method!$B$63),""pipeline""),""🛑 PA"&amp;"USED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pauses."")),IF(Bets!AH8&lt;&gt;""BET"",IF(OR(Bets!AF8&gt;Method!$B$87,IFERROR(INDEX(Bets!BC8:BE8,1,Bets!AB8)/INDEX(Bets!S8:U8,1,Bets!AB8),0)&gt;Method!$B$88),""🛑 NO BET — tail trap (EV ""&amp;TEXT(Bets!AF8,""0.0%"")&amp;"" / model ""&amp;TEXT(IFERROR(INDEX(Bets!BC8:BE8,1,Bets"&amp;"!AB8)/INDEX(Bets!S8:U8,1,Bets!AB8),0),""0.0"")&amp;""× market)"",""❌ NO BET — price not good enough""),IF(Bets!AJ8=0,""❌ NO BET — stake under minimum"",IF(L10="""",IF(AND(Bets!AE8&gt;=6,Bets!AG8&gt;=0.15),""🟡 WAIT — long-shot review: odds ""&amp;TEXT(Bets!AE8,""0.00"""&amp;")&amp;"" + edge ""&amp;TEXT(Bets!AG8,""0.0%"")&amp;"" — verify sharp-book + team news + stake comfort"",""🟡 WAIT — check team news first""),IF(L10=""N"",""🔴 SKIP — team news concern"",IF(L10=""Y"",""🟢 PLACE £""&amp;Bets!AJ8&amp;"" on ""&amp;Bets!AD8,"""")))))))"),"🛑 NO BET — tail trap (EV -27.4% / model 2.9× market)")</f>
        <v>🛑 NO BET — tail trap (EV -27.4% / model 2.9× market)</v>
      </c>
      <c r="N10" s="101" t="s">
        <v>446</v>
      </c>
      <c r="O10" s="101"/>
      <c r="P10" s="96"/>
      <c r="Q10" s="102"/>
      <c r="R10" s="101" t="s">
        <v>112</v>
      </c>
      <c r="S10" s="100" t="str">
        <f>Bets!AU8</f>
        <v/>
      </c>
      <c r="T10" s="96"/>
      <c r="U10" s="103" t="str">
        <f t="shared" si="1"/>
        <v/>
      </c>
      <c r="V10" s="83"/>
      <c r="W10" s="83"/>
      <c r="X10" s="2"/>
      <c r="Y10" s="2"/>
      <c r="Z10" s="2"/>
    </row>
    <row r="11" ht="15.0" customHeight="1">
      <c r="A11" s="92">
        <f>Bets!A9</f>
        <v>8</v>
      </c>
      <c r="B11" s="93">
        <f>Bets!B9</f>
        <v>46186</v>
      </c>
      <c r="C11" s="92" t="str">
        <f>IF(Bets!H9="","TBC",Bets!H9)</f>
        <v>05:00 +1d</v>
      </c>
      <c r="D11" s="95" t="str">
        <f>Bets!D9&amp;"  v  "&amp;Bets!E9</f>
        <v>Australia  v  Turkey</v>
      </c>
      <c r="E11" s="96">
        <v>5.25</v>
      </c>
      <c r="F11" s="96">
        <v>3.8</v>
      </c>
      <c r="G11" s="96">
        <v>1.66</v>
      </c>
      <c r="H11" s="97" t="str">
        <f>Bets!AD9</f>
        <v>1  Australia</v>
      </c>
      <c r="I11" s="98" t="str">
        <f>Bets!AH9</f>
        <v>BET</v>
      </c>
      <c r="J11" s="99">
        <f>Bets!AJ9</f>
        <v>16</v>
      </c>
      <c r="K11" s="100" t="str">
        <f>Bets!AT9</f>
        <v>Value found: EV 26.9%, edge 6.8%</v>
      </c>
      <c r="L11" s="101" t="s">
        <v>445</v>
      </c>
      <c r="M11" s="97" t="str">
        <f>IFERROR(__xludf.DUMMYFUNCTION("IF(Bets!AH9=""· enter odds"","""",IF(Method!$B$55=TRUE(),IF(Method!$B$81=TRUE(),IF(REGEXMATCH(LOWER(Method!$B$63),""circuit""),""🛑 PAUSED — circuit breaker upstream; wait for a clean live refresh."",IF(REGEXMATCH(LOWER(Method!$B$63),""pipeline""),""🛑 PA"&amp;"USED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pauses."")),IF(Bets!AH9&lt;&gt;""BET"",IF(OR(Bets!AF9&gt;Method!$B$87,IFERROR(INDEX(Bets!BC9:BE9,1,Bets!AB9)/INDEX(Bets!S9:U9,1,Bets!AB9),0)&gt;Method!$B$88),""🛑 NO BET — tail trap (EV ""&amp;TEXT(Bets!AF9,""0.0%"")&amp;"" / model ""&amp;TEXT(IFERROR(INDEX(Bets!BC9:BE9,1,Bets"&amp;"!AB9)/INDEX(Bets!S9:U9,1,Bets!AB9),0),""0.0"")&amp;""× market)"",""❌ NO BET — price not good enough""),IF(Bets!AJ9=0,""❌ NO BET — stake under minimum"",IF(L11="""",IF(AND(Bets!AE9&gt;=6,Bets!AG9&gt;=0.15),""🟡 WAIT — long-shot review: odds ""&amp;TEXT(Bets!AE9,""0.00"""&amp;")&amp;"" + edge ""&amp;TEXT(Bets!AG9,""0.0%"")&amp;"" — verify sharp-book + team news + stake comfort"",""🟡 WAIT — check team news first""),IF(L11=""N"",""🔴 SKIP — team news concern"",IF(L11=""Y"",""🟢 PLACE £""&amp;Bets!AJ9&amp;"" on ""&amp;Bets!AD9,"""")))))))"),"🟢 PLACE £16 on 1  Australia")</f>
        <v>🟢 PLACE £16 on 1  Australia</v>
      </c>
      <c r="N11" s="101" t="s">
        <v>445</v>
      </c>
      <c r="O11" s="101" t="s">
        <v>111</v>
      </c>
      <c r="P11" s="96">
        <v>5.25</v>
      </c>
      <c r="Q11" s="102">
        <v>10.0</v>
      </c>
      <c r="R11" s="101" t="s">
        <v>111</v>
      </c>
      <c r="S11" s="100" t="str">
        <f>Bets!AU9</f>
        <v>⚠ stake over engine £0</v>
      </c>
      <c r="T11" s="96">
        <f>19/4</f>
        <v>4.75</v>
      </c>
      <c r="U11" s="103">
        <f t="shared" si="1"/>
        <v>0.1052631579</v>
      </c>
      <c r="V11" s="83">
        <v>10.0</v>
      </c>
      <c r="W11" s="83">
        <v>52.5</v>
      </c>
      <c r="X11" s="2"/>
      <c r="Y11" s="2"/>
      <c r="Z11" s="2"/>
    </row>
    <row r="12" ht="15.0" customHeight="1">
      <c r="A12" s="92">
        <f>Bets!A10</f>
        <v>9</v>
      </c>
      <c r="B12" s="93">
        <f>Bets!B10</f>
        <v>46187</v>
      </c>
      <c r="C12" s="94">
        <f>IF(Bets!H10="","TBC",Bets!H10)</f>
        <v>0.75</v>
      </c>
      <c r="D12" s="95" t="str">
        <f>Bets!D10&amp;"  v  "&amp;Bets!E10</f>
        <v>Germany  v  Curacao</v>
      </c>
      <c r="E12" s="96">
        <v>1.03</v>
      </c>
      <c r="F12" s="96">
        <v>19.0</v>
      </c>
      <c r="G12" s="96">
        <v>34.0</v>
      </c>
      <c r="H12" s="97" t="str">
        <f>Bets!AD10</f>
        <v>X  Draw</v>
      </c>
      <c r="I12" s="98" t="str">
        <f>Bets!AH10</f>
        <v>PASS</v>
      </c>
      <c r="J12" s="99">
        <f>Bets!AJ10</f>
        <v>0</v>
      </c>
      <c r="K12" s="100" t="str">
        <f>Bets!AT10</f>
        <v>🛑 Tail trap — auto-PASS · EV 82.8% (cap 30%) · model/market 5.4× (cap 2.5×)</v>
      </c>
      <c r="L12" s="101" t="s">
        <v>445</v>
      </c>
      <c r="M12" s="97" t="str">
        <f>IFERROR(__xludf.DUMMYFUNCTION("IF(Bets!AH10=""·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pauses."")),IF(Bets!AH10&lt;&gt;""BET"",IF(OR(Bets!AF10&gt;Method!$B$87,IFERROR(INDEX(Bets!BC10:BE10,1,Bets!AB10)/INDEX(Bets!S10:U10,1,Bets!AB10),0)&gt;Method!$B$88),""🛑 NO BET — tail trap (EV ""&amp;TEXT(Bets!AF10,""0.0%"")&amp;"" / model ""&amp;TEXT(IFERROR(INDEX(Bets!BC10:"&amp;"BE10,1,Bets!AB10)/INDEX(Bets!S10:U10,1,Bets!AB10),0),""0.0"")&amp;""× market)"",""❌ NO BET — price not good enough""),IF(Bets!AJ10=0,""❌ NO BET — stake under minimum"",IF(L12="""",IF(AND(Bets!AE10&gt;=6,Bets!AG10&gt;=0.15),""🟡 WAIT — long-shot review: odds ""&amp;TEXT"&amp;"(Bets!AE10,""0.00"")&amp;"" + edge ""&amp;TEXT(Bets!AG10,""0.0%"")&amp;"" — verify sharp-book + team news + stake comfort"",""🟡 WAIT — check team news first""),IF(L12=""N"",""🔴 SKIP — team news concern"",IF(L12=""Y"",""🟢 PLACE £""&amp;Bets!AJ10&amp;"" on ""&amp;Bets!AD10,"""""&amp;")))))))"),"🛑 NO BET — tail trap (EV 82.8% / model 5.4× market)")</f>
        <v>🛑 NO BET — tail trap (EV 82.8% / model 5.4× market)</v>
      </c>
      <c r="N12" s="101" t="s">
        <v>445</v>
      </c>
      <c r="O12" s="101" t="s">
        <v>113</v>
      </c>
      <c r="P12" s="96">
        <v>19.0</v>
      </c>
      <c r="Q12" s="102">
        <v>6.0</v>
      </c>
      <c r="R12" s="101" t="s">
        <v>111</v>
      </c>
      <c r="S12" s="100" t="str">
        <f>Bets!AU10</f>
        <v>✓ engine bet</v>
      </c>
      <c r="T12" s="96"/>
      <c r="U12" s="103" t="str">
        <f t="shared" si="1"/>
        <v/>
      </c>
      <c r="V12" s="83"/>
      <c r="W12" s="83"/>
      <c r="X12" s="2"/>
      <c r="Y12" s="2"/>
      <c r="Z12" s="2"/>
    </row>
    <row r="13" ht="15.0" customHeight="1">
      <c r="A13" s="92">
        <f>Bets!A11</f>
        <v>10</v>
      </c>
      <c r="B13" s="93">
        <f>Bets!B11</f>
        <v>46187</v>
      </c>
      <c r="C13" s="94">
        <f>IF(Bets!H11="","TBC",Bets!H11)</f>
        <v>0.875</v>
      </c>
      <c r="D13" s="95" t="str">
        <f>Bets!D11&amp;"  v  "&amp;Bets!E11</f>
        <v>Netherlands  v  Japan</v>
      </c>
      <c r="E13" s="96">
        <v>2.05</v>
      </c>
      <c r="F13" s="96">
        <v>3.5</v>
      </c>
      <c r="G13" s="96">
        <v>3.7</v>
      </c>
      <c r="H13" s="97" t="str">
        <f>Bets!AD11</f>
        <v>2  Japan</v>
      </c>
      <c r="I13" s="98" t="str">
        <f>Bets!AH11</f>
        <v>PASS</v>
      </c>
      <c r="J13" s="99">
        <f>Bets!AJ11</f>
        <v>0</v>
      </c>
      <c r="K13" s="100" t="str">
        <f>Bets!AT11</f>
        <v>Price too short — EV 0.6% (need 2.5%+)</v>
      </c>
      <c r="L13" s="101" t="s">
        <v>446</v>
      </c>
      <c r="M13" s="97" t="str">
        <f>IFERROR(__xludf.DUMMYFUNCTION("IF(Bets!AH11=""·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pauses."")),IF(Bets!AH11&lt;&gt;""BET"",IF(OR(Bets!AF11&gt;Method!$B$87,IFERROR(INDEX(Bets!BC11:BE11,1,Bets!AB11)/INDEX(Bets!S11:U11,1,Bets!AB11),0)&gt;Method!$B$88),""🛑 NO BET — tail trap (EV ""&amp;TEXT(Bets!AF11,""0.0%"")&amp;"" / model ""&amp;TEXT(IFERROR(INDEX(Bets!BC11:"&amp;"BE11,1,Bets!AB11)/INDEX(Bets!S11:U11,1,Bets!AB11),0),""0.0"")&amp;""× market)"",""❌ NO BET — price not good enough""),IF(Bets!AJ11=0,""❌ NO BET — stake under minimum"",IF(L13="""",IF(AND(Bets!AE11&gt;=6,Bets!AG11&gt;=0.15),""🟡 WAIT — long-shot review: odds ""&amp;TEXT"&amp;"(Bets!AE11,""0.00"")&amp;"" + edge ""&amp;TEXT(Bets!AG11,""0.0%"")&amp;"" — verify sharp-book + team news + stake comfort"",""🟡 WAIT — check team news first""),IF(L13=""N"",""🔴 SKIP — team news concern"",IF(L13=""Y"",""🟢 PLACE £""&amp;Bets!AJ11&amp;"" on ""&amp;Bets!AD11,"""""&amp;")))))))"),"❌ NO BET — price not good enough")</f>
        <v>❌ NO BET — price not good enough</v>
      </c>
      <c r="N13" s="101" t="s">
        <v>445</v>
      </c>
      <c r="O13" s="101" t="s">
        <v>111</v>
      </c>
      <c r="P13" s="96">
        <f>1/1</f>
        <v>1</v>
      </c>
      <c r="Q13" s="102"/>
      <c r="R13" s="101" t="s">
        <v>113</v>
      </c>
      <c r="S13" s="100" t="str">
        <f>Bets!AU11</f>
        <v>⚠ log backed pick, odds &amp; stake</v>
      </c>
      <c r="T13" s="96"/>
      <c r="U13" s="103" t="str">
        <f t="shared" si="1"/>
        <v/>
      </c>
      <c r="V13" s="83"/>
      <c r="W13" s="83"/>
      <c r="X13" s="2"/>
      <c r="Y13" s="2"/>
      <c r="Z13" s="2"/>
    </row>
    <row r="14" ht="15.0" customHeight="1">
      <c r="A14" s="92">
        <f>Bets!A12</f>
        <v>11</v>
      </c>
      <c r="B14" s="93">
        <f>Bets!B12</f>
        <v>46187</v>
      </c>
      <c r="C14" s="92" t="str">
        <f>IF(Bets!H12="","TBC",Bets!H12)</f>
        <v>00:00 +1d</v>
      </c>
      <c r="D14" s="95" t="str">
        <f>Bets!D12&amp;"  v  "&amp;Bets!E12</f>
        <v>Ivory Coast  v  Ecuador</v>
      </c>
      <c r="E14" s="104">
        <f>21/10</f>
        <v>2.1</v>
      </c>
      <c r="F14" s="96">
        <f>7/4</f>
        <v>1.75</v>
      </c>
      <c r="G14" s="96">
        <f>8/5</f>
        <v>1.6</v>
      </c>
      <c r="H14" s="97" t="str">
        <f>Bets!AD12</f>
        <v>2  Ecuador</v>
      </c>
      <c r="I14" s="98" t="str">
        <f>Bets!AH12</f>
        <v>PASS</v>
      </c>
      <c r="J14" s="99">
        <f>Bets!AJ12</f>
        <v>0</v>
      </c>
      <c r="K14" s="100" t="str">
        <f>Bets!AT12</f>
        <v>Price too short — EV -31.5% (need 2.5%+)</v>
      </c>
      <c r="L14" s="101"/>
      <c r="M14" s="97" t="str">
        <f>IFERROR(__xludf.DUMMYFUNCTION("IF(Bets!AH12=""·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pauses."")),IF(Bets!AH12&lt;&gt;""BET"",IF(OR(Bets!AF12&gt;Method!$B$87,IFERROR(INDEX(Bets!BC12:BE12,1,Bets!AB12)/INDEX(Bets!S12:U12,1,Bets!AB12),0)&gt;Method!$B$88),""🛑 NO BET — tail trap (EV ""&amp;TEXT(Bets!AF12,""0.0%"")&amp;"" / model ""&amp;TEXT(IFERROR(INDEX(Bets!BC12:"&amp;"BE12,1,Bets!AB12)/INDEX(Bets!S12:U12,1,Bets!AB12),0),""0.0"")&amp;""× market)"",""❌ NO BET — price not good enough""),IF(Bets!AJ12=0,""❌ NO BET — stake under minimum"",IF(L14="""",IF(AND(Bets!AE12&gt;=6,Bets!AG12&gt;=0.15),""🟡 WAIT — long-shot review: odds ""&amp;TEXT"&amp;"(Bets!AE12,""0.00"")&amp;"" + edge ""&amp;TEXT(Bets!AG12,""0.0%"")&amp;"" — verify sharp-book + team news + stake comfort"",""🟡 WAIT — check team news first""),IF(L14=""N"",""🔴 SKIP — team news concern"",IF(L14=""Y"",""🟢 PLACE £""&amp;Bets!AJ12&amp;"" on ""&amp;Bets!AD12,"""""&amp;")))))))"),"❌ NO BET — price not good enough")</f>
        <v>❌ NO BET — price not good enough</v>
      </c>
      <c r="N14" s="101"/>
      <c r="O14" s="101"/>
      <c r="P14" s="96"/>
      <c r="Q14" s="102"/>
      <c r="R14" s="101" t="s">
        <v>111</v>
      </c>
      <c r="S14" s="100" t="str">
        <f>Bets!AU12</f>
        <v/>
      </c>
      <c r="T14" s="96"/>
      <c r="U14" s="103" t="str">
        <f t="shared" si="1"/>
        <v/>
      </c>
      <c r="V14" s="83"/>
      <c r="W14" s="83"/>
      <c r="X14" s="2"/>
      <c r="Y14" s="2"/>
      <c r="Z14" s="2"/>
    </row>
    <row r="15" ht="15.0" customHeight="1">
      <c r="A15" s="92">
        <f>Bets!A13</f>
        <v>12</v>
      </c>
      <c r="B15" s="93">
        <f>Bets!B13</f>
        <v>46187</v>
      </c>
      <c r="C15" s="92" t="str">
        <f>IF(Bets!H13="","TBC",Bets!H13)</f>
        <v>03:00 +1d</v>
      </c>
      <c r="D15" s="95" t="str">
        <f>Bets!D13&amp;"  v  "&amp;Bets!E13</f>
        <v>Sweden  v  Tunisia</v>
      </c>
      <c r="E15" s="96">
        <v>1.9</v>
      </c>
      <c r="F15" s="96">
        <v>3.4</v>
      </c>
      <c r="G15" s="96">
        <v>4.33</v>
      </c>
      <c r="H15" s="97" t="str">
        <f>Bets!AD13</f>
        <v>2  Tunisia</v>
      </c>
      <c r="I15" s="98" t="str">
        <f>Bets!AH13</f>
        <v>BET</v>
      </c>
      <c r="J15" s="99">
        <f>Bets!AJ13</f>
        <v>8</v>
      </c>
      <c r="K15" s="100" t="str">
        <f>Bets!AT13</f>
        <v>Value found: EV 11.0%, edge 4.1%</v>
      </c>
      <c r="L15" s="101" t="s">
        <v>446</v>
      </c>
      <c r="M15" s="97" t="str">
        <f>IFERROR(__xludf.DUMMYFUNCTION("IF(Bets!AH13=""·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pauses."")),IF(Bets!AH13&lt;&gt;""BET"",IF(OR(Bets!AF13&gt;Method!$B$87,IFERROR(INDEX(Bets!BC13:BE13,1,Bets!AB13)/INDEX(Bets!S13:U13,1,Bets!AB13),0)&gt;Method!$B$88),""🛑 NO BET — tail trap (EV ""&amp;TEXT(Bets!AF13,""0.0%"")&amp;"" / model ""&amp;TEXT(IFERROR(INDEX(Bets!BC13:"&amp;"BE13,1,Bets!AB13)/INDEX(Bets!S13:U13,1,Bets!AB13),0),""0.0"")&amp;""× market)"",""❌ NO BET — price not good enough""),IF(Bets!AJ13=0,""❌ NO BET — stake under minimum"",IF(L15="""",IF(AND(Bets!AE13&gt;=6,Bets!AG13&gt;=0.15),""🟡 WAIT — long-shot review: odds ""&amp;TEXT"&amp;"(Bets!AE13,""0.00"")&amp;"" + edge ""&amp;TEXT(Bets!AG13,""0.0%"")&amp;"" — verify sharp-book + team news + stake comfort"",""🟡 WAIT — check team news first""),IF(L15=""N"",""🔴 SKIP — team news concern"",IF(L15=""Y"",""🟢 PLACE £""&amp;Bets!AJ13&amp;"" on ""&amp;Bets!AD13,"""""&amp;")))))))"),"🔴 SKIP — team news concern")</f>
        <v>🔴 SKIP — team news concern</v>
      </c>
      <c r="N15" s="101"/>
      <c r="O15" s="101"/>
      <c r="P15" s="96"/>
      <c r="Q15" s="102"/>
      <c r="R15" s="101" t="s">
        <v>111</v>
      </c>
      <c r="S15" s="100" t="str">
        <f>Bets!AU13</f>
        <v/>
      </c>
      <c r="T15" s="96"/>
      <c r="U15" s="103" t="str">
        <f t="shared" si="1"/>
        <v/>
      </c>
      <c r="V15" s="83"/>
      <c r="W15" s="83"/>
      <c r="X15" s="2"/>
      <c r="Y15" s="2"/>
      <c r="Z15" s="2"/>
    </row>
    <row r="16" ht="15.0" customHeight="1">
      <c r="A16" s="92">
        <f>Bets!A14</f>
        <v>13</v>
      </c>
      <c r="B16" s="93">
        <f>Bets!B14</f>
        <v>46188</v>
      </c>
      <c r="C16" s="94">
        <f>IF(Bets!H14="","TBC",Bets!H14)</f>
        <v>0.7083333333</v>
      </c>
      <c r="D16" s="95" t="str">
        <f>Bets!D14&amp;"  v  "&amp;Bets!E14</f>
        <v>Spain  v  Cape Verde</v>
      </c>
      <c r="E16" s="96">
        <v>1.11</v>
      </c>
      <c r="F16" s="96">
        <v>14.0</v>
      </c>
      <c r="G16" s="96">
        <v>36.0</v>
      </c>
      <c r="H16" s="97" t="str">
        <f>Bets!AD14</f>
        <v>2  Cape Verde</v>
      </c>
      <c r="I16" s="98" t="str">
        <f>Bets!AH14</f>
        <v>PASS</v>
      </c>
      <c r="J16" s="99">
        <f>Bets!AJ14</f>
        <v>0</v>
      </c>
      <c r="K16" s="100" t="str">
        <f>Bets!AT14</f>
        <v>Model ≈ market — edge 0.7% (need 2.5%+)</v>
      </c>
      <c r="L16" s="101" t="s">
        <v>445</v>
      </c>
      <c r="M16" s="97" t="str">
        <f>IFERROR(__xludf.DUMMYFUNCTION("IF(Bets!AH14=""·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pauses."")),IF(Bets!AH14&lt;&gt;""BET"",IF(OR(Bets!AF14&gt;Method!$B$87,IFERROR(INDEX(Bets!BC14:BE14,1,Bets!AB14)/INDEX(Bets!S14:U14,1,Bets!AB14),0)&gt;Method!$B$88),""🛑 NO BET — tail trap (EV ""&amp;TEXT(Bets!AF14,""0.0%"")&amp;"" / model ""&amp;TEXT(IFERROR(INDEX(Bets!BC14:"&amp;"BE14,1,Bets!AB14)/INDEX(Bets!S14:U14,1,Bets!AB14),0),""0.0"")&amp;""× market)"",""❌ NO BET — price not good enough""),IF(Bets!AJ14=0,""❌ NO BET — stake under minimum"",IF(L16="""",IF(AND(Bets!AE14&gt;=6,Bets!AG14&gt;=0.15),""🟡 WAIT — long-shot review: odds ""&amp;TEXT"&amp;"(Bets!AE14,""0.00"")&amp;"" + edge ""&amp;TEXT(Bets!AG14,""0.0%"")&amp;"" — verify sharp-book + team news + stake comfort"",""🟡 WAIT — check team news first""),IF(L16=""N"",""🔴 SKIP — team news concern"",IF(L16=""Y"",""🟢 PLACE £""&amp;Bets!AJ14&amp;"" on ""&amp;Bets!AD14,"""""&amp;")))))))"),"❌ NO BET — price not good enough")</f>
        <v>❌ NO BET — price not good enough</v>
      </c>
      <c r="N16" s="101"/>
      <c r="O16" s="101"/>
      <c r="P16" s="96"/>
      <c r="Q16" s="102"/>
      <c r="R16" s="101" t="s">
        <v>113</v>
      </c>
      <c r="S16" s="100" t="str">
        <f>Bets!AU14</f>
        <v/>
      </c>
      <c r="T16" s="96"/>
      <c r="U16" s="103" t="str">
        <f t="shared" si="1"/>
        <v/>
      </c>
      <c r="V16" s="83"/>
      <c r="W16" s="83"/>
      <c r="X16" s="2"/>
      <c r="Y16" s="2"/>
      <c r="Z16" s="2"/>
    </row>
    <row r="17" ht="15.0" customHeight="1">
      <c r="A17" s="92">
        <f>Bets!A15</f>
        <v>14</v>
      </c>
      <c r="B17" s="93">
        <f>Bets!B15</f>
        <v>46188</v>
      </c>
      <c r="C17" s="94">
        <f>IF(Bets!H15="","TBC",Bets!H15)</f>
        <v>0.9583333333</v>
      </c>
      <c r="D17" s="95" t="str">
        <f>Bets!D15&amp;"  v  "&amp;Bets!E15</f>
        <v>Belgium  v  Egypt</v>
      </c>
      <c r="E17" s="96">
        <v>1.57</v>
      </c>
      <c r="F17" s="96">
        <v>4.33</v>
      </c>
      <c r="G17" s="96">
        <v>7.0</v>
      </c>
      <c r="H17" s="97" t="str">
        <f>Bets!AD15</f>
        <v>2  Egypt</v>
      </c>
      <c r="I17" s="98" t="str">
        <f>Bets!AH15</f>
        <v>PASS</v>
      </c>
      <c r="J17" s="99">
        <f>Bets!AJ15</f>
        <v>0</v>
      </c>
      <c r="K17" s="100" t="str">
        <f>Bets!AT15</f>
        <v>Model ≈ market — edge 2.4% (need 2.5%+)</v>
      </c>
      <c r="L17" s="101"/>
      <c r="M17" s="97" t="str">
        <f>IFERROR(__xludf.DUMMYFUNCTION("IF(Bets!AH15=""·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pauses."")),IF(Bets!AH15&lt;&gt;""BET"",IF(OR(Bets!AF15&gt;Method!$B$87,IFERROR(INDEX(Bets!BC15:BE15,1,Bets!AB15)/INDEX(Bets!S15:U15,1,Bets!AB15),0)&gt;Method!$B$88),""🛑 NO BET — tail trap (EV ""&amp;TEXT(Bets!AF15,""0.0%"")&amp;"" / model ""&amp;TEXT(IFERROR(INDEX(Bets!BC15:"&amp;"BE15,1,Bets!AB15)/INDEX(Bets!S15:U15,1,Bets!AB15),0),""0.0"")&amp;""× market)"",""❌ NO BET — price not good enough""),IF(Bets!AJ15=0,""❌ NO BET — stake under minimum"",IF(L17="""",IF(AND(Bets!AE15&gt;=6,Bets!AG15&gt;=0.15),""🟡 WAIT — long-shot review: odds ""&amp;TEXT"&amp;"(Bets!AE15,""0.00"")&amp;"" + edge ""&amp;TEXT(Bets!AG15,""0.0%"")&amp;"" — verify sharp-book + team news + stake comfort"",""🟡 WAIT — check team news first""),IF(L17=""N"",""🔴 SKIP — team news concern"",IF(L17=""Y"",""🟢 PLACE £""&amp;Bets!AJ15&amp;"" on ""&amp;Bets!AD15,"""""&amp;")))))))"),"❌ NO BET — price not good enough")</f>
        <v>❌ NO BET — price not good enough</v>
      </c>
      <c r="N17" s="101"/>
      <c r="O17" s="101"/>
      <c r="P17" s="96"/>
      <c r="Q17" s="102"/>
      <c r="R17" s="101" t="s">
        <v>113</v>
      </c>
      <c r="S17" s="100" t="str">
        <f>Bets!AU15</f>
        <v/>
      </c>
      <c r="T17" s="96"/>
      <c r="U17" s="103" t="str">
        <f t="shared" si="1"/>
        <v/>
      </c>
      <c r="V17" s="83"/>
      <c r="W17" s="83"/>
      <c r="X17" s="2"/>
      <c r="Y17" s="2"/>
      <c r="Z17" s="2"/>
    </row>
    <row r="18" ht="15.0" customHeight="1">
      <c r="A18" s="92">
        <f>Bets!A16</f>
        <v>15</v>
      </c>
      <c r="B18" s="93">
        <f>Bets!B16</f>
        <v>46188</v>
      </c>
      <c r="C18" s="94">
        <f>IF(Bets!H16="","TBC",Bets!H16)</f>
        <v>0.9583333333</v>
      </c>
      <c r="D18" s="95" t="str">
        <f>Bets!D16&amp;"  v  "&amp;Bets!E16</f>
        <v>Saudi Arabia  v  Uruguay</v>
      </c>
      <c r="E18" s="96">
        <v>8.0</v>
      </c>
      <c r="F18" s="96">
        <v>4.5</v>
      </c>
      <c r="G18" s="96">
        <v>1.5</v>
      </c>
      <c r="H18" s="97" t="str">
        <f>Bets!AD16</f>
        <v>X  Draw</v>
      </c>
      <c r="I18" s="98" t="str">
        <f>Bets!AH16</f>
        <v>PASS</v>
      </c>
      <c r="J18" s="99">
        <f>Bets!AJ16</f>
        <v>0</v>
      </c>
      <c r="K18" s="100" t="str">
        <f>Bets!AT16</f>
        <v>Model ≈ market — edge 2.3% (need 2.5%+)</v>
      </c>
      <c r="L18" s="101"/>
      <c r="M18" s="97" t="str">
        <f>IFERROR(__xludf.DUMMYFUNCTION("IF(Bets!AH16=""·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pauses."")),IF(Bets!AH16&lt;&gt;""BET"",IF(OR(Bets!AF16&gt;Method!$B$87,IFERROR(INDEX(Bets!BC16:BE16,1,Bets!AB16)/INDEX(Bets!S16:U16,1,Bets!AB16),0)&gt;Method!$B$88),""🛑 NO BET — tail trap (EV ""&amp;TEXT(Bets!AF16,""0.0%"")&amp;"" / model ""&amp;TEXT(IFERROR(INDEX(Bets!BC16:"&amp;"BE16,1,Bets!AB16)/INDEX(Bets!S16:U16,1,Bets!AB16),0),""0.0"")&amp;""× market)"",""❌ NO BET — price not good enough""),IF(Bets!AJ16=0,""❌ NO BET — stake under minimum"",IF(L18="""",IF(AND(Bets!AE16&gt;=6,Bets!AG16&gt;=0.15),""🟡 WAIT — long-shot review: odds ""&amp;TEXT"&amp;"(Bets!AE16,""0.00"")&amp;"" + edge ""&amp;TEXT(Bets!AG16,""0.0%"")&amp;"" — verify sharp-book + team news + stake comfort"",""🟡 WAIT — check team news first""),IF(L18=""N"",""🔴 SKIP — team news concern"",IF(L18=""Y"",""🟢 PLACE £""&amp;Bets!AJ16&amp;"" on ""&amp;Bets!AD16,"""""&amp;")))))))"),"❌ NO BET — price not good enough")</f>
        <v>❌ NO BET — price not good enough</v>
      </c>
      <c r="N18" s="101"/>
      <c r="O18" s="101"/>
      <c r="P18" s="96"/>
      <c r="Q18" s="102"/>
      <c r="R18" s="101" t="s">
        <v>113</v>
      </c>
      <c r="S18" s="100" t="str">
        <f>Bets!AU16</f>
        <v/>
      </c>
      <c r="T18" s="96"/>
      <c r="U18" s="103" t="str">
        <f t="shared" si="1"/>
        <v/>
      </c>
      <c r="V18" s="83"/>
      <c r="W18" s="83"/>
      <c r="X18" s="2"/>
      <c r="Y18" s="2"/>
      <c r="Z18" s="2"/>
    </row>
    <row r="19" ht="15.0" customHeight="1">
      <c r="A19" s="92">
        <f>Bets!A17</f>
        <v>16</v>
      </c>
      <c r="B19" s="93">
        <f>Bets!B17</f>
        <v>46188</v>
      </c>
      <c r="C19" s="92" t="str">
        <f>IF(Bets!H17="","TBC",Bets!H17)</f>
        <v>05:00 +1d</v>
      </c>
      <c r="D19" s="95" t="str">
        <f>Bets!D17&amp;"  v  "&amp;Bets!E17</f>
        <v>Iran  v  New Zealand</v>
      </c>
      <c r="E19" s="96">
        <v>1.93</v>
      </c>
      <c r="F19" s="96">
        <v>3.5</v>
      </c>
      <c r="G19" s="96">
        <v>5.0</v>
      </c>
      <c r="H19" s="97" t="str">
        <f>Bets!AD17</f>
        <v>1  Iran</v>
      </c>
      <c r="I19" s="98" t="str">
        <f>Bets!AH17</f>
        <v>PASS</v>
      </c>
      <c r="J19" s="99">
        <f>Bets!AJ17</f>
        <v>0</v>
      </c>
      <c r="K19" s="100" t="str">
        <f>Bets!AT17</f>
        <v>Price too short — EV 0.6% (need 2.5%+)</v>
      </c>
      <c r="L19" s="101"/>
      <c r="M19" s="97" t="str">
        <f>IFERROR(__xludf.DUMMYFUNCTION("IF(Bets!AH17=""·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pauses."")),IF(Bets!AH17&lt;&gt;""BET"",IF(OR(Bets!AF17&gt;Method!$B$87,IFERROR(INDEX(Bets!BC17:BE17,1,Bets!AB17)/INDEX(Bets!S17:U17,1,Bets!AB17),0)&gt;Method!$B$88),""🛑 NO BET — tail trap (EV ""&amp;TEXT(Bets!AF17,""0.0%"")&amp;"" / model ""&amp;TEXT(IFERROR(INDEX(Bets!BC17:"&amp;"BE17,1,Bets!AB17)/INDEX(Bets!S17:U17,1,Bets!AB17),0),""0.0"")&amp;""× market)"",""❌ NO BET — price not good enough""),IF(Bets!AJ17=0,""❌ NO BET — stake under minimum"",IF(L19="""",IF(AND(Bets!AE17&gt;=6,Bets!AG17&gt;=0.15),""🟡 WAIT — long-shot review: odds ""&amp;TEXT"&amp;"(Bets!AE17,""0.00"")&amp;"" + edge ""&amp;TEXT(Bets!AG17,""0.0%"")&amp;"" — verify sharp-book + team news + stake comfort"",""🟡 WAIT — check team news first""),IF(L19=""N"",""🔴 SKIP — team news concern"",IF(L19=""Y"",""🟢 PLACE £""&amp;Bets!AJ17&amp;"" on ""&amp;Bets!AD17,"""""&amp;")))))))"),"❌ NO BET — price not good enough")</f>
        <v>❌ NO BET — price not good enough</v>
      </c>
      <c r="N19" s="101"/>
      <c r="O19" s="101"/>
      <c r="P19" s="96"/>
      <c r="Q19" s="102"/>
      <c r="R19" s="101" t="s">
        <v>113</v>
      </c>
      <c r="S19" s="100" t="str">
        <f>Bets!AU17</f>
        <v/>
      </c>
      <c r="T19" s="96"/>
      <c r="U19" s="103" t="str">
        <f t="shared" si="1"/>
        <v/>
      </c>
      <c r="V19" s="83"/>
      <c r="W19" s="83"/>
      <c r="X19" s="2"/>
      <c r="Y19" s="2"/>
      <c r="Z19" s="2"/>
    </row>
    <row r="20" ht="15.0" customHeight="1">
      <c r="A20" s="105">
        <f>Bets!A18</f>
        <v>17</v>
      </c>
      <c r="B20" s="106">
        <f>Bets!B18</f>
        <v>46189</v>
      </c>
      <c r="C20" s="107">
        <f>IF(Bets!H18="","TBC",Bets!H18)</f>
        <v>0.8333333333</v>
      </c>
      <c r="D20" s="100" t="str">
        <f>Bets!D18&amp;"  v  "&amp;Bets!E18</f>
        <v>France  v  Senegal</v>
      </c>
      <c r="E20" s="96">
        <v>1.52</v>
      </c>
      <c r="F20" s="96">
        <v>4.55</v>
      </c>
      <c r="G20" s="96">
        <v>7.2</v>
      </c>
      <c r="H20" s="97" t="str">
        <f>Bets!AD18</f>
        <v>1  France</v>
      </c>
      <c r="I20" s="98" t="str">
        <f>Bets!AH18</f>
        <v>BET</v>
      </c>
      <c r="J20" s="99">
        <f>Bets!AJ18</f>
        <v>15</v>
      </c>
      <c r="K20" s="100" t="str">
        <f>Bets!AT18</f>
        <v>Value found: EV 3.1%, edge 2.8%</v>
      </c>
      <c r="L20" s="101"/>
      <c r="M20" s="97" t="str">
        <f>IFERROR(__xludf.DUMMYFUNCTION("IF(Bets!AH18=""·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pauses."")),IF(Bets!AH18&lt;&gt;""BET"",IF(OR(Bets!AF18&gt;Method!$B$87,IFERROR(INDEX(Bets!BC18:BE18,1,Bets!AB18)/INDEX(Bets!S18:U18,1,Bets!AB18),0)&gt;Method!$B$88),""🛑 NO BET — tail trap (EV ""&amp;TEXT(Bets!AF18,""0.0%"")&amp;"" / model ""&amp;TEXT(IFERROR(INDEX(Bets!BC18:"&amp;"BE18,1,Bets!AB18)/INDEX(Bets!S18:U18,1,Bets!AB18),0),""0.0"")&amp;""× market)"",""❌ NO BET — price not good enough""),IF(Bets!AJ18=0,""❌ NO BET — stake under minimum"",IF(L20="""",IF(AND(Bets!AE18&gt;=6,Bets!AG18&gt;=0.15),""🟡 WAIT — long-shot review: odds ""&amp;TEXT"&amp;"(Bets!AE18,""0.00"")&amp;"" + edge ""&amp;TEXT(Bets!AG18,""0.0%"")&amp;"" — verify sharp-book + team news + stake comfort"",""🟡 WAIT — check team news first""),IF(L20=""N"",""🔴 SKIP — team news concern"",IF(L20=""Y"",""🟢 PLACE £""&amp;Bets!AJ18&amp;"" on ""&amp;Bets!AD18,"""""&amp;")))))))"),"🟡 WAIT — check team news first")</f>
        <v>🟡 WAIT — check team news first</v>
      </c>
      <c r="N20" s="101"/>
      <c r="O20" s="101"/>
      <c r="P20" s="96"/>
      <c r="Q20" s="102"/>
      <c r="R20" s="101" t="s">
        <v>111</v>
      </c>
      <c r="S20" s="100" t="str">
        <f>Bets!AU18</f>
        <v/>
      </c>
      <c r="T20" s="96"/>
      <c r="U20" s="103" t="str">
        <f t="shared" si="1"/>
        <v/>
      </c>
      <c r="V20" s="83"/>
      <c r="W20" s="83"/>
      <c r="X20" s="2"/>
      <c r="Y20" s="2"/>
      <c r="Z20" s="2"/>
    </row>
    <row r="21" ht="15.0" customHeight="1">
      <c r="A21" s="105">
        <f>Bets!A19</f>
        <v>18</v>
      </c>
      <c r="B21" s="106">
        <f>Bets!B19</f>
        <v>46189</v>
      </c>
      <c r="C21" s="107">
        <f>IF(Bets!H19="","TBC",Bets!H19)</f>
        <v>0.9583333333</v>
      </c>
      <c r="D21" s="100" t="str">
        <f>Bets!D19&amp;"  v  "&amp;Bets!E19</f>
        <v>Iraq  v  Norway</v>
      </c>
      <c r="E21" s="96">
        <v>15.0</v>
      </c>
      <c r="F21" s="96">
        <v>7.5</v>
      </c>
      <c r="G21" s="96">
        <v>1.24</v>
      </c>
      <c r="H21" s="97" t="str">
        <f>Bets!AD19</f>
        <v>X  Draw</v>
      </c>
      <c r="I21" s="98" t="str">
        <f>Bets!AH19</f>
        <v>PASS</v>
      </c>
      <c r="J21" s="99">
        <f>Bets!AJ19</f>
        <v>0</v>
      </c>
      <c r="K21" s="100" t="str">
        <f>Bets!AT19</f>
        <v>🛑 Tail trap — auto-PASS · EV 37.9% (cap 30%) · model/market 2.1× (cap 2.5×)</v>
      </c>
      <c r="L21" s="101"/>
      <c r="M21" s="97" t="str">
        <f>IFERROR(__xludf.DUMMYFUNCTION("IF(Bets!AH19=""·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pauses."")),IF(Bets!AH19&lt;&gt;""BET"",IF(OR(Bets!AF19&gt;Method!$B$87,IFERROR(INDEX(Bets!BC19:BE19,1,Bets!AB19)/INDEX(Bets!S19:U19,1,Bets!AB19),0)&gt;Method!$B$88),""🛑 NO BET — tail trap (EV ""&amp;TEXT(Bets!AF19,""0.0%"")&amp;"" / model ""&amp;TEXT(IFERROR(INDEX(Bets!BC19:"&amp;"BE19,1,Bets!AB19)/INDEX(Bets!S19:U19,1,Bets!AB19),0),""0.0"")&amp;""× market)"",""❌ NO BET — price not good enough""),IF(Bets!AJ19=0,""❌ NO BET — stake under minimum"",IF(L21="""",IF(AND(Bets!AE19&gt;=6,Bets!AG19&gt;=0.15),""🟡 WAIT — long-shot review: odds ""&amp;TEXT"&amp;"(Bets!AE19,""0.00"")&amp;"" + edge ""&amp;TEXT(Bets!AG19,""0.0%"")&amp;"" — verify sharp-book + team news + stake comfort"",""🟡 WAIT — check team news first""),IF(L21=""N"",""🔴 SKIP — team news concern"",IF(L21=""Y"",""🟢 PLACE £""&amp;Bets!AJ19&amp;"" on ""&amp;Bets!AD19,"""""&amp;")))))))"),"🛑 NO BET — tail trap (EV 37.9% / model 2.1× market)")</f>
        <v>🛑 NO BET — tail trap (EV 37.9% / model 2.1× market)</v>
      </c>
      <c r="N21" s="101"/>
      <c r="O21" s="101"/>
      <c r="P21" s="96"/>
      <c r="Q21" s="102"/>
      <c r="R21" s="101" t="s">
        <v>112</v>
      </c>
      <c r="S21" s="100" t="str">
        <f>Bets!AU19</f>
        <v/>
      </c>
      <c r="T21" s="96"/>
      <c r="U21" s="103" t="str">
        <f t="shared" si="1"/>
        <v/>
      </c>
      <c r="V21" s="83"/>
      <c r="W21" s="83"/>
      <c r="X21" s="2"/>
      <c r="Y21" s="2"/>
      <c r="Z21" s="2"/>
    </row>
    <row r="22" ht="15.0" customHeight="1">
      <c r="A22" s="105">
        <f>Bets!A20</f>
        <v>19</v>
      </c>
      <c r="B22" s="106">
        <f>Bets!B20</f>
        <v>46189</v>
      </c>
      <c r="C22" s="105" t="str">
        <f>IF(Bets!H20="","TBC",Bets!H20)</f>
        <v>02:00 +1d</v>
      </c>
      <c r="D22" s="100" t="str">
        <f>Bets!D20&amp;"  v  "&amp;Bets!E20</f>
        <v>Argentina  v  Algeria</v>
      </c>
      <c r="E22" s="96">
        <v>1.55</v>
      </c>
      <c r="F22" s="96">
        <v>4.2</v>
      </c>
      <c r="G22" s="96">
        <v>7.1</v>
      </c>
      <c r="H22" s="97" t="str">
        <f>Bets!AD20</f>
        <v>1  Argentina</v>
      </c>
      <c r="I22" s="98" t="str">
        <f>Bets!AH20</f>
        <v>BET</v>
      </c>
      <c r="J22" s="99">
        <f>Bets!AJ20</f>
        <v>19</v>
      </c>
      <c r="K22" s="100" t="str">
        <f>Bets!AT20</f>
        <v>Value found: EV 4.4%, edge 3.8%</v>
      </c>
      <c r="L22" s="101"/>
      <c r="M22" s="97" t="str">
        <f>IFERROR(__xludf.DUMMYFUNCTION("IF(Bets!AH20=""·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pauses."")),IF(Bets!AH20&lt;&gt;""BET"",IF(OR(Bets!AF20&gt;Method!$B$87,IFERROR(INDEX(Bets!BC20:BE20,1,Bets!AB20)/INDEX(Bets!S20:U20,1,Bets!AB20),0)&gt;Method!$B$88),""🛑 NO BET — tail trap (EV ""&amp;TEXT(Bets!AF20,""0.0%"")&amp;"" / model ""&amp;TEXT(IFERROR(INDEX(Bets!BC20:"&amp;"BE20,1,Bets!AB20)/INDEX(Bets!S20:U20,1,Bets!AB20),0),""0.0"")&amp;""× market)"",""❌ NO BET — price not good enough""),IF(Bets!AJ20=0,""❌ NO BET — stake under minimum"",IF(L22="""",IF(AND(Bets!AE20&gt;=6,Bets!AG20&gt;=0.15),""🟡 WAIT — long-shot review: odds ""&amp;TEXT"&amp;"(Bets!AE20,""0.00"")&amp;"" + edge ""&amp;TEXT(Bets!AG20,""0.0%"")&amp;"" — verify sharp-book + team news + stake comfort"",""🟡 WAIT — check team news first""),IF(L22=""N"",""🔴 SKIP — team news concern"",IF(L22=""Y"",""🟢 PLACE £""&amp;Bets!AJ20&amp;"" on ""&amp;Bets!AD20,"""""&amp;")))))))"),"🟡 WAIT — check team news first")</f>
        <v>🟡 WAIT — check team news first</v>
      </c>
      <c r="N22" s="101"/>
      <c r="O22" s="101"/>
      <c r="P22" s="96"/>
      <c r="Q22" s="102"/>
      <c r="R22" s="101" t="s">
        <v>111</v>
      </c>
      <c r="S22" s="100" t="str">
        <f>Bets!AU20</f>
        <v/>
      </c>
      <c r="T22" s="96"/>
      <c r="U22" s="103" t="str">
        <f t="shared" si="1"/>
        <v/>
      </c>
      <c r="V22" s="83"/>
      <c r="W22" s="83"/>
      <c r="X22" s="2"/>
      <c r="Y22" s="2"/>
      <c r="Z22" s="2"/>
    </row>
    <row r="23" ht="15.0" customHeight="1">
      <c r="A23" s="105">
        <f>Bets!A21</f>
        <v>20</v>
      </c>
      <c r="B23" s="106">
        <f>Bets!B21</f>
        <v>46189</v>
      </c>
      <c r="C23" s="105" t="str">
        <f>IF(Bets!H21="","TBC",Bets!H21)</f>
        <v>05:00 +1d</v>
      </c>
      <c r="D23" s="100" t="str">
        <f>Bets!D21&amp;"  v  "&amp;Bets!E21</f>
        <v>Austria  v  Jordan</v>
      </c>
      <c r="E23" s="96">
        <v>1.4</v>
      </c>
      <c r="F23" s="96">
        <v>4.8</v>
      </c>
      <c r="G23" s="96">
        <v>9.2</v>
      </c>
      <c r="H23" s="97" t="str">
        <f>Bets!AD21</f>
        <v>2  Jordan</v>
      </c>
      <c r="I23" s="98" t="str">
        <f>Bets!AH21</f>
        <v>PASS</v>
      </c>
      <c r="J23" s="99">
        <f>Bets!AJ21</f>
        <v>0</v>
      </c>
      <c r="K23" s="100" t="str">
        <f>Bets!AT21</f>
        <v>🛑 Tail trap — auto-PASS · EV 44.6% (cap 30%) · model/market 2.6× (cap 2.5×)</v>
      </c>
      <c r="L23" s="101"/>
      <c r="M23" s="97" t="str">
        <f>IFERROR(__xludf.DUMMYFUNCTION("IF(Bets!AH21=""·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pauses."")),IF(Bets!AH21&lt;&gt;""BET"",IF(OR(Bets!AF21&gt;Method!$B$87,IFERROR(INDEX(Bets!BC21:BE21,1,Bets!AB21)/INDEX(Bets!S21:U21,1,Bets!AB21),0)&gt;Method!$B$88),""🛑 NO BET — tail trap (EV ""&amp;TEXT(Bets!AF21,""0.0%"")&amp;"" / model ""&amp;TEXT(IFERROR(INDEX(Bets!BC21:"&amp;"BE21,1,Bets!AB21)/INDEX(Bets!S21:U21,1,Bets!AB21),0),""0.0"")&amp;""× market)"",""❌ NO BET — price not good enough""),IF(Bets!AJ21=0,""❌ NO BET — stake under minimum"",IF(L23="""",IF(AND(Bets!AE21&gt;=6,Bets!AG21&gt;=0.15),""🟡 WAIT — long-shot review: odds ""&amp;TEXT"&amp;"(Bets!AE21,""0.00"")&amp;"" + edge ""&amp;TEXT(Bets!AG21,""0.0%"")&amp;"" — verify sharp-book + team news + stake comfort"",""🟡 WAIT — check team news first""),IF(L23=""N"",""🔴 SKIP — team news concern"",IF(L23=""Y"",""🟢 PLACE £""&amp;Bets!AJ21&amp;"" on ""&amp;Bets!AD21,"""""&amp;")))))))"),"🛑 NO BET — tail trap (EV 44.6% / model 2.6× market)")</f>
        <v>🛑 NO BET — tail trap (EV 44.6% / model 2.6× market)</v>
      </c>
      <c r="N23" s="101"/>
      <c r="O23" s="101"/>
      <c r="P23" s="96"/>
      <c r="Q23" s="102"/>
      <c r="R23" s="101" t="s">
        <v>111</v>
      </c>
      <c r="S23" s="100" t="str">
        <f>Bets!AU21</f>
        <v/>
      </c>
      <c r="T23" s="96"/>
      <c r="U23" s="103" t="str">
        <f t="shared" si="1"/>
        <v/>
      </c>
      <c r="V23" s="83"/>
      <c r="W23" s="83"/>
      <c r="X23" s="2"/>
      <c r="Y23" s="2"/>
      <c r="Z23" s="2"/>
    </row>
    <row r="24" ht="15.0" customHeight="1">
      <c r="A24" s="105">
        <f>Bets!A22</f>
        <v>21</v>
      </c>
      <c r="B24" s="106">
        <f>Bets!B22</f>
        <v>46190</v>
      </c>
      <c r="C24" s="107">
        <f>IF(Bets!H22="","TBC",Bets!H22)</f>
        <v>0.75</v>
      </c>
      <c r="D24" s="100" t="str">
        <f>Bets!D22&amp;"  v  "&amp;Bets!E22</f>
        <v>Portugal  v  DR Congo</v>
      </c>
      <c r="E24" s="96">
        <v>1.29</v>
      </c>
      <c r="F24" s="96">
        <v>6.0</v>
      </c>
      <c r="G24" s="96">
        <v>12.0</v>
      </c>
      <c r="H24" s="97" t="str">
        <f>Bets!AD22</f>
        <v>X  Draw</v>
      </c>
      <c r="I24" s="98" t="str">
        <f>Bets!AH22</f>
        <v>BET</v>
      </c>
      <c r="J24" s="99">
        <f>Bets!AJ22</f>
        <v>10</v>
      </c>
      <c r="K24" s="100" t="str">
        <f>Bets!AT22</f>
        <v>Value found: EV 20.2%, edge 4.1%</v>
      </c>
      <c r="L24" s="101"/>
      <c r="M24" s="97" t="str">
        <f>IFERROR(__xludf.DUMMYFUNCTION("IF(Bets!AH22=""·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pauses."")),IF(Bets!AH22&lt;&gt;""BET"",IF(OR(Bets!AF22&gt;Method!$B$87,IFERROR(INDEX(Bets!BC22:BE22,1,Bets!AB22)/INDEX(Bets!S22:U22,1,Bets!AB22),0)&gt;Method!$B$88),""🛑 NO BET — tail trap (EV ""&amp;TEXT(Bets!AF22,""0.0%"")&amp;"" / model ""&amp;TEXT(IFERROR(INDEX(Bets!BC22:"&amp;"BE22,1,Bets!AB22)/INDEX(Bets!S22:U22,1,Bets!AB22),0),""0.0"")&amp;""× market)"",""❌ NO BET — price not good enough""),IF(Bets!AJ22=0,""❌ NO BET — stake under minimum"",IF(L24="""",IF(AND(Bets!AE22&gt;=6,Bets!AG22&gt;=0.15),""🟡 WAIT — long-shot review: odds ""&amp;TEXT"&amp;"(Bets!AE22,""0.00"")&amp;"" + edge ""&amp;TEXT(Bets!AG22,""0.0%"")&amp;"" — verify sharp-book + team news + stake comfort"",""🟡 WAIT — check team news first""),IF(L24=""N"",""🔴 SKIP — team news concern"",IF(L24=""Y"",""🟢 PLACE £""&amp;Bets!AJ22&amp;"" on ""&amp;Bets!AD22,"""""&amp;")))))))"),"🟡 WAIT — check team news first")</f>
        <v>🟡 WAIT — check team news first</v>
      </c>
      <c r="N24" s="101"/>
      <c r="O24" s="101"/>
      <c r="P24" s="96"/>
      <c r="Q24" s="102"/>
      <c r="R24" s="101" t="s">
        <v>113</v>
      </c>
      <c r="S24" s="100" t="str">
        <f>Bets!AU22</f>
        <v/>
      </c>
      <c r="T24" s="96"/>
      <c r="U24" s="103" t="str">
        <f t="shared" si="1"/>
        <v/>
      </c>
      <c r="V24" s="83"/>
      <c r="W24" s="83"/>
      <c r="X24" s="2"/>
      <c r="Y24" s="2"/>
      <c r="Z24" s="2"/>
    </row>
    <row r="25" ht="15.0" customHeight="1">
      <c r="A25" s="105">
        <f>Bets!A23</f>
        <v>22</v>
      </c>
      <c r="B25" s="106">
        <f>Bets!B23</f>
        <v>46190</v>
      </c>
      <c r="C25" s="107">
        <f>IF(Bets!H23="","TBC",Bets!H23)</f>
        <v>0.875</v>
      </c>
      <c r="D25" s="100" t="str">
        <f>Bets!D23&amp;"  v  "&amp;Bets!E23</f>
        <v>England  v  Croatia</v>
      </c>
      <c r="E25" s="96">
        <v>1.7</v>
      </c>
      <c r="F25" s="96">
        <v>3.9</v>
      </c>
      <c r="G25" s="96">
        <v>5.6</v>
      </c>
      <c r="H25" s="97" t="str">
        <f>Bets!AD23</f>
        <v>2  Croatia</v>
      </c>
      <c r="I25" s="98" t="str">
        <f>Bets!AH23</f>
        <v>BET</v>
      </c>
      <c r="J25" s="99">
        <f>Bets!AJ23</f>
        <v>10</v>
      </c>
      <c r="K25" s="100" t="str">
        <f>Bets!AT23</f>
        <v>Value found: EV 18.9%, edge 4.1%</v>
      </c>
      <c r="L25" s="101"/>
      <c r="M25" s="97" t="str">
        <f>IFERROR(__xludf.DUMMYFUNCTION("IF(Bets!AH23=""·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pauses."")),IF(Bets!AH23&lt;&gt;""BET"",IF(OR(Bets!AF23&gt;Method!$B$87,IFERROR(INDEX(Bets!BC23:BE23,1,Bets!AB23)/INDEX(Bets!S23:U23,1,Bets!AB23),0)&gt;Method!$B$88),""🛑 NO BET — tail trap (EV ""&amp;TEXT(Bets!AF23,""0.0%"")&amp;"" / model ""&amp;TEXT(IFERROR(INDEX(Bets!BC23:"&amp;"BE23,1,Bets!AB23)/INDEX(Bets!S23:U23,1,Bets!AB23),0),""0.0"")&amp;""× market)"",""❌ NO BET — price not good enough""),IF(Bets!AJ23=0,""❌ NO BET — stake under minimum"",IF(L25="""",IF(AND(Bets!AE23&gt;=6,Bets!AG23&gt;=0.15),""🟡 WAIT — long-shot review: odds ""&amp;TEXT"&amp;"(Bets!AE23,""0.00"")&amp;"" + edge ""&amp;TEXT(Bets!AG23,""0.0%"")&amp;"" — verify sharp-book + team news + stake comfort"",""🟡 WAIT — check team news first""),IF(L25=""N"",""🔴 SKIP — team news concern"",IF(L25=""Y"",""🟢 PLACE £""&amp;Bets!AJ23&amp;"" on ""&amp;Bets!AD23,"""""&amp;")))))))"),"🟡 WAIT — check team news first")</f>
        <v>🟡 WAIT — check team news first</v>
      </c>
      <c r="N25" s="101"/>
      <c r="O25" s="101"/>
      <c r="P25" s="96"/>
      <c r="Q25" s="102"/>
      <c r="R25" s="101" t="s">
        <v>111</v>
      </c>
      <c r="S25" s="100" t="str">
        <f>Bets!AU23</f>
        <v/>
      </c>
      <c r="T25" s="96"/>
      <c r="U25" s="103" t="str">
        <f t="shared" si="1"/>
        <v/>
      </c>
      <c r="V25" s="83"/>
      <c r="W25" s="83"/>
      <c r="X25" s="2"/>
      <c r="Y25" s="2"/>
      <c r="Z25" s="2"/>
    </row>
    <row r="26" ht="15.0" customHeight="1">
      <c r="A26" s="105">
        <f>Bets!A24</f>
        <v>23</v>
      </c>
      <c r="B26" s="106">
        <f>Bets!B24</f>
        <v>46190</v>
      </c>
      <c r="C26" s="105" t="str">
        <f>IF(Bets!H24="","TBC",Bets!H24)</f>
        <v>00:00 +1d</v>
      </c>
      <c r="D26" s="100" t="str">
        <f>Bets!D24&amp;"  v  "&amp;Bets!E24</f>
        <v>Ghana  v  Panama</v>
      </c>
      <c r="E26" s="96">
        <v>2.38</v>
      </c>
      <c r="F26" s="96">
        <v>3.25</v>
      </c>
      <c r="G26" s="96">
        <v>3.38</v>
      </c>
      <c r="H26" s="97" t="str">
        <f>Bets!AD24</f>
        <v>2  Panama</v>
      </c>
      <c r="I26" s="98" t="str">
        <f>Bets!AH24</f>
        <v>BET</v>
      </c>
      <c r="J26" s="99">
        <f>Bets!AJ24</f>
        <v>17</v>
      </c>
      <c r="K26" s="100" t="str">
        <f>Bets!AT24</f>
        <v>Value found: EV 17.0%, edge 5.8%</v>
      </c>
      <c r="L26" s="101"/>
      <c r="M26" s="97" t="str">
        <f>IFERROR(__xludf.DUMMYFUNCTION("IF(Bets!AH24=""·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pauses."")),IF(Bets!AH24&lt;&gt;""BET"",IF(OR(Bets!AF24&gt;Method!$B$87,IFERROR(INDEX(Bets!BC24:BE24,1,Bets!AB24)/INDEX(Bets!S24:U24,1,Bets!AB24),0)&gt;Method!$B$88),""🛑 NO BET — tail trap (EV ""&amp;TEXT(Bets!AF24,""0.0%"")&amp;"" / model ""&amp;TEXT(IFERROR(INDEX(Bets!BC24:"&amp;"BE24,1,Bets!AB24)/INDEX(Bets!S24:U24,1,Bets!AB24),0),""0.0"")&amp;""× market)"",""❌ NO BET — price not good enough""),IF(Bets!AJ24=0,""❌ NO BET — stake under minimum"",IF(L26="""",IF(AND(Bets!AE24&gt;=6,Bets!AG24&gt;=0.15),""🟡 WAIT — long-shot review: odds ""&amp;TEXT"&amp;"(Bets!AE24,""0.00"")&amp;"" + edge ""&amp;TEXT(Bets!AG24,""0.0%"")&amp;"" — verify sharp-book + team news + stake comfort"",""🟡 WAIT — check team news first""),IF(L26=""N"",""🔴 SKIP — team news concern"",IF(L26=""Y"",""🟢 PLACE £""&amp;Bets!AJ24&amp;"" on ""&amp;Bets!AD24,"""""&amp;")))))))"),"🟡 WAIT — check team news first")</f>
        <v>🟡 WAIT — check team news first</v>
      </c>
      <c r="N26" s="101"/>
      <c r="O26" s="101"/>
      <c r="P26" s="96"/>
      <c r="Q26" s="102"/>
      <c r="R26" s="101" t="s">
        <v>111</v>
      </c>
      <c r="S26" s="100" t="str">
        <f>Bets!AU24</f>
        <v/>
      </c>
      <c r="T26" s="96"/>
      <c r="U26" s="103" t="str">
        <f t="shared" si="1"/>
        <v/>
      </c>
      <c r="V26" s="83"/>
      <c r="W26" s="83"/>
      <c r="X26" s="2"/>
      <c r="Y26" s="2"/>
      <c r="Z26" s="2"/>
    </row>
    <row r="27" ht="15.0" customHeight="1">
      <c r="A27" s="105">
        <f>Bets!A25</f>
        <v>24</v>
      </c>
      <c r="B27" s="106">
        <f>Bets!B25</f>
        <v>46190</v>
      </c>
      <c r="C27" s="105" t="str">
        <f>IF(Bets!H25="","TBC",Bets!H25)</f>
        <v>03:00 +1d</v>
      </c>
      <c r="D27" s="100" t="str">
        <f>Bets!D25&amp;"  v  "&amp;Bets!E25</f>
        <v>Uzbekistan  v  Colombia</v>
      </c>
      <c r="E27" s="96">
        <v>11.5</v>
      </c>
      <c r="F27" s="96">
        <v>5.5</v>
      </c>
      <c r="G27" s="96">
        <v>1.37</v>
      </c>
      <c r="H27" s="97" t="str">
        <f>Bets!AD25</f>
        <v>X  Draw</v>
      </c>
      <c r="I27" s="98" t="str">
        <f>Bets!AH25</f>
        <v>BET</v>
      </c>
      <c r="J27" s="99">
        <f>Bets!AJ25</f>
        <v>9</v>
      </c>
      <c r="K27" s="100" t="str">
        <f>Bets!AT25</f>
        <v>Value found: EV 16.4%, edge 3.0%</v>
      </c>
      <c r="L27" s="101"/>
      <c r="M27" s="97" t="str">
        <f>IFERROR(__xludf.DUMMYFUNCTION("IF(Bets!AH25=""·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pauses."")),IF(Bets!AH25&lt;&gt;""BET"",IF(OR(Bets!AF25&gt;Method!$B$87,IFERROR(INDEX(Bets!BC25:BE25,1,Bets!AB25)/INDEX(Bets!S25:U25,1,Bets!AB25),0)&gt;Method!$B$88),""🛑 NO BET — tail trap (EV ""&amp;TEXT(Bets!AF25,""0.0%"")&amp;"" / model ""&amp;TEXT(IFERROR(INDEX(Bets!BC25:"&amp;"BE25,1,Bets!AB25)/INDEX(Bets!S25:U25,1,Bets!AB25),0),""0.0"")&amp;""× market)"",""❌ NO BET — price not good enough""),IF(Bets!AJ25=0,""❌ NO BET — stake under minimum"",IF(L27="""",IF(AND(Bets!AE25&gt;=6,Bets!AG25&gt;=0.15),""🟡 WAIT — long-shot review: odds ""&amp;TEXT"&amp;"(Bets!AE25,""0.00"")&amp;"" + edge ""&amp;TEXT(Bets!AG25,""0.0%"")&amp;"" — verify sharp-book + team news + stake comfort"",""🟡 WAIT — check team news first""),IF(L27=""N"",""🔴 SKIP — team news concern"",IF(L27=""Y"",""🟢 PLACE £""&amp;Bets!AJ25&amp;"" on ""&amp;Bets!AD25,"""""&amp;")))))))"),"🟡 WAIT — check team news first")</f>
        <v>🟡 WAIT — check team news first</v>
      </c>
      <c r="N27" s="101"/>
      <c r="O27" s="101"/>
      <c r="P27" s="96"/>
      <c r="Q27" s="102"/>
      <c r="R27" s="101" t="s">
        <v>112</v>
      </c>
      <c r="S27" s="100" t="str">
        <f>Bets!AU25</f>
        <v/>
      </c>
      <c r="T27" s="96"/>
      <c r="U27" s="103" t="str">
        <f t="shared" si="1"/>
        <v/>
      </c>
      <c r="V27" s="83"/>
      <c r="W27" s="83"/>
      <c r="X27" s="2"/>
      <c r="Y27" s="2"/>
      <c r="Z27" s="2"/>
    </row>
    <row r="28" ht="15.0" customHeight="1">
      <c r="A28" s="105">
        <f>Bets!A26</f>
        <v>25</v>
      </c>
      <c r="B28" s="106">
        <f>Bets!B26</f>
        <v>46191</v>
      </c>
      <c r="C28" s="107">
        <f>IF(Bets!H26="","TBC",Bets!H26)</f>
        <v>0.7083333333</v>
      </c>
      <c r="D28" s="100" t="str">
        <f>Bets!D26&amp;"  v  "&amp;Bets!E26</f>
        <v>Czechia  v  South Africa</v>
      </c>
      <c r="E28" s="96">
        <v>1.9</v>
      </c>
      <c r="F28" s="96">
        <v>3.55</v>
      </c>
      <c r="G28" s="96">
        <v>4.55</v>
      </c>
      <c r="H28" s="97" t="str">
        <f>Bets!AD26</f>
        <v>1  Czechia</v>
      </c>
      <c r="I28" s="98" t="str">
        <f>Bets!AH26</f>
        <v>PASS</v>
      </c>
      <c r="J28" s="99">
        <f>Bets!AJ26</f>
        <v>0</v>
      </c>
      <c r="K28" s="100" t="str">
        <f>Bets!AT26</f>
        <v>Price too short — EV -2.2% (need 2.5%+)</v>
      </c>
      <c r="L28" s="101"/>
      <c r="M28" s="97" t="str">
        <f>IFERROR(__xludf.DUMMYFUNCTION("IF(Bets!AH26=""·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pauses."")),IF(Bets!AH26&lt;&gt;""BET"",IF(OR(Bets!AF26&gt;Method!$B$87,IFERROR(INDEX(Bets!BC26:BE26,1,Bets!AB26)/INDEX(Bets!S26:U26,1,Bets!AB26),0)&gt;Method!$B$88),""🛑 NO BET — tail trap (EV ""&amp;TEXT(Bets!AF26,""0.0%"")&amp;"" / model ""&amp;TEXT(IFERROR(INDEX(Bets!BC26:"&amp;"BE26,1,Bets!AB26)/INDEX(Bets!S26:U26,1,Bets!AB26),0),""0.0"")&amp;""× market)"",""❌ NO BET — price not good enough""),IF(Bets!AJ26=0,""❌ NO BET — stake under minimum"",IF(L28="""",IF(AND(Bets!AE26&gt;=6,Bets!AG26&gt;=0.15),""🟡 WAIT — long-shot review: odds ""&amp;TEXT"&amp;"(Bets!AE26,""0.00"")&amp;"" + edge ""&amp;TEXT(Bets!AG26,""0.0%"")&amp;"" — verify sharp-book + team news + stake comfort"",""🟡 WAIT — check team news first""),IF(L28=""N"",""🔴 SKIP — team news concern"",IF(L28=""Y"",""🟢 PLACE £""&amp;Bets!AJ26&amp;"" on ""&amp;Bets!AD26,"""""&amp;")))))))"),"❌ NO BET — price not good enough")</f>
        <v>❌ NO BET — price not good enough</v>
      </c>
      <c r="N28" s="101"/>
      <c r="O28" s="101"/>
      <c r="P28" s="96"/>
      <c r="Q28" s="102"/>
      <c r="R28" s="101" t="s">
        <v>113</v>
      </c>
      <c r="S28" s="100" t="str">
        <f>Bets!AU26</f>
        <v/>
      </c>
      <c r="T28" s="96"/>
      <c r="U28" s="103" t="str">
        <f t="shared" si="1"/>
        <v/>
      </c>
      <c r="V28" s="83"/>
      <c r="W28" s="83"/>
      <c r="X28" s="2"/>
      <c r="Y28" s="2"/>
      <c r="Z28" s="2"/>
    </row>
    <row r="29" ht="15.0" customHeight="1">
      <c r="A29" s="105">
        <f>Bets!A27</f>
        <v>26</v>
      </c>
      <c r="B29" s="106">
        <f>Bets!B27</f>
        <v>46191</v>
      </c>
      <c r="C29" s="107">
        <f>IF(Bets!H27="","TBC",Bets!H27)</f>
        <v>0.9583333333</v>
      </c>
      <c r="D29" s="100" t="str">
        <f>Bets!D27&amp;"  v  "&amp;Bets!E27</f>
        <v>Switzerland  v  Bosnia and Herzegovina</v>
      </c>
      <c r="E29" s="96">
        <v>1.58</v>
      </c>
      <c r="F29" s="96">
        <v>4.2</v>
      </c>
      <c r="G29" s="96">
        <v>6.5</v>
      </c>
      <c r="H29" s="97" t="str">
        <f>Bets!AD27</f>
        <v>1  Switzerland</v>
      </c>
      <c r="I29" s="98" t="str">
        <f>Bets!AH27</f>
        <v>PASS</v>
      </c>
      <c r="J29" s="99">
        <f>Bets!AJ27</f>
        <v>0</v>
      </c>
      <c r="K29" s="100" t="str">
        <f>Bets!AT27</f>
        <v>Price too short — EV -0.3% (need 2.5%+)</v>
      </c>
      <c r="L29" s="101"/>
      <c r="M29" s="97" t="str">
        <f>IFERROR(__xludf.DUMMYFUNCTION("IF(Bets!AH27=""·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pauses."")),IF(Bets!AH27&lt;&gt;""BET"",IF(OR(Bets!AF27&gt;Method!$B$87,IFERROR(INDEX(Bets!BC27:BE27,1,Bets!AB27)/INDEX(Bets!S27:U27,1,Bets!AB27),0)&gt;Method!$B$88),""🛑 NO BET — tail trap (EV ""&amp;TEXT(Bets!AF27,""0.0%"")&amp;"" / model ""&amp;TEXT(IFERROR(INDEX(Bets!BC27:"&amp;"BE27,1,Bets!AB27)/INDEX(Bets!S27:U27,1,Bets!AB27),0),""0.0"")&amp;""× market)"",""❌ NO BET — price not good enough""),IF(Bets!AJ27=0,""❌ NO BET — stake under minimum"",IF(L29="""",IF(AND(Bets!AE27&gt;=6,Bets!AG27&gt;=0.15),""🟡 WAIT — long-shot review: odds ""&amp;TEXT"&amp;"(Bets!AE27,""0.00"")&amp;"" + edge ""&amp;TEXT(Bets!AG27,""0.0%"")&amp;"" — verify sharp-book + team news + stake comfort"",""🟡 WAIT — check team news first""),IF(L29=""N"",""🔴 SKIP — team news concern"",IF(L29=""Y"",""🟢 PLACE £""&amp;Bets!AJ27&amp;"" on ""&amp;Bets!AD27,"""""&amp;")))))))"),"❌ NO BET — price not good enough")</f>
        <v>❌ NO BET — price not good enough</v>
      </c>
      <c r="N29" s="101"/>
      <c r="O29" s="101"/>
      <c r="P29" s="96"/>
      <c r="Q29" s="102"/>
      <c r="R29" s="101" t="s">
        <v>111</v>
      </c>
      <c r="S29" s="100" t="str">
        <f>Bets!AU27</f>
        <v/>
      </c>
      <c r="T29" s="96"/>
      <c r="U29" s="103" t="str">
        <f t="shared" si="1"/>
        <v/>
      </c>
      <c r="V29" s="83"/>
      <c r="W29" s="83"/>
      <c r="X29" s="2"/>
      <c r="Y29" s="2"/>
      <c r="Z29" s="2"/>
    </row>
    <row r="30" ht="15.0" customHeight="1">
      <c r="A30" s="105">
        <f>Bets!A28</f>
        <v>27</v>
      </c>
      <c r="B30" s="106">
        <f>Bets!B28</f>
        <v>46191</v>
      </c>
      <c r="C30" s="105" t="str">
        <f>IF(Bets!H28="","TBC",Bets!H28)</f>
        <v>02:00 +1d</v>
      </c>
      <c r="D30" s="100" t="str">
        <f>Bets!D28&amp;"  v  "&amp;Bets!E28</f>
        <v>Canada  v  Qatar</v>
      </c>
      <c r="E30" s="96">
        <v>1.29</v>
      </c>
      <c r="F30" s="96">
        <v>6.5</v>
      </c>
      <c r="G30" s="96">
        <v>13.5</v>
      </c>
      <c r="H30" s="97" t="str">
        <f>Bets!AD28</f>
        <v>X  Draw</v>
      </c>
      <c r="I30" s="98" t="str">
        <f>Bets!AH28</f>
        <v>PASS</v>
      </c>
      <c r="J30" s="99">
        <f>Bets!AJ28</f>
        <v>0</v>
      </c>
      <c r="K30" s="100" t="str">
        <f>Bets!AT28</f>
        <v>Model ≈ market — edge 2.0% (need 2.5%+)</v>
      </c>
      <c r="L30" s="101"/>
      <c r="M30" s="97" t="str">
        <f>IFERROR(__xludf.DUMMYFUNCTION("IF(Bets!AH28=""·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pauses."")),IF(Bets!AH28&lt;&gt;""BET"",IF(OR(Bets!AF28&gt;Method!$B$87,IFERROR(INDEX(Bets!BC28:BE28,1,Bets!AB28)/INDEX(Bets!S28:U28,1,Bets!AB28),0)&gt;Method!$B$88),""🛑 NO BET — tail trap (EV ""&amp;TEXT(Bets!AF28,""0.0%"")&amp;"" / model ""&amp;TEXT(IFERROR(INDEX(Bets!BC28:"&amp;"BE28,1,Bets!AB28)/INDEX(Bets!S28:U28,1,Bets!AB28),0),""0.0"")&amp;""× market)"",""❌ NO BET — price not good enough""),IF(Bets!AJ28=0,""❌ NO BET — stake under minimum"",IF(L30="""",IF(AND(Bets!AE28&gt;=6,Bets!AG28&gt;=0.15),""🟡 WAIT — long-shot review: odds ""&amp;TEXT"&amp;"(Bets!AE28,""0.00"")&amp;"" + edge ""&amp;TEXT(Bets!AG28,""0.0%"")&amp;"" — verify sharp-book + team news + stake comfort"",""🟡 WAIT — check team news first""),IF(L30=""N"",""🔴 SKIP — team news concern"",IF(L30=""Y"",""🟢 PLACE £""&amp;Bets!AJ28&amp;"" on ""&amp;Bets!AD28,"""""&amp;")))))))"),"❌ NO BET — price not good enough")</f>
        <v>❌ NO BET — price not good enough</v>
      </c>
      <c r="N30" s="101"/>
      <c r="O30" s="101"/>
      <c r="P30" s="96"/>
      <c r="Q30" s="102"/>
      <c r="R30" s="101" t="s">
        <v>111</v>
      </c>
      <c r="S30" s="100" t="str">
        <f>Bets!AU28</f>
        <v/>
      </c>
      <c r="T30" s="96"/>
      <c r="U30" s="103" t="str">
        <f t="shared" si="1"/>
        <v/>
      </c>
      <c r="V30" s="83"/>
      <c r="W30" s="83"/>
      <c r="X30" s="2"/>
      <c r="Y30" s="2"/>
      <c r="Z30" s="2"/>
    </row>
    <row r="31" ht="15.0" customHeight="1">
      <c r="A31" s="105">
        <f>Bets!A29</f>
        <v>28</v>
      </c>
      <c r="B31" s="106">
        <f>Bets!B29</f>
        <v>46191</v>
      </c>
      <c r="C31" s="105" t="str">
        <f>IF(Bets!H29="","TBC",Bets!H29)</f>
        <v>06:00 +1d</v>
      </c>
      <c r="D31" s="100" t="str">
        <f>Bets!D29&amp;"  v  "&amp;Bets!E29</f>
        <v>Mexico  v  South Korea</v>
      </c>
      <c r="E31" s="96">
        <v>2.13</v>
      </c>
      <c r="F31" s="96">
        <v>3.3</v>
      </c>
      <c r="G31" s="96">
        <v>4.2</v>
      </c>
      <c r="H31" s="97" t="str">
        <f>Bets!AD29</f>
        <v>1  Mexico</v>
      </c>
      <c r="I31" s="98" t="str">
        <f>Bets!AH29</f>
        <v>BET</v>
      </c>
      <c r="J31" s="99">
        <f>Bets!AJ29</f>
        <v>15</v>
      </c>
      <c r="K31" s="100" t="str">
        <f>Bets!AT29</f>
        <v>Value found: EV 6.8%, edge 3.6%</v>
      </c>
      <c r="L31" s="101"/>
      <c r="M31" s="97" t="str">
        <f>IFERROR(__xludf.DUMMYFUNCTION("IF(Bets!AH29=""·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pauses."")),IF(Bets!AH29&lt;&gt;""BET"",IF(OR(Bets!AF29&gt;Method!$B$87,IFERROR(INDEX(Bets!BC29:BE29,1,Bets!AB29)/INDEX(Bets!S29:U29,1,Bets!AB29),0)&gt;Method!$B$88),""🛑 NO BET — tail trap (EV ""&amp;TEXT(Bets!AF29,""0.0%"")&amp;"" / model ""&amp;TEXT(IFERROR(INDEX(Bets!BC29:"&amp;"BE29,1,Bets!AB29)/INDEX(Bets!S29:U29,1,Bets!AB29),0),""0.0"")&amp;""× market)"",""❌ NO BET — price not good enough""),IF(Bets!AJ29=0,""❌ NO BET — stake under minimum"",IF(L31="""",IF(AND(Bets!AE29&gt;=6,Bets!AG29&gt;=0.15),""🟡 WAIT — long-shot review: odds ""&amp;TEXT"&amp;"(Bets!AE29,""0.00"")&amp;"" + edge ""&amp;TEXT(Bets!AG29,""0.0%"")&amp;"" — verify sharp-book + team news + stake comfort"",""🟡 WAIT — check team news first""),IF(L31=""N"",""🔴 SKIP — team news concern"",IF(L31=""Y"",""🟢 PLACE £""&amp;Bets!AJ29&amp;"" on ""&amp;Bets!AD29,"""""&amp;")))))))"),"🟡 WAIT — check team news first")</f>
        <v>🟡 WAIT — check team news first</v>
      </c>
      <c r="N31" s="101"/>
      <c r="O31" s="101"/>
      <c r="P31" s="96"/>
      <c r="Q31" s="102"/>
      <c r="R31" s="101" t="s">
        <v>111</v>
      </c>
      <c r="S31" s="100" t="str">
        <f>Bets!AU29</f>
        <v/>
      </c>
      <c r="T31" s="96"/>
      <c r="U31" s="103" t="str">
        <f t="shared" si="1"/>
        <v/>
      </c>
      <c r="V31" s="83"/>
      <c r="W31" s="83"/>
      <c r="X31" s="2"/>
      <c r="Y31" s="2"/>
      <c r="Z31" s="2"/>
    </row>
    <row r="32" ht="15.0" customHeight="1">
      <c r="A32" s="105">
        <f>Bets!A30</f>
        <v>29</v>
      </c>
      <c r="B32" s="106">
        <f>Bets!B30</f>
        <v>46192</v>
      </c>
      <c r="C32" s="107">
        <f>IF(Bets!H30="","TBC",Bets!H30)</f>
        <v>0.9583333333</v>
      </c>
      <c r="D32" s="100" t="str">
        <f>Bets!D30&amp;"  v  "&amp;Bets!E30</f>
        <v>United States  v  Australia</v>
      </c>
      <c r="E32" s="96">
        <v>1.61</v>
      </c>
      <c r="F32" s="96">
        <v>4.4</v>
      </c>
      <c r="G32" s="96">
        <v>6.5</v>
      </c>
      <c r="H32" s="97" t="str">
        <f>Bets!AD30</f>
        <v>2  Australia</v>
      </c>
      <c r="I32" s="98" t="str">
        <f>Bets!AH30</f>
        <v>BET</v>
      </c>
      <c r="J32" s="99">
        <f>Bets!AJ30</f>
        <v>10</v>
      </c>
      <c r="K32" s="100" t="str">
        <f>Bets!AT30</f>
        <v>Value found: EV 22.5%, edge 3.5%</v>
      </c>
      <c r="L32" s="101"/>
      <c r="M32" s="97" t="str">
        <f>IFERROR(__xludf.DUMMYFUNCTION("IF(Bets!AH30=""·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pauses."")),IF(Bets!AH30&lt;&gt;""BET"",IF(OR(Bets!AF30&gt;Method!$B$87,IFERROR(INDEX(Bets!BC30:BE30,1,Bets!AB30)/INDEX(Bets!S30:U30,1,Bets!AB30),0)&gt;Method!$B$88),""🛑 NO BET — tail trap (EV ""&amp;TEXT(Bets!AF30,""0.0%"")&amp;"" / model ""&amp;TEXT(IFERROR(INDEX(Bets!BC30:"&amp;"BE30,1,Bets!AB30)/INDEX(Bets!S30:U30,1,Bets!AB30),0),""0.0"")&amp;""× market)"",""❌ NO BET — price not good enough""),IF(Bets!AJ30=0,""❌ NO BET — stake under minimum"",IF(L32="""",IF(AND(Bets!AE30&gt;=6,Bets!AG30&gt;=0.15),""🟡 WAIT — long-shot review: odds ""&amp;TEXT"&amp;"(Bets!AE30,""0.00"")&amp;"" + edge ""&amp;TEXT(Bets!AG30,""0.0%"")&amp;"" — verify sharp-book + team news + stake comfort"",""🟡 WAIT — check team news first""),IF(L32=""N"",""🔴 SKIP — team news concern"",IF(L32=""Y"",""🟢 PLACE £""&amp;Bets!AJ30&amp;"" on ""&amp;Bets!AD30,"""""&amp;")))))))"),"🟡 WAIT — check team news first")</f>
        <v>🟡 WAIT — check team news first</v>
      </c>
      <c r="N32" s="101"/>
      <c r="O32" s="101"/>
      <c r="P32" s="96"/>
      <c r="Q32" s="102"/>
      <c r="R32" s="101" t="s">
        <v>111</v>
      </c>
      <c r="S32" s="100" t="str">
        <f>Bets!AU30</f>
        <v/>
      </c>
      <c r="T32" s="96"/>
      <c r="U32" s="103" t="str">
        <f t="shared" si="1"/>
        <v/>
      </c>
      <c r="V32" s="83"/>
      <c r="W32" s="83"/>
      <c r="X32" s="2"/>
      <c r="Y32" s="2"/>
      <c r="Z32" s="2"/>
    </row>
    <row r="33" ht="15.0" customHeight="1">
      <c r="A33" s="105">
        <f>Bets!A31</f>
        <v>30</v>
      </c>
      <c r="B33" s="106">
        <f>Bets!B31</f>
        <v>46192</v>
      </c>
      <c r="C33" s="107">
        <f>IF(Bets!H31="","TBC",Bets!H31)</f>
        <v>0.9583333333</v>
      </c>
      <c r="D33" s="100" t="str">
        <f>Bets!D31&amp;"  v  "&amp;Bets!E31</f>
        <v>Scotland  v  Morocco</v>
      </c>
      <c r="E33" s="96">
        <v>5.8</v>
      </c>
      <c r="F33" s="96">
        <v>3.8</v>
      </c>
      <c r="G33" s="96">
        <v>1.72</v>
      </c>
      <c r="H33" s="97" t="str">
        <f>Bets!AD31</f>
        <v>X  Draw</v>
      </c>
      <c r="I33" s="98" t="str">
        <f>Bets!AH31</f>
        <v>PASS</v>
      </c>
      <c r="J33" s="99">
        <f>Bets!AJ31</f>
        <v>0</v>
      </c>
      <c r="K33" s="100" t="str">
        <f>Bets!AT31</f>
        <v>Price too short — EV 0.5% (need 2.5%+)</v>
      </c>
      <c r="L33" s="101"/>
      <c r="M33" s="97" t="str">
        <f>IFERROR(__xludf.DUMMYFUNCTION("IF(Bets!AH31=""·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pauses."")),IF(Bets!AH31&lt;&gt;""BET"",IF(OR(Bets!AF31&gt;Method!$B$87,IFERROR(INDEX(Bets!BC31:BE31,1,Bets!AB31)/INDEX(Bets!S31:U31,1,Bets!AB31),0)&gt;Method!$B$88),""🛑 NO BET — tail trap (EV ""&amp;TEXT(Bets!AF31,""0.0%"")&amp;"" / model ""&amp;TEXT(IFERROR(INDEX(Bets!BC31:"&amp;"BE31,1,Bets!AB31)/INDEX(Bets!S31:U31,1,Bets!AB31),0),""0.0"")&amp;""× market)"",""❌ NO BET — price not good enough""),IF(Bets!AJ31=0,""❌ NO BET — stake under minimum"",IF(L33="""",IF(AND(Bets!AE31&gt;=6,Bets!AG31&gt;=0.15),""🟡 WAIT — long-shot review: odds ""&amp;TEXT"&amp;"(Bets!AE31,""0.00"")&amp;"" + edge ""&amp;TEXT(Bets!AG31,""0.0%"")&amp;"" — verify sharp-book + team news + stake comfort"",""🟡 WAIT — check team news first""),IF(L33=""N"",""🔴 SKIP — team news concern"",IF(L33=""Y"",""🟢 PLACE £""&amp;Bets!AJ31&amp;"" on ""&amp;Bets!AD31,"""""&amp;")))))))"),"❌ NO BET — price not good enough")</f>
        <v>❌ NO BET — price not good enough</v>
      </c>
      <c r="N33" s="101"/>
      <c r="O33" s="101"/>
      <c r="P33" s="96"/>
      <c r="Q33" s="102"/>
      <c r="R33" s="101" t="s">
        <v>112</v>
      </c>
      <c r="S33" s="100" t="str">
        <f>Bets!AU31</f>
        <v/>
      </c>
      <c r="T33" s="96"/>
      <c r="U33" s="103" t="str">
        <f t="shared" si="1"/>
        <v/>
      </c>
      <c r="V33" s="83"/>
      <c r="W33" s="83"/>
      <c r="X33" s="2"/>
      <c r="Y33" s="2"/>
      <c r="Z33" s="2"/>
    </row>
    <row r="34" ht="15.0" customHeight="1">
      <c r="A34" s="105">
        <f>Bets!A32</f>
        <v>31</v>
      </c>
      <c r="B34" s="106">
        <f>Bets!B32</f>
        <v>46192</v>
      </c>
      <c r="C34" s="105" t="str">
        <f>IF(Bets!H32="","TBC",Bets!H32)</f>
        <v>02:00 +1d</v>
      </c>
      <c r="D34" s="100" t="str">
        <f>Bets!D32&amp;"  v  "&amp;Bets!E32</f>
        <v>Brazil  v  Haiti</v>
      </c>
      <c r="E34" s="96">
        <v>1.13</v>
      </c>
      <c r="F34" s="96">
        <v>11.5</v>
      </c>
      <c r="G34" s="96">
        <v>27.0</v>
      </c>
      <c r="H34" s="97" t="str">
        <f>Bets!AD32</f>
        <v>X  Draw</v>
      </c>
      <c r="I34" s="98" t="str">
        <f>Bets!AH32</f>
        <v>PASS</v>
      </c>
      <c r="J34" s="99">
        <f>Bets!AJ32</f>
        <v>0</v>
      </c>
      <c r="K34" s="100" t="str">
        <f>Bets!AT32</f>
        <v>🛑 Tail trap — auto-PASS · EV 43.7% (cap 30%) · model/market 2.4× (cap 2.5×)</v>
      </c>
      <c r="L34" s="101"/>
      <c r="M34" s="97" t="str">
        <f>IFERROR(__xludf.DUMMYFUNCTION("IF(Bets!AH32=""·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pauses."")),IF(Bets!AH32&lt;&gt;""BET"",IF(OR(Bets!AF32&gt;Method!$B$87,IFERROR(INDEX(Bets!BC32:BE32,1,Bets!AB32)/INDEX(Bets!S32:U32,1,Bets!AB32),0)&gt;Method!$B$88),""🛑 NO BET — tail trap (EV ""&amp;TEXT(Bets!AF32,""0.0%"")&amp;"" / model ""&amp;TEXT(IFERROR(INDEX(Bets!BC32:"&amp;"BE32,1,Bets!AB32)/INDEX(Bets!S32:U32,1,Bets!AB32),0),""0.0"")&amp;""× market)"",""❌ NO BET — price not good enough""),IF(Bets!AJ32=0,""❌ NO BET — stake under minimum"",IF(L34="""",IF(AND(Bets!AE32&gt;=6,Bets!AG32&gt;=0.15),""🟡 WAIT — long-shot review: odds ""&amp;TEXT"&amp;"(Bets!AE32,""0.00"")&amp;"" + edge ""&amp;TEXT(Bets!AG32,""0.0%"")&amp;"" — verify sharp-book + team news + stake comfort"",""🟡 WAIT — check team news first""),IF(L34=""N"",""🔴 SKIP — team news concern"",IF(L34=""Y"",""🟢 PLACE £""&amp;Bets!AJ32&amp;"" on ""&amp;Bets!AD32,"""""&amp;")))))))"),"🛑 NO BET — tail trap (EV 43.7% / model 2.4× market)")</f>
        <v>🛑 NO BET — tail trap (EV 43.7% / model 2.4× market)</v>
      </c>
      <c r="N34" s="101"/>
      <c r="O34" s="101"/>
      <c r="P34" s="96"/>
      <c r="Q34" s="102"/>
      <c r="R34" s="101" t="s">
        <v>111</v>
      </c>
      <c r="S34" s="100" t="str">
        <f>Bets!AU32</f>
        <v/>
      </c>
      <c r="T34" s="96"/>
      <c r="U34" s="103" t="str">
        <f t="shared" si="1"/>
        <v/>
      </c>
      <c r="V34" s="83"/>
      <c r="W34" s="83"/>
      <c r="X34" s="2"/>
      <c r="Y34" s="2"/>
      <c r="Z34" s="2"/>
    </row>
    <row r="35" ht="15.0" customHeight="1">
      <c r="A35" s="105">
        <f>Bets!A33</f>
        <v>32</v>
      </c>
      <c r="B35" s="106">
        <f>Bets!B33</f>
        <v>46192</v>
      </c>
      <c r="C35" s="105" t="str">
        <f>IF(Bets!H33="","TBC",Bets!H33)</f>
        <v>05:00 +1d</v>
      </c>
      <c r="D35" s="100" t="str">
        <f>Bets!D33&amp;"  v  "&amp;Bets!E33</f>
        <v>Turkey  v  Paraguay</v>
      </c>
      <c r="E35" s="96">
        <v>2.1</v>
      </c>
      <c r="F35" s="96">
        <v>3.45</v>
      </c>
      <c r="G35" s="96">
        <v>4.0</v>
      </c>
      <c r="H35" s="97" t="str">
        <f>Bets!AD33</f>
        <v>2  Paraguay</v>
      </c>
      <c r="I35" s="98" t="str">
        <f>Bets!AH33</f>
        <v>PASS</v>
      </c>
      <c r="J35" s="99">
        <f>Bets!AJ33</f>
        <v>0</v>
      </c>
      <c r="K35" s="100" t="str">
        <f>Bets!AT33</f>
        <v>Model ≈ market — edge 1.1% (need 2.5%+)</v>
      </c>
      <c r="L35" s="101"/>
      <c r="M35" s="97" t="str">
        <f>IFERROR(__xludf.DUMMYFUNCTION("IF(Bets!AH33=""·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pauses."")),IF(Bets!AH33&lt;&gt;""BET"",IF(OR(Bets!AF33&gt;Method!$B$87,IFERROR(INDEX(Bets!BC33:BE33,1,Bets!AB33)/INDEX(Bets!S33:U33,1,Bets!AB33),0)&gt;Method!$B$88),""🛑 NO BET — tail trap (EV ""&amp;TEXT(Bets!AF33,""0.0%"")&amp;"" / model ""&amp;TEXT(IFERROR(INDEX(Bets!BC33:"&amp;"BE33,1,Bets!AB33)/INDEX(Bets!S33:U33,1,Bets!AB33),0),""0.0"")&amp;""× market)"",""❌ NO BET — price not good enough""),IF(Bets!AJ33=0,""❌ NO BET — stake under minimum"",IF(L35="""",IF(AND(Bets!AE33&gt;=6,Bets!AG33&gt;=0.15),""🟡 WAIT — long-shot review: odds ""&amp;TEXT"&amp;"(Bets!AE33,""0.00"")&amp;"" + edge ""&amp;TEXT(Bets!AG33,""0.0%"")&amp;"" — verify sharp-book + team news + stake comfort"",""🟡 WAIT — check team news first""),IF(L35=""N"",""🔴 SKIP — team news concern"",IF(L35=""Y"",""🟢 PLACE £""&amp;Bets!AJ33&amp;"" on ""&amp;Bets!AD33,"""""&amp;")))))))"),"❌ NO BET — price not good enough")</f>
        <v>❌ NO BET — price not good enough</v>
      </c>
      <c r="N35" s="101"/>
      <c r="O35" s="101"/>
      <c r="P35" s="96"/>
      <c r="Q35" s="102"/>
      <c r="R35" s="101" t="s">
        <v>112</v>
      </c>
      <c r="S35" s="100" t="str">
        <f>Bets!AU33</f>
        <v/>
      </c>
      <c r="T35" s="96"/>
      <c r="U35" s="103" t="str">
        <f t="shared" si="1"/>
        <v/>
      </c>
      <c r="V35" s="83"/>
      <c r="W35" s="83"/>
      <c r="X35" s="2"/>
      <c r="Y35" s="2"/>
      <c r="Z35" s="2"/>
    </row>
    <row r="36" ht="15.0" customHeight="1">
      <c r="A36" s="105">
        <f>Bets!A34</f>
        <v>33</v>
      </c>
      <c r="B36" s="106">
        <f>Bets!B34</f>
        <v>46193</v>
      </c>
      <c r="C36" s="107">
        <f>IF(Bets!H34="","TBC",Bets!H34)</f>
        <v>0.7916666667</v>
      </c>
      <c r="D36" s="100" t="str">
        <f>Bets!D34&amp;"  v  "&amp;Bets!E34</f>
        <v>Netherlands  v  Sweden</v>
      </c>
      <c r="E36" s="96">
        <v>1.73</v>
      </c>
      <c r="F36" s="96">
        <v>4.1</v>
      </c>
      <c r="G36" s="96">
        <v>5.0</v>
      </c>
      <c r="H36" s="97" t="str">
        <f>Bets!AD34</f>
        <v>1  Netherlands</v>
      </c>
      <c r="I36" s="98" t="str">
        <f>Bets!AH34</f>
        <v>BET</v>
      </c>
      <c r="J36" s="99">
        <f>Bets!AJ34</f>
        <v>12</v>
      </c>
      <c r="K36" s="100" t="str">
        <f>Bets!AT34</f>
        <v>Value found: EV 3.6%, edge 3.0%</v>
      </c>
      <c r="L36" s="101"/>
      <c r="M36" s="97" t="str">
        <f>IFERROR(__xludf.DUMMYFUNCTION("IF(Bets!AH34=""·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pauses."")),IF(Bets!AH34&lt;&gt;""BET"",IF(OR(Bets!AF34&gt;Method!$B$87,IFERROR(INDEX(Bets!BC34:BE34,1,Bets!AB34)/INDEX(Bets!S34:U34,1,Bets!AB34),0)&gt;Method!$B$88),""🛑 NO BET — tail trap (EV ""&amp;TEXT(Bets!AF34,""0.0%"")&amp;"" / model ""&amp;TEXT(IFERROR(INDEX(Bets!BC34:"&amp;"BE34,1,Bets!AB34)/INDEX(Bets!S34:U34,1,Bets!AB34),0),""0.0"")&amp;""× market)"",""❌ NO BET — price not good enough""),IF(Bets!AJ34=0,""❌ NO BET — stake under minimum"",IF(L36="""",IF(AND(Bets!AE34&gt;=6,Bets!AG34&gt;=0.15),""🟡 WAIT — long-shot review: odds ""&amp;TEXT"&amp;"(Bets!AE34,""0.00"")&amp;"" + edge ""&amp;TEXT(Bets!AG34,""0.0%"")&amp;"" — verify sharp-book + team news + stake comfort"",""🟡 WAIT — check team news first""),IF(L36=""N"",""🔴 SKIP — team news concern"",IF(L36=""Y"",""🟢 PLACE £""&amp;Bets!AJ34&amp;"" on ""&amp;Bets!AD34,"""""&amp;")))))))"),"🟡 WAIT — check team news first")</f>
        <v>🟡 WAIT — check team news first</v>
      </c>
      <c r="N36" s="101"/>
      <c r="O36" s="101"/>
      <c r="P36" s="96"/>
      <c r="Q36" s="102"/>
      <c r="R36" s="101" t="s">
        <v>111</v>
      </c>
      <c r="S36" s="100" t="str">
        <f>Bets!AU34</f>
        <v/>
      </c>
      <c r="T36" s="96"/>
      <c r="U36" s="103" t="str">
        <f t="shared" si="1"/>
        <v/>
      </c>
      <c r="V36" s="83"/>
      <c r="W36" s="83"/>
      <c r="X36" s="2"/>
      <c r="Y36" s="2"/>
      <c r="Z36" s="2"/>
    </row>
    <row r="37" ht="15.0" customHeight="1">
      <c r="A37" s="105">
        <f>Bets!A35</f>
        <v>34</v>
      </c>
      <c r="B37" s="106">
        <f>Bets!B35</f>
        <v>46193</v>
      </c>
      <c r="C37" s="107">
        <f>IF(Bets!H35="","TBC",Bets!H35)</f>
        <v>0.875</v>
      </c>
      <c r="D37" s="100" t="str">
        <f>Bets!D35&amp;"  v  "&amp;Bets!E35</f>
        <v>Germany  v  Ivory Coast</v>
      </c>
      <c r="E37" s="96">
        <v>1.54</v>
      </c>
      <c r="F37" s="96">
        <v>4.75</v>
      </c>
      <c r="G37" s="96">
        <v>7.1</v>
      </c>
      <c r="H37" s="97" t="str">
        <f>Bets!AD35</f>
        <v>X  Draw</v>
      </c>
      <c r="I37" s="98" t="str">
        <f>Bets!AH35</f>
        <v>PASS</v>
      </c>
      <c r="J37" s="99">
        <f>Bets!AJ35</f>
        <v>0</v>
      </c>
      <c r="K37" s="100" t="str">
        <f>Bets!AT35</f>
        <v>Model ≈ market — edge 2.3% (need 2.5%+)</v>
      </c>
      <c r="L37" s="101"/>
      <c r="M37" s="97" t="str">
        <f>IFERROR(__xludf.DUMMYFUNCTION("IF(Bets!AH35=""·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pauses."")),IF(Bets!AH35&lt;&gt;""BET"",IF(OR(Bets!AF35&gt;Method!$B$87,IFERROR(INDEX(Bets!BC35:BE35,1,Bets!AB35)/INDEX(Bets!S35:U35,1,Bets!AB35),0)&gt;Method!$B$88),""🛑 NO BET — tail trap (EV ""&amp;TEXT(Bets!AF35,""0.0%"")&amp;"" / model ""&amp;TEXT(IFERROR(INDEX(Bets!BC35:"&amp;"BE35,1,Bets!AB35)/INDEX(Bets!S35:U35,1,Bets!AB35),0),""0.0"")&amp;""× market)"",""❌ NO BET — price not good enough""),IF(Bets!AJ35=0,""❌ NO BET — stake under minimum"",IF(L37="""",IF(AND(Bets!AE35&gt;=6,Bets!AG35&gt;=0.15),""🟡 WAIT — long-shot review: odds ""&amp;TEXT"&amp;"(Bets!AE35,""0.00"")&amp;"" + edge ""&amp;TEXT(Bets!AG35,""0.0%"")&amp;"" — verify sharp-book + team news + stake comfort"",""🟡 WAIT — check team news first""),IF(L37=""N"",""🔴 SKIP — team news concern"",IF(L37=""Y"",""🟢 PLACE £""&amp;Bets!AJ35&amp;"" on ""&amp;Bets!AD35,"""""&amp;")))))))"),"❌ NO BET — price not good enough")</f>
        <v>❌ NO BET — price not good enough</v>
      </c>
      <c r="N37" s="101"/>
      <c r="O37" s="101"/>
      <c r="P37" s="96"/>
      <c r="Q37" s="102"/>
      <c r="R37" s="101" t="s">
        <v>111</v>
      </c>
      <c r="S37" s="100" t="str">
        <f>Bets!AU35</f>
        <v/>
      </c>
      <c r="T37" s="96"/>
      <c r="U37" s="103" t="str">
        <f t="shared" si="1"/>
        <v/>
      </c>
      <c r="V37" s="83"/>
      <c r="W37" s="83"/>
      <c r="X37" s="2"/>
      <c r="Y37" s="2"/>
      <c r="Z37" s="2"/>
    </row>
    <row r="38" ht="15.0" customHeight="1">
      <c r="A38" s="105">
        <f>Bets!A36</f>
        <v>35</v>
      </c>
      <c r="B38" s="106">
        <f>Bets!B36</f>
        <v>46193</v>
      </c>
      <c r="C38" s="105" t="str">
        <f>IF(Bets!H36="","TBC",Bets!H36)</f>
        <v>01:00 +1d</v>
      </c>
      <c r="D38" s="100" t="str">
        <f>Bets!D36&amp;"  v  "&amp;Bets!E36</f>
        <v>Ecuador  v  Curacao</v>
      </c>
      <c r="E38" s="96">
        <v>1.17</v>
      </c>
      <c r="F38" s="96">
        <v>9.5</v>
      </c>
      <c r="G38" s="96">
        <v>21.0</v>
      </c>
      <c r="H38" s="97" t="str">
        <f>Bets!AD36</f>
        <v>X  Draw</v>
      </c>
      <c r="I38" s="98" t="str">
        <f>Bets!AH36</f>
        <v>PASS</v>
      </c>
      <c r="J38" s="99">
        <f>Bets!AJ36</f>
        <v>0</v>
      </c>
      <c r="K38" s="100" t="str">
        <f>Bets!AT36</f>
        <v>🛑 Tail trap — auto-PASS · EV 34.3% (cap 30%) · model/market 2.1× (cap 2.5×)</v>
      </c>
      <c r="L38" s="101"/>
      <c r="M38" s="97" t="str">
        <f>IFERROR(__xludf.DUMMYFUNCTION("IF(Bets!AH36=""·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pauses."")),IF(Bets!AH36&lt;&gt;""BET"",IF(OR(Bets!AF36&gt;Method!$B$87,IFERROR(INDEX(Bets!BC36:BE36,1,Bets!AB36)/INDEX(Bets!S36:U36,1,Bets!AB36),0)&gt;Method!$B$88),""🛑 NO BET — tail trap (EV ""&amp;TEXT(Bets!AF36,""0.0%"")&amp;"" / model ""&amp;TEXT(IFERROR(INDEX(Bets!BC36:"&amp;"BE36,1,Bets!AB36)/INDEX(Bets!S36:U36,1,Bets!AB36),0),""0.0"")&amp;""× market)"",""❌ NO BET — price not good enough""),IF(Bets!AJ36=0,""❌ NO BET — stake under minimum"",IF(L38="""",IF(AND(Bets!AE36&gt;=6,Bets!AG36&gt;=0.15),""🟡 WAIT — long-shot review: odds ""&amp;TEXT"&amp;"(Bets!AE36,""0.00"")&amp;"" + edge ""&amp;TEXT(Bets!AG36,""0.0%"")&amp;"" — verify sharp-book + team news + stake comfort"",""🟡 WAIT — check team news first""),IF(L38=""N"",""🔴 SKIP — team news concern"",IF(L38=""Y"",""🟢 PLACE £""&amp;Bets!AJ36&amp;"" on ""&amp;Bets!AD36,"""""&amp;")))))))"),"🛑 NO BET — tail trap (EV 34.3% / model 2.1× market)")</f>
        <v>🛑 NO BET — tail trap (EV 34.3% / model 2.1× market)</v>
      </c>
      <c r="N38" s="101"/>
      <c r="O38" s="101"/>
      <c r="P38" s="96"/>
      <c r="Q38" s="102"/>
      <c r="R38" s="101" t="s">
        <v>113</v>
      </c>
      <c r="S38" s="100" t="str">
        <f>Bets!AU36</f>
        <v/>
      </c>
      <c r="T38" s="96"/>
      <c r="U38" s="103" t="str">
        <f t="shared" si="1"/>
        <v/>
      </c>
      <c r="V38" s="83"/>
      <c r="W38" s="83"/>
      <c r="X38" s="2"/>
      <c r="Y38" s="2"/>
      <c r="Z38" s="2"/>
    </row>
    <row r="39" ht="15.0" customHeight="1">
      <c r="A39" s="105">
        <f>Bets!A37</f>
        <v>36</v>
      </c>
      <c r="B39" s="106">
        <f>Bets!B37</f>
        <v>46193</v>
      </c>
      <c r="C39" s="105" t="str">
        <f>IF(Bets!H37="","TBC",Bets!H37)</f>
        <v>05:00 +1d</v>
      </c>
      <c r="D39" s="100" t="str">
        <f>Bets!D37&amp;"  v  "&amp;Bets!E37</f>
        <v>Tunisia  v  Japan</v>
      </c>
      <c r="E39" s="96">
        <v>8.5</v>
      </c>
      <c r="F39" s="96">
        <v>4.6</v>
      </c>
      <c r="G39" s="96">
        <v>1.48</v>
      </c>
      <c r="H39" s="97" t="str">
        <f>Bets!AD37</f>
        <v>X  Draw</v>
      </c>
      <c r="I39" s="98" t="str">
        <f>Bets!AH37</f>
        <v>PASS</v>
      </c>
      <c r="J39" s="99">
        <f>Bets!AJ37</f>
        <v>0</v>
      </c>
      <c r="K39" s="100" t="str">
        <f>Bets!AT37</f>
        <v>Model ≈ market — edge 2.4% (need 2.5%+)</v>
      </c>
      <c r="L39" s="101"/>
      <c r="M39" s="97" t="str">
        <f>IFERROR(__xludf.DUMMYFUNCTION("IF(Bets!AH37=""·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pauses."")),IF(Bets!AH37&lt;&gt;""BET"",IF(OR(Bets!AF37&gt;Method!$B$87,IFERROR(INDEX(Bets!BC37:BE37,1,Bets!AB37)/INDEX(Bets!S37:U37,1,Bets!AB37),0)&gt;Method!$B$88),""🛑 NO BET — tail trap (EV ""&amp;TEXT(Bets!AF37,""0.0%"")&amp;"" / model ""&amp;TEXT(IFERROR(INDEX(Bets!BC37:"&amp;"BE37,1,Bets!AB37)/INDEX(Bets!S37:U37,1,Bets!AB37),0),""0.0"")&amp;""× market)"",""❌ NO BET — price not good enough""),IF(Bets!AJ37=0,""❌ NO BET — stake under minimum"",IF(L39="""",IF(AND(Bets!AE37&gt;=6,Bets!AG37&gt;=0.15),""🟡 WAIT — long-shot review: odds ""&amp;TEXT"&amp;"(Bets!AE37,""0.00"")&amp;"" + edge ""&amp;TEXT(Bets!AG37,""0.0%"")&amp;"" — verify sharp-book + team news + stake comfort"",""🟡 WAIT — check team news first""),IF(L39=""N"",""🔴 SKIP — team news concern"",IF(L39=""Y"",""🟢 PLACE £""&amp;Bets!AJ37&amp;"" on ""&amp;Bets!AD37,"""""&amp;")))))))"),"❌ NO BET — price not good enough")</f>
        <v>❌ NO BET — price not good enough</v>
      </c>
      <c r="N39" s="101"/>
      <c r="O39" s="101"/>
      <c r="P39" s="96"/>
      <c r="Q39" s="102"/>
      <c r="R39" s="101" t="s">
        <v>112</v>
      </c>
      <c r="S39" s="100" t="str">
        <f>Bets!AU37</f>
        <v/>
      </c>
      <c r="T39" s="96"/>
      <c r="U39" s="103" t="str">
        <f t="shared" si="1"/>
        <v/>
      </c>
      <c r="V39" s="83"/>
      <c r="W39" s="83"/>
      <c r="X39" s="2"/>
      <c r="Y39" s="2"/>
      <c r="Z39" s="2"/>
    </row>
    <row r="40" ht="15.0" customHeight="1">
      <c r="A40" s="105">
        <f>Bets!A38</f>
        <v>37</v>
      </c>
      <c r="B40" s="106">
        <f>Bets!B38</f>
        <v>46194</v>
      </c>
      <c r="C40" s="107">
        <f>IF(Bets!H38="","TBC",Bets!H38)</f>
        <v>0.7083333333</v>
      </c>
      <c r="D40" s="100" t="str">
        <f>Bets!D38&amp;"  v  "&amp;Bets!E38</f>
        <v>Spain  v  Saudi Arabia</v>
      </c>
      <c r="E40" s="96">
        <v>1.11</v>
      </c>
      <c r="F40" s="96">
        <v>13.0</v>
      </c>
      <c r="G40" s="96">
        <v>27.0</v>
      </c>
      <c r="H40" s="97" t="str">
        <f>Bets!AD38</f>
        <v>X  Draw</v>
      </c>
      <c r="I40" s="98" t="str">
        <f>Bets!AH38</f>
        <v>PASS</v>
      </c>
      <c r="J40" s="99">
        <f>Bets!AJ38</f>
        <v>0</v>
      </c>
      <c r="K40" s="100" t="str">
        <f>Bets!AT38</f>
        <v>Model ≈ market — edge 1.7% (need 2.5%+)</v>
      </c>
      <c r="L40" s="101"/>
      <c r="M40" s="97" t="str">
        <f>IFERROR(__xludf.DUMMYFUNCTION("IF(Bets!AH38=""·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pauses."")),IF(Bets!AH38&lt;&gt;""BET"",IF(OR(Bets!AF38&gt;Method!$B$87,IFERROR(INDEX(Bets!BC38:BE38,1,Bets!AB38)/INDEX(Bets!S38:U38,1,Bets!AB38),0)&gt;Method!$B$88),""🛑 NO BET — tail trap (EV ""&amp;TEXT(Bets!AF38,""0.0%"")&amp;"" / model ""&amp;TEXT(IFERROR(INDEX(Bets!BC38:"&amp;"BE38,1,Bets!AB38)/INDEX(Bets!S38:U38,1,Bets!AB38),0),""0.0"")&amp;""× market)"",""❌ NO BET — price not good enough""),IF(Bets!AJ38=0,""❌ NO BET — stake under minimum"",IF(L40="""",IF(AND(Bets!AE38&gt;=6,Bets!AG38&gt;=0.15),""🟡 WAIT — long-shot review: odds ""&amp;TEXT"&amp;"(Bets!AE38,""0.00"")&amp;"" + edge ""&amp;TEXT(Bets!AG38,""0.0%"")&amp;"" — verify sharp-book + team news + stake comfort"",""🟡 WAIT — check team news first""),IF(L40=""N"",""🔴 SKIP — team news concern"",IF(L40=""Y"",""🟢 PLACE £""&amp;Bets!AJ38&amp;"" on ""&amp;Bets!AD38,"""""&amp;")))))))"),"❌ NO BET — price not good enough")</f>
        <v>❌ NO BET — price not good enough</v>
      </c>
      <c r="N40" s="101"/>
      <c r="O40" s="101"/>
      <c r="P40" s="96"/>
      <c r="Q40" s="102"/>
      <c r="R40" s="101" t="s">
        <v>111</v>
      </c>
      <c r="S40" s="100" t="str">
        <f>Bets!AU38</f>
        <v/>
      </c>
      <c r="T40" s="96"/>
      <c r="U40" s="103" t="str">
        <f t="shared" si="1"/>
        <v/>
      </c>
      <c r="V40" s="83"/>
      <c r="W40" s="83"/>
      <c r="X40" s="2"/>
      <c r="Y40" s="2"/>
      <c r="Z40" s="2"/>
    </row>
    <row r="41" ht="15.0" customHeight="1">
      <c r="A41" s="105">
        <f>Bets!A39</f>
        <v>38</v>
      </c>
      <c r="B41" s="106">
        <f>Bets!B39</f>
        <v>46194</v>
      </c>
      <c r="C41" s="107">
        <f>IF(Bets!H39="","TBC",Bets!H39)</f>
        <v>0.9583333333</v>
      </c>
      <c r="D41" s="100" t="str">
        <f>Bets!D39&amp;"  v  "&amp;Bets!E39</f>
        <v>Belgium  v  Iran</v>
      </c>
      <c r="E41" s="96">
        <v>1.44</v>
      </c>
      <c r="F41" s="96">
        <v>4.75</v>
      </c>
      <c r="G41" s="96">
        <v>8.5</v>
      </c>
      <c r="H41" s="97" t="str">
        <f>Bets!AD39</f>
        <v>2  Iran</v>
      </c>
      <c r="I41" s="98" t="str">
        <f>Bets!AH39</f>
        <v>PASS</v>
      </c>
      <c r="J41" s="99">
        <f>Bets!AJ39</f>
        <v>0</v>
      </c>
      <c r="K41" s="100" t="str">
        <f>Bets!AT39</f>
        <v>🛑 Tail trap — auto-PASS · EV 46.2% (cap 30%) · model/market 2.6× (cap 2.5×)</v>
      </c>
      <c r="L41" s="101"/>
      <c r="M41" s="97" t="str">
        <f>IFERROR(__xludf.DUMMYFUNCTION("IF(Bets!AH39=""·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pauses."")),IF(Bets!AH39&lt;&gt;""BET"",IF(OR(Bets!AF39&gt;Method!$B$87,IFERROR(INDEX(Bets!BC39:BE39,1,Bets!AB39)/INDEX(Bets!S39:U39,1,Bets!AB39),0)&gt;Method!$B$88),""🛑 NO BET — tail trap (EV ""&amp;TEXT(Bets!AF39,""0.0%"")&amp;"" / model ""&amp;TEXT(IFERROR(INDEX(Bets!BC39:"&amp;"BE39,1,Bets!AB39)/INDEX(Bets!S39:U39,1,Bets!AB39),0),""0.0"")&amp;""× market)"",""❌ NO BET — price not good enough""),IF(Bets!AJ39=0,""❌ NO BET — stake under minimum"",IF(L41="""",IF(AND(Bets!AE39&gt;=6,Bets!AG39&gt;=0.15),""🟡 WAIT — long-shot review: odds ""&amp;TEXT"&amp;"(Bets!AE39,""0.00"")&amp;"" + edge ""&amp;TEXT(Bets!AG39,""0.0%"")&amp;"" — verify sharp-book + team news + stake comfort"",""🟡 WAIT — check team news first""),IF(L41=""N"",""🔴 SKIP — team news concern"",IF(L41=""Y"",""🟢 PLACE £""&amp;Bets!AJ39&amp;"" on ""&amp;Bets!AD39,"""""&amp;")))))))"),"🛑 NO BET — tail trap (EV 46.2% / model 2.6× market)")</f>
        <v>🛑 NO BET — tail trap (EV 46.2% / model 2.6× market)</v>
      </c>
      <c r="N41" s="101"/>
      <c r="O41" s="101"/>
      <c r="P41" s="96"/>
      <c r="Q41" s="102"/>
      <c r="R41" s="101" t="s">
        <v>113</v>
      </c>
      <c r="S41" s="100" t="str">
        <f>Bets!AU39</f>
        <v/>
      </c>
      <c r="T41" s="96"/>
      <c r="U41" s="103" t="str">
        <f t="shared" si="1"/>
        <v/>
      </c>
      <c r="V41" s="83"/>
      <c r="W41" s="83"/>
      <c r="X41" s="2"/>
      <c r="Y41" s="2"/>
      <c r="Z41" s="2"/>
    </row>
    <row r="42" ht="15.0" customHeight="1">
      <c r="A42" s="105">
        <f>Bets!A40</f>
        <v>39</v>
      </c>
      <c r="B42" s="106">
        <f>Bets!B40</f>
        <v>46194</v>
      </c>
      <c r="C42" s="107">
        <f>IF(Bets!H40="","TBC",Bets!H40)</f>
        <v>0.9583333333</v>
      </c>
      <c r="D42" s="100" t="str">
        <f>Bets!D40&amp;"  v  "&amp;Bets!E40</f>
        <v>Uruguay  v  Cape Verde</v>
      </c>
      <c r="E42" s="96">
        <v>1.41</v>
      </c>
      <c r="F42" s="96">
        <v>5.0</v>
      </c>
      <c r="G42" s="96">
        <v>10.0</v>
      </c>
      <c r="H42" s="97" t="str">
        <f>Bets!AD40</f>
        <v>2  Cape Verde</v>
      </c>
      <c r="I42" s="98" t="str">
        <f>Bets!AH40</f>
        <v>PASS</v>
      </c>
      <c r="J42" s="99">
        <f>Bets!AJ40</f>
        <v>0</v>
      </c>
      <c r="K42" s="100" t="str">
        <f>Bets!AT40</f>
        <v>Model ≈ market — edge 1.7% (need 2.5%+)</v>
      </c>
      <c r="L42" s="101"/>
      <c r="M42" s="97" t="str">
        <f>IFERROR(__xludf.DUMMYFUNCTION("IF(Bets!AH40=""·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pauses."")),IF(Bets!AH40&lt;&gt;""BET"",IF(OR(Bets!AF40&gt;Method!$B$87,IFERROR(INDEX(Bets!BC40:BE40,1,Bets!AB40)/INDEX(Bets!S40:U40,1,Bets!AB40),0)&gt;Method!$B$88),""🛑 NO BET — tail trap (EV ""&amp;TEXT(Bets!AF40,""0.0%"")&amp;"" / model ""&amp;TEXT(IFERROR(INDEX(Bets!BC40:"&amp;"BE40,1,Bets!AB40)/INDEX(Bets!S40:U40,1,Bets!AB40),0),""0.0"")&amp;""× market)"",""❌ NO BET — price not good enough""),IF(Bets!AJ40=0,""❌ NO BET — stake under minimum"",IF(L42="""",IF(AND(Bets!AE40&gt;=6,Bets!AG40&gt;=0.15),""🟡 WAIT — long-shot review: odds ""&amp;TEXT"&amp;"(Bets!AE40,""0.00"")&amp;"" + edge ""&amp;TEXT(Bets!AG40,""0.0%"")&amp;"" — verify sharp-book + team news + stake comfort"",""🟡 WAIT — check team news first""),IF(L42=""N"",""🔴 SKIP — team news concern"",IF(L42=""Y"",""🟢 PLACE £""&amp;Bets!AJ40&amp;"" on ""&amp;Bets!AD40,"""""&amp;")))))))"),"❌ NO BET — price not good enough")</f>
        <v>❌ NO BET — price not good enough</v>
      </c>
      <c r="N42" s="101"/>
      <c r="O42" s="101"/>
      <c r="P42" s="96"/>
      <c r="Q42" s="102"/>
      <c r="R42" s="101" t="s">
        <v>113</v>
      </c>
      <c r="S42" s="100" t="str">
        <f>Bets!AU40</f>
        <v/>
      </c>
      <c r="T42" s="96"/>
      <c r="U42" s="103" t="str">
        <f t="shared" si="1"/>
        <v/>
      </c>
      <c r="V42" s="83"/>
      <c r="W42" s="83"/>
      <c r="X42" s="2"/>
      <c r="Y42" s="2"/>
      <c r="Z42" s="2"/>
    </row>
    <row r="43" ht="15.0" customHeight="1">
      <c r="A43" s="105">
        <f>Bets!A41</f>
        <v>40</v>
      </c>
      <c r="B43" s="106">
        <f>Bets!B41</f>
        <v>46194</v>
      </c>
      <c r="C43" s="105" t="str">
        <f>IF(Bets!H41="","TBC",Bets!H41)</f>
        <v>05:00 +1d</v>
      </c>
      <c r="D43" s="100" t="str">
        <f>Bets!D41&amp;"  v  "&amp;Bets!E41</f>
        <v>New Zealand  v  Egypt</v>
      </c>
      <c r="E43" s="96">
        <v>6.0</v>
      </c>
      <c r="F43" s="96">
        <v>4.0</v>
      </c>
      <c r="G43" s="96">
        <v>1.67</v>
      </c>
      <c r="H43" s="97" t="str">
        <f>Bets!AD41</f>
        <v>1  New Zealand</v>
      </c>
      <c r="I43" s="98" t="str">
        <f>Bets!AH41</f>
        <v>BET</v>
      </c>
      <c r="J43" s="99">
        <f>Bets!AJ41</f>
        <v>10</v>
      </c>
      <c r="K43" s="100" t="str">
        <f>Bets!AT41</f>
        <v>Value found: EV 21.0%, edge 3.9%</v>
      </c>
      <c r="L43" s="101"/>
      <c r="M43" s="97" t="str">
        <f>IFERROR(__xludf.DUMMYFUNCTION("IF(Bets!AH41=""·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pauses."")),IF(Bets!AH41&lt;&gt;""BET"",IF(OR(Bets!AF41&gt;Method!$B$87,IFERROR(INDEX(Bets!BC41:BE41,1,Bets!AB41)/INDEX(Bets!S41:U41,1,Bets!AB41),0)&gt;Method!$B$88),""🛑 NO BET — tail trap (EV ""&amp;TEXT(Bets!AF41,""0.0%"")&amp;"" / model ""&amp;TEXT(IFERROR(INDEX(Bets!BC41:"&amp;"BE41,1,Bets!AB41)/INDEX(Bets!S41:U41,1,Bets!AB41),0),""0.0"")&amp;""× market)"",""❌ NO BET — price not good enough""),IF(Bets!AJ41=0,""❌ NO BET — stake under minimum"",IF(L43="""",IF(AND(Bets!AE41&gt;=6,Bets!AG41&gt;=0.15),""🟡 WAIT — long-shot review: odds ""&amp;TEXT"&amp;"(Bets!AE41,""0.00"")&amp;"" + edge ""&amp;TEXT(Bets!AG41,""0.0%"")&amp;"" — verify sharp-book + team news + stake comfort"",""🟡 WAIT — check team news first""),IF(L43=""N"",""🔴 SKIP — team news concern"",IF(L43=""Y"",""🟢 PLACE £""&amp;Bets!AJ41&amp;"" on ""&amp;Bets!AD41,"""""&amp;")))))))"),"🟡 WAIT — check team news first")</f>
        <v>🟡 WAIT — check team news first</v>
      </c>
      <c r="N43" s="101"/>
      <c r="O43" s="101"/>
      <c r="P43" s="96"/>
      <c r="Q43" s="102"/>
      <c r="R43" s="101" t="s">
        <v>112</v>
      </c>
      <c r="S43" s="100" t="str">
        <f>Bets!AU41</f>
        <v/>
      </c>
      <c r="T43" s="96"/>
      <c r="U43" s="103" t="str">
        <f t="shared" si="1"/>
        <v/>
      </c>
      <c r="V43" s="83"/>
      <c r="W43" s="83"/>
      <c r="X43" s="2"/>
      <c r="Y43" s="2"/>
      <c r="Z43" s="2"/>
    </row>
    <row r="44" ht="15.0" customHeight="1">
      <c r="A44" s="105">
        <f>Bets!A42</f>
        <v>41</v>
      </c>
      <c r="B44" s="106">
        <f>Bets!B42</f>
        <v>46195</v>
      </c>
      <c r="C44" s="107">
        <f>IF(Bets!H42="","TBC",Bets!H42)</f>
        <v>0.7916666667</v>
      </c>
      <c r="D44" s="100" t="str">
        <f>Bets!D42&amp;"  v  "&amp;Bets!E42</f>
        <v>Argentina  v  Austria</v>
      </c>
      <c r="E44" s="96">
        <v>1.47</v>
      </c>
      <c r="F44" s="96">
        <v>4.5</v>
      </c>
      <c r="G44" s="96">
        <v>8.0</v>
      </c>
      <c r="H44" s="97" t="str">
        <f>Bets!AD42</f>
        <v>1  Argentina</v>
      </c>
      <c r="I44" s="98" t="str">
        <f>Bets!AH42</f>
        <v>PASS</v>
      </c>
      <c r="J44" s="99">
        <f>Bets!AJ42</f>
        <v>0</v>
      </c>
      <c r="K44" s="100" t="str">
        <f>Bets!AT42</f>
        <v>Price too short — EV 1.0% (need 2.5%+)</v>
      </c>
      <c r="L44" s="101"/>
      <c r="M44" s="97" t="str">
        <f>IFERROR(__xludf.DUMMYFUNCTION("IF(Bets!AH42=""·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pauses."")),IF(Bets!AH42&lt;&gt;""BET"",IF(OR(Bets!AF42&gt;Method!$B$87,IFERROR(INDEX(Bets!BC42:BE42,1,Bets!AB42)/INDEX(Bets!S42:U42,1,Bets!AB42),0)&gt;Method!$B$88),""🛑 NO BET — tail trap (EV ""&amp;TEXT(Bets!AF42,""0.0%"")&amp;"" / model ""&amp;TEXT(IFERROR(INDEX(Bets!BC42:"&amp;"BE42,1,Bets!AB42)/INDEX(Bets!S42:U42,1,Bets!AB42),0),""0.0"")&amp;""× market)"",""❌ NO BET — price not good enough""),IF(Bets!AJ42=0,""❌ NO BET — stake under minimum"",IF(L44="""",IF(AND(Bets!AE42&gt;=6,Bets!AG42&gt;=0.15),""🟡 WAIT — long-shot review: odds ""&amp;TEXT"&amp;"(Bets!AE42,""0.00"")&amp;"" + edge ""&amp;TEXT(Bets!AG42,""0.0%"")&amp;"" — verify sharp-book + team news + stake comfort"",""🟡 WAIT — check team news first""),IF(L44=""N"",""🔴 SKIP — team news concern"",IF(L44=""Y"",""🟢 PLACE £""&amp;Bets!AJ42&amp;"" on ""&amp;Bets!AD42,"""""&amp;")))))))"),"❌ NO BET — price not good enough")</f>
        <v>❌ NO BET — price not good enough</v>
      </c>
      <c r="N44" s="101"/>
      <c r="O44" s="101"/>
      <c r="P44" s="96"/>
      <c r="Q44" s="102"/>
      <c r="R44" s="101" t="s">
        <v>111</v>
      </c>
      <c r="S44" s="100" t="str">
        <f>Bets!AU42</f>
        <v/>
      </c>
      <c r="T44" s="96"/>
      <c r="U44" s="103" t="str">
        <f t="shared" si="1"/>
        <v/>
      </c>
      <c r="V44" s="83"/>
      <c r="W44" s="83"/>
      <c r="X44" s="2"/>
      <c r="Y44" s="2"/>
      <c r="Z44" s="2"/>
    </row>
    <row r="45" ht="15.0" customHeight="1">
      <c r="A45" s="105">
        <f>Bets!A43</f>
        <v>42</v>
      </c>
      <c r="B45" s="106">
        <f>Bets!B43</f>
        <v>46195</v>
      </c>
      <c r="C45" s="107">
        <f>IF(Bets!H43="","TBC",Bets!H43)</f>
        <v>0.9166666667</v>
      </c>
      <c r="D45" s="100" t="str">
        <f>Bets!D43&amp;"  v  "&amp;Bets!E43</f>
        <v>France  v  Iraq</v>
      </c>
      <c r="E45" s="96">
        <v>1.09</v>
      </c>
      <c r="F45" s="96">
        <v>14.0</v>
      </c>
      <c r="G45" s="96">
        <v>36.0</v>
      </c>
      <c r="H45" s="97" t="str">
        <f>Bets!AD43</f>
        <v>2  Iraq</v>
      </c>
      <c r="I45" s="98" t="str">
        <f>Bets!AH43</f>
        <v>PASS</v>
      </c>
      <c r="J45" s="99">
        <f>Bets!AJ43</f>
        <v>0</v>
      </c>
      <c r="K45" s="100" t="str">
        <f>Bets!AT43</f>
        <v>🛑 Tail trap — auto-PASS · EV 71.4% (cap 30%) · model/market 3.9× (cap 2.5×)</v>
      </c>
      <c r="L45" s="101"/>
      <c r="M45" s="97" t="str">
        <f>IFERROR(__xludf.DUMMYFUNCTION("IF(Bets!AH43=""·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pauses."")),IF(Bets!AH43&lt;&gt;""BET"",IF(OR(Bets!AF43&gt;Method!$B$87,IFERROR(INDEX(Bets!BC43:BE43,1,Bets!AB43)/INDEX(Bets!S43:U43,1,Bets!AB43),0)&gt;Method!$B$88),""🛑 NO BET — tail trap (EV ""&amp;TEXT(Bets!AF43,""0.0%"")&amp;"" / model ""&amp;TEXT(IFERROR(INDEX(Bets!BC43:"&amp;"BE43,1,Bets!AB43)/INDEX(Bets!S43:U43,1,Bets!AB43),0),""0.0"")&amp;""× market)"",""❌ NO BET — price not good enough""),IF(Bets!AJ43=0,""❌ NO BET — stake under minimum"",IF(L45="""",IF(AND(Bets!AE43&gt;=6,Bets!AG43&gt;=0.15),""🟡 WAIT — long-shot review: odds ""&amp;TEXT"&amp;"(Bets!AE43,""0.00"")&amp;"" + edge ""&amp;TEXT(Bets!AG43,""0.0%"")&amp;"" — verify sharp-book + team news + stake comfort"",""🟡 WAIT — check team news first""),IF(L45=""N"",""🔴 SKIP — team news concern"",IF(L45=""Y"",""🟢 PLACE £""&amp;Bets!AJ43&amp;"" on ""&amp;Bets!AD43,"""""&amp;")))))))"),"🛑 NO BET — tail trap (EV 71.4% / model 3.9× market)")</f>
        <v>🛑 NO BET — tail trap (EV 71.4% / model 3.9× market)</v>
      </c>
      <c r="N45" s="101"/>
      <c r="O45" s="101"/>
      <c r="P45" s="96"/>
      <c r="Q45" s="102"/>
      <c r="R45" s="101" t="s">
        <v>111</v>
      </c>
      <c r="S45" s="100" t="str">
        <f>Bets!AU43</f>
        <v/>
      </c>
      <c r="T45" s="96"/>
      <c r="U45" s="103" t="str">
        <f t="shared" si="1"/>
        <v/>
      </c>
      <c r="V45" s="83"/>
      <c r="W45" s="83"/>
      <c r="X45" s="2"/>
      <c r="Y45" s="2"/>
      <c r="Z45" s="2"/>
    </row>
    <row r="46" ht="15.0" customHeight="1">
      <c r="A46" s="105">
        <f>Bets!A44</f>
        <v>43</v>
      </c>
      <c r="B46" s="106">
        <f>Bets!B44</f>
        <v>46195</v>
      </c>
      <c r="C46" s="105" t="str">
        <f>IF(Bets!H44="","TBC",Bets!H44)</f>
        <v>01:00 +1d</v>
      </c>
      <c r="D46" s="100" t="str">
        <f>Bets!D44&amp;"  v  "&amp;Bets!E44</f>
        <v>Norway  v  Senegal</v>
      </c>
      <c r="E46" s="96">
        <v>2.5</v>
      </c>
      <c r="F46" s="96">
        <v>3.5</v>
      </c>
      <c r="G46" s="96">
        <v>3.05</v>
      </c>
      <c r="H46" s="97" t="str">
        <f>Bets!AD44</f>
        <v>1  Norway</v>
      </c>
      <c r="I46" s="98" t="str">
        <f>Bets!AH44</f>
        <v>BET</v>
      </c>
      <c r="J46" s="99">
        <f>Bets!AJ44</f>
        <v>12</v>
      </c>
      <c r="K46" s="100" t="str">
        <f>Bets!AT44</f>
        <v>Value found: EV 6.9%, edge 3.2%</v>
      </c>
      <c r="L46" s="101"/>
      <c r="M46" s="97" t="str">
        <f>IFERROR(__xludf.DUMMYFUNCTION("IF(Bets!AH44=""·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pauses."")),IF(Bets!AH44&lt;&gt;""BET"",IF(OR(Bets!AF44&gt;Method!$B$87,IFERROR(INDEX(Bets!BC44:BE44,1,Bets!AB44)/INDEX(Bets!S44:U44,1,Bets!AB44),0)&gt;Method!$B$88),""🛑 NO BET — tail trap (EV ""&amp;TEXT(Bets!AF44,""0.0%"")&amp;"" / model ""&amp;TEXT(IFERROR(INDEX(Bets!BC44:"&amp;"BE44,1,Bets!AB44)/INDEX(Bets!S44:U44,1,Bets!AB44),0),""0.0"")&amp;""× market)"",""❌ NO BET — price not good enough""),IF(Bets!AJ44=0,""❌ NO BET — stake under minimum"",IF(L46="""",IF(AND(Bets!AE44&gt;=6,Bets!AG44&gt;=0.15),""🟡 WAIT — long-shot review: odds ""&amp;TEXT"&amp;"(Bets!AE44,""0.00"")&amp;"" + edge ""&amp;TEXT(Bets!AG44,""0.0%"")&amp;"" — verify sharp-book + team news + stake comfort"",""🟡 WAIT — check team news first""),IF(L46=""N"",""🔴 SKIP — team news concern"",IF(L46=""Y"",""🟢 PLACE £""&amp;Bets!AJ44&amp;"" on ""&amp;Bets!AD44,"""""&amp;")))))))"),"🟡 WAIT — check team news first")</f>
        <v>🟡 WAIT — check team news first</v>
      </c>
      <c r="N46" s="101"/>
      <c r="O46" s="101"/>
      <c r="P46" s="96"/>
      <c r="Q46" s="102"/>
      <c r="R46" s="101" t="s">
        <v>111</v>
      </c>
      <c r="S46" s="100" t="str">
        <f>Bets!AU44</f>
        <v/>
      </c>
      <c r="T46" s="96"/>
      <c r="U46" s="103" t="str">
        <f t="shared" si="1"/>
        <v/>
      </c>
      <c r="V46" s="83"/>
      <c r="W46" s="83"/>
      <c r="X46" s="2"/>
      <c r="Y46" s="2"/>
      <c r="Z46" s="2"/>
    </row>
    <row r="47" ht="15.0" customHeight="1">
      <c r="A47" s="105">
        <f>Bets!A45</f>
        <v>44</v>
      </c>
      <c r="B47" s="106">
        <f>Bets!B45</f>
        <v>46195</v>
      </c>
      <c r="C47" s="105" t="str">
        <f>IF(Bets!H45="","TBC",Bets!H45)</f>
        <v>07:00 +1d</v>
      </c>
      <c r="D47" s="100" t="str">
        <f>Bets!D45&amp;"  v  "&amp;Bets!E45</f>
        <v>Jordan  v  Algeria</v>
      </c>
      <c r="E47" s="96">
        <v>7.5</v>
      </c>
      <c r="F47" s="96">
        <v>3.5</v>
      </c>
      <c r="G47" s="96">
        <v>1.53</v>
      </c>
      <c r="H47" s="97" t="str">
        <f>Bets!AD45</f>
        <v>1  Jordan</v>
      </c>
      <c r="I47" s="98" t="str">
        <f>Bets!AH45</f>
        <v>BET</v>
      </c>
      <c r="J47" s="99">
        <f>Bets!AJ45</f>
        <v>10</v>
      </c>
      <c r="K47" s="100" t="str">
        <f>Bets!AT45</f>
        <v>Value found: EV 26.0%, edge 5.5%</v>
      </c>
      <c r="L47" s="101"/>
      <c r="M47" s="97" t="str">
        <f>IFERROR(__xludf.DUMMYFUNCTION("IF(Bets!AH45=""·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pauses."")),IF(Bets!AH45&lt;&gt;""BET"",IF(OR(Bets!AF45&gt;Method!$B$87,IFERROR(INDEX(Bets!BC45:BE45,1,Bets!AB45)/INDEX(Bets!S45:U45,1,Bets!AB45),0)&gt;Method!$B$88),""🛑 NO BET — tail trap (EV ""&amp;TEXT(Bets!AF45,""0.0%"")&amp;"" / model ""&amp;TEXT(IFERROR(INDEX(Bets!BC45:"&amp;"BE45,1,Bets!AB45)/INDEX(Bets!S45:U45,1,Bets!AB45),0),""0.0"")&amp;""× market)"",""❌ NO BET — price not good enough""),IF(Bets!AJ45=0,""❌ NO BET — stake under minimum"",IF(L47="""",IF(AND(Bets!AE45&gt;=6,Bets!AG45&gt;=0.15),""🟡 WAIT — long-shot review: odds ""&amp;TEXT"&amp;"(Bets!AE45,""0.00"")&amp;"" + edge ""&amp;TEXT(Bets!AG45,""0.0%"")&amp;"" — verify sharp-book + team news + stake comfort"",""🟡 WAIT — check team news first""),IF(L47=""N"",""🔴 SKIP — team news concern"",IF(L47=""Y"",""🟢 PLACE £""&amp;Bets!AJ45&amp;"" on ""&amp;Bets!AD45,"""""&amp;")))))))"),"🟡 WAIT — check team news first")</f>
        <v>🟡 WAIT — check team news first</v>
      </c>
      <c r="N47" s="101"/>
      <c r="O47" s="101"/>
      <c r="P47" s="96"/>
      <c r="Q47" s="102"/>
      <c r="R47" s="101" t="s">
        <v>112</v>
      </c>
      <c r="S47" s="100" t="str">
        <f>Bets!AU45</f>
        <v/>
      </c>
      <c r="T47" s="96"/>
      <c r="U47" s="103" t="str">
        <f t="shared" si="1"/>
        <v/>
      </c>
      <c r="V47" s="83"/>
      <c r="W47" s="83"/>
      <c r="X47" s="2"/>
      <c r="Y47" s="2"/>
      <c r="Z47" s="2"/>
    </row>
    <row r="48" ht="15.0" customHeight="1">
      <c r="A48" s="105">
        <f>Bets!A46</f>
        <v>45</v>
      </c>
      <c r="B48" s="106">
        <f>Bets!B46</f>
        <v>46196</v>
      </c>
      <c r="C48" s="107">
        <f>IF(Bets!H46="","TBC",Bets!H46)</f>
        <v>0.7916666667</v>
      </c>
      <c r="D48" s="100" t="str">
        <f>Bets!D46&amp;"  v  "&amp;Bets!E46</f>
        <v>Portugal  v  Uzbekistan</v>
      </c>
      <c r="E48" s="96">
        <v>1.17</v>
      </c>
      <c r="F48" s="96">
        <v>9.0</v>
      </c>
      <c r="G48" s="96">
        <v>23.0</v>
      </c>
      <c r="H48" s="97" t="str">
        <f>Bets!AD46</f>
        <v>2  Uzbekistan</v>
      </c>
      <c r="I48" s="98" t="str">
        <f>Bets!AH46</f>
        <v>PASS</v>
      </c>
      <c r="J48" s="99">
        <f>Bets!AJ46</f>
        <v>0</v>
      </c>
      <c r="K48" s="100" t="str">
        <f>Bets!AT46</f>
        <v>🛑 Tail trap — auto-PASS · EV 91.9% (cap 30%) · model/market 3.9× (cap 2.5×)</v>
      </c>
      <c r="L48" s="101"/>
      <c r="M48" s="97" t="str">
        <f>IFERROR(__xludf.DUMMYFUNCTION("IF(Bets!AH46=""·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pauses."")),IF(Bets!AH46&lt;&gt;""BET"",IF(OR(Bets!AF46&gt;Method!$B$87,IFERROR(INDEX(Bets!BC46:BE46,1,Bets!AB46)/INDEX(Bets!S46:U46,1,Bets!AB46),0)&gt;Method!$B$88),""🛑 NO BET — tail trap (EV ""&amp;TEXT(Bets!AF46,""0.0%"")&amp;"" / model ""&amp;TEXT(IFERROR(INDEX(Bets!BC46:"&amp;"BE46,1,Bets!AB46)/INDEX(Bets!S46:U46,1,Bets!AB46),0),""0.0"")&amp;""× market)"",""❌ NO BET — price not good enough""),IF(Bets!AJ46=0,""❌ NO BET — stake under minimum"",IF(L48="""",IF(AND(Bets!AE46&gt;=6,Bets!AG46&gt;=0.15),""🟡 WAIT — long-shot review: odds ""&amp;TEXT"&amp;"(Bets!AE46,""0.00"")&amp;"" + edge ""&amp;TEXT(Bets!AG46,""0.0%"")&amp;"" — verify sharp-book + team news + stake comfort"",""🟡 WAIT — check team news first""),IF(L48=""N"",""🔴 SKIP — team news concern"",IF(L48=""Y"",""🟢 PLACE £""&amp;Bets!AJ46&amp;"" on ""&amp;Bets!AD46,"""""&amp;")))))))"),"🛑 NO BET — tail trap (EV 91.9% / model 3.9× market)")</f>
        <v>🛑 NO BET — tail trap (EV 91.9% / model 3.9× market)</v>
      </c>
      <c r="N48" s="101"/>
      <c r="O48" s="101"/>
      <c r="P48" s="96"/>
      <c r="Q48" s="102"/>
      <c r="R48" s="101" t="s">
        <v>111</v>
      </c>
      <c r="S48" s="100" t="str">
        <f>Bets!AU46</f>
        <v/>
      </c>
      <c r="T48" s="96"/>
      <c r="U48" s="103" t="str">
        <f t="shared" si="1"/>
        <v/>
      </c>
      <c r="V48" s="83"/>
      <c r="W48" s="83"/>
      <c r="X48" s="2"/>
      <c r="Y48" s="2"/>
      <c r="Z48" s="2"/>
    </row>
    <row r="49" ht="15.0" customHeight="1">
      <c r="A49" s="105">
        <f>Bets!A47</f>
        <v>46</v>
      </c>
      <c r="B49" s="106">
        <f>Bets!B47</f>
        <v>46196</v>
      </c>
      <c r="C49" s="107">
        <f>IF(Bets!H47="","TBC",Bets!H47)</f>
        <v>0.875</v>
      </c>
      <c r="D49" s="100" t="str">
        <f>Bets!D47&amp;"  v  "&amp;Bets!E47</f>
        <v>England  v  Ghana</v>
      </c>
      <c r="E49" s="96">
        <v>1.2</v>
      </c>
      <c r="F49" s="96">
        <v>8.0</v>
      </c>
      <c r="G49" s="96">
        <v>19.0</v>
      </c>
      <c r="H49" s="97" t="str">
        <f>Bets!AD47</f>
        <v>X  Draw</v>
      </c>
      <c r="I49" s="98" t="str">
        <f>Bets!AH47</f>
        <v>BET</v>
      </c>
      <c r="J49" s="99">
        <f>Bets!AJ47</f>
        <v>9</v>
      </c>
      <c r="K49" s="100" t="str">
        <f>Bets!AT47</f>
        <v>Value found: EV 23.8%, edge 3.3%</v>
      </c>
      <c r="L49" s="101"/>
      <c r="M49" s="97" t="str">
        <f>IFERROR(__xludf.DUMMYFUNCTION("IF(Bets!AH47=""·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pauses."")),IF(Bets!AH47&lt;&gt;""BET"",IF(OR(Bets!AF47&gt;Method!$B$87,IFERROR(INDEX(Bets!BC47:BE47,1,Bets!AB47)/INDEX(Bets!S47:U47,1,Bets!AB47),0)&gt;Method!$B$88),""🛑 NO BET — tail trap (EV ""&amp;TEXT(Bets!AF47,""0.0%"")&amp;"" / model ""&amp;TEXT(IFERROR(INDEX(Bets!BC47:"&amp;"BE47,1,Bets!AB47)/INDEX(Bets!S47:U47,1,Bets!AB47),0),""0.0"")&amp;""× market)"",""❌ NO BET — price not good enough""),IF(Bets!AJ47=0,""❌ NO BET — stake under minimum"",IF(L49="""",IF(AND(Bets!AE47&gt;=6,Bets!AG47&gt;=0.15),""🟡 WAIT — long-shot review: odds ""&amp;TEXT"&amp;"(Bets!AE47,""0.00"")&amp;"" + edge ""&amp;TEXT(Bets!AG47,""0.0%"")&amp;"" — verify sharp-book + team news + stake comfort"",""🟡 WAIT — check team news first""),IF(L49=""N"",""🔴 SKIP — team news concern"",IF(L49=""Y"",""🟢 PLACE £""&amp;Bets!AJ47&amp;"" on ""&amp;Bets!AD47,"""""&amp;")))))))"),"🟡 WAIT — check team news first")</f>
        <v>🟡 WAIT — check team news first</v>
      </c>
      <c r="N49" s="101"/>
      <c r="O49" s="101"/>
      <c r="P49" s="96"/>
      <c r="Q49" s="102"/>
      <c r="R49" s="101" t="s">
        <v>113</v>
      </c>
      <c r="S49" s="100" t="str">
        <f>Bets!AU47</f>
        <v/>
      </c>
      <c r="T49" s="96"/>
      <c r="U49" s="103" t="str">
        <f t="shared" si="1"/>
        <v/>
      </c>
      <c r="V49" s="83"/>
      <c r="W49" s="83"/>
      <c r="X49" s="2"/>
      <c r="Y49" s="2"/>
      <c r="Z49" s="2"/>
    </row>
    <row r="50" ht="15.0" customHeight="1">
      <c r="A50" s="105">
        <f>Bets!A48</f>
        <v>47</v>
      </c>
      <c r="B50" s="106">
        <f>Bets!B48</f>
        <v>46196</v>
      </c>
      <c r="C50" s="105" t="str">
        <f>IF(Bets!H48="","TBC",Bets!H48)</f>
        <v>00:00 +1d</v>
      </c>
      <c r="D50" s="100" t="str">
        <f>Bets!D48&amp;"  v  "&amp;Bets!E48</f>
        <v>Panama  v  Croatia</v>
      </c>
      <c r="E50" s="96">
        <v>8.0</v>
      </c>
      <c r="F50" s="96">
        <v>4.8</v>
      </c>
      <c r="G50" s="96">
        <v>1.44</v>
      </c>
      <c r="H50" s="97" t="str">
        <f>Bets!AD48</f>
        <v>1  Panama</v>
      </c>
      <c r="I50" s="98" t="str">
        <f>Bets!AH48</f>
        <v>PASS</v>
      </c>
      <c r="J50" s="99">
        <f>Bets!AJ48</f>
        <v>0</v>
      </c>
      <c r="K50" s="100" t="str">
        <f>Bets!AT48</f>
        <v>Model ≈ market — edge 2.5% (need 2.5%+)</v>
      </c>
      <c r="L50" s="101"/>
      <c r="M50" s="97" t="str">
        <f>IFERROR(__xludf.DUMMYFUNCTION("IF(Bets!AH48=""·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pauses."")),IF(Bets!AH48&lt;&gt;""BET"",IF(OR(Bets!AF48&gt;Method!$B$87,IFERROR(INDEX(Bets!BC48:BE48,1,Bets!AB48)/INDEX(Bets!S48:U48,1,Bets!AB48),0)&gt;Method!$B$88),""🛑 NO BET — tail trap (EV ""&amp;TEXT(Bets!AF48,""0.0%"")&amp;"" / model ""&amp;TEXT(IFERROR(INDEX(Bets!BC48:"&amp;"BE48,1,Bets!AB48)/INDEX(Bets!S48:U48,1,Bets!AB48),0),""0.0"")&amp;""× market)"",""❌ NO BET — price not good enough""),IF(Bets!AJ48=0,""❌ NO BET — stake under minimum"",IF(L50="""",IF(AND(Bets!AE48&gt;=6,Bets!AG48&gt;=0.15),""🟡 WAIT — long-shot review: odds ""&amp;TEXT"&amp;"(Bets!AE48,""0.00"")&amp;"" + edge ""&amp;TEXT(Bets!AG48,""0.0%"")&amp;"" — verify sharp-book + team news + stake comfort"",""🟡 WAIT — check team news first""),IF(L50=""N"",""🔴 SKIP — team news concern"",IF(L50=""Y"",""🟢 PLACE £""&amp;Bets!AJ48&amp;"" on ""&amp;Bets!AD48,"""""&amp;")))))))"),"❌ NO BET — price not good enough")</f>
        <v>❌ NO BET — price not good enough</v>
      </c>
      <c r="N50" s="101"/>
      <c r="O50" s="101"/>
      <c r="P50" s="96"/>
      <c r="Q50" s="102"/>
      <c r="R50" s="101" t="s">
        <v>112</v>
      </c>
      <c r="S50" s="100" t="str">
        <f>Bets!AU48</f>
        <v/>
      </c>
      <c r="T50" s="96"/>
      <c r="U50" s="103" t="str">
        <f t="shared" si="1"/>
        <v/>
      </c>
      <c r="V50" s="83"/>
      <c r="W50" s="83"/>
      <c r="X50" s="2"/>
      <c r="Y50" s="2"/>
      <c r="Z50" s="2"/>
    </row>
    <row r="51" ht="15.0" customHeight="1">
      <c r="A51" s="105">
        <f>Bets!A49</f>
        <v>48</v>
      </c>
      <c r="B51" s="106">
        <f>Bets!B49</f>
        <v>46196</v>
      </c>
      <c r="C51" s="105" t="str">
        <f>IF(Bets!H49="","TBC",Bets!H49)</f>
        <v>05:00 +1d</v>
      </c>
      <c r="D51" s="100" t="str">
        <f>Bets!D49&amp;"  v  "&amp;Bets!E49</f>
        <v>Colombia  v  DR Congo</v>
      </c>
      <c r="E51" s="96">
        <v>1.55</v>
      </c>
      <c r="F51" s="96">
        <v>4.1</v>
      </c>
      <c r="G51" s="96">
        <v>7.1</v>
      </c>
      <c r="H51" s="97" t="str">
        <f>Bets!AD49</f>
        <v>X  Draw</v>
      </c>
      <c r="I51" s="98" t="str">
        <f>Bets!AH49</f>
        <v>PASS</v>
      </c>
      <c r="J51" s="99">
        <f>Bets!AJ49</f>
        <v>0</v>
      </c>
      <c r="K51" s="100" t="str">
        <f>Bets!AT49</f>
        <v>Price too short — EV -0.6% (need 2.5%+)</v>
      </c>
      <c r="L51" s="101"/>
      <c r="M51" s="97" t="str">
        <f>IFERROR(__xludf.DUMMYFUNCTION("IF(Bets!AH49=""·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pauses."")),IF(Bets!AH49&lt;&gt;""BET"",IF(OR(Bets!AF49&gt;Method!$B$87,IFERROR(INDEX(Bets!BC49:BE49,1,Bets!AB49)/INDEX(Bets!S49:U49,1,Bets!AB49),0)&gt;Method!$B$88),""🛑 NO BET — tail trap (EV ""&amp;TEXT(Bets!AF49,""0.0%"")&amp;"" / model ""&amp;TEXT(IFERROR(INDEX(Bets!BC49:"&amp;"BE49,1,Bets!AB49)/INDEX(Bets!S49:U49,1,Bets!AB49),0),""0.0"")&amp;""× market)"",""❌ NO BET — price not good enough""),IF(Bets!AJ49=0,""❌ NO BET — stake under minimum"",IF(L51="""",IF(AND(Bets!AE49&gt;=6,Bets!AG49&gt;=0.15),""🟡 WAIT — long-shot review: odds ""&amp;TEXT"&amp;"(Bets!AE49,""0.00"")&amp;"" + edge ""&amp;TEXT(Bets!AG49,""0.0%"")&amp;"" — verify sharp-book + team news + stake comfort"",""🟡 WAIT — check team news first""),IF(L51=""N"",""🔴 SKIP — team news concern"",IF(L51=""Y"",""🟢 PLACE £""&amp;Bets!AJ49&amp;"" on ""&amp;Bets!AD49,"""""&amp;")))))))"),"❌ NO BET — price not good enough")</f>
        <v>❌ NO BET — price not good enough</v>
      </c>
      <c r="N51" s="101"/>
      <c r="O51" s="101"/>
      <c r="P51" s="96"/>
      <c r="Q51" s="102"/>
      <c r="R51" s="101" t="s">
        <v>111</v>
      </c>
      <c r="S51" s="100" t="str">
        <f>Bets!AU49</f>
        <v/>
      </c>
      <c r="T51" s="96"/>
      <c r="U51" s="103" t="str">
        <f t="shared" si="1"/>
        <v/>
      </c>
      <c r="V51" s="83"/>
      <c r="W51" s="83"/>
      <c r="X51" s="2"/>
      <c r="Y51" s="2"/>
      <c r="Z51" s="2"/>
    </row>
    <row r="52" ht="15.0" customHeight="1">
      <c r="A52" s="108">
        <f>Bets!A50</f>
        <v>49</v>
      </c>
      <c r="B52" s="109">
        <f>Bets!B50</f>
        <v>46197</v>
      </c>
      <c r="C52" s="107">
        <f>IF(Bets!H50="","TBC",Bets!H50)</f>
        <v>0.9583333333</v>
      </c>
      <c r="D52" s="100" t="str">
        <f>Bets!D50&amp;"  v  "&amp;Bets!E50</f>
        <v>Switzerland  v  Canada</v>
      </c>
      <c r="E52" s="96">
        <v>2.6</v>
      </c>
      <c r="F52" s="96">
        <v>3.1</v>
      </c>
      <c r="G52" s="96">
        <v>3.25</v>
      </c>
      <c r="H52" s="97" t="str">
        <f>Bets!AD50</f>
        <v>1  Switzerland</v>
      </c>
      <c r="I52" s="98" t="str">
        <f>Bets!AH50</f>
        <v>PASS</v>
      </c>
      <c r="J52" s="99">
        <f>Bets!AJ50</f>
        <v>0</v>
      </c>
      <c r="K52" s="100" t="str">
        <f>Bets!AT50</f>
        <v>Model ≈ market — edge 1.5% (need 2.5%+)</v>
      </c>
      <c r="L52" s="101"/>
      <c r="M52" s="97" t="str">
        <f>IFERROR(__xludf.DUMMYFUNCTION("IF(Bets!AH50=""·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pauses."")),IF(Bets!AH50&lt;&gt;""BET"",IF(OR(Bets!AF50&gt;Method!$B$87,IFERROR(INDEX(Bets!BC50:BE50,1,Bets!AB50)/INDEX(Bets!S50:U50,1,Bets!AB50),0)&gt;Method!$B$88),""🛑 NO BET — tail trap (EV ""&amp;TEXT(Bets!AF50,""0.0%"")&amp;"" / model ""&amp;TEXT(IFERROR(INDEX(Bets!BC50:"&amp;"BE50,1,Bets!AB50)/INDEX(Bets!S50:U50,1,Bets!AB50),0),""0.0"")&amp;""× market)"",""❌ NO BET — price not good enough""),IF(Bets!AJ50=0,""❌ NO BET — stake under minimum"",IF(L52="""",IF(AND(Bets!AE50&gt;=6,Bets!AG50&gt;=0.15),""🟡 WAIT — long-shot review: odds ""&amp;TEXT"&amp;"(Bets!AE50,""0.00"")&amp;"" + edge ""&amp;TEXT(Bets!AG50,""0.0%"")&amp;"" — verify sharp-book + team news + stake comfort"",""🟡 WAIT — check team news first""),IF(L52=""N"",""🔴 SKIP — team news concern"",IF(L52=""Y"",""🟢 PLACE £""&amp;Bets!AJ50&amp;"" on ""&amp;Bets!AD50,"""""&amp;")))))))"),"❌ NO BET — price not good enough")</f>
        <v>❌ NO BET — price not good enough</v>
      </c>
      <c r="N52" s="101"/>
      <c r="O52" s="101"/>
      <c r="P52" s="96"/>
      <c r="Q52" s="102"/>
      <c r="R52" s="101" t="s">
        <v>111</v>
      </c>
      <c r="S52" s="100" t="str">
        <f>Bets!AU50</f>
        <v/>
      </c>
      <c r="T52" s="96"/>
      <c r="U52" s="103" t="str">
        <f t="shared" si="1"/>
        <v/>
      </c>
      <c r="V52" s="83"/>
      <c r="W52" s="83"/>
      <c r="X52" s="2"/>
      <c r="Y52" s="2"/>
      <c r="Z52" s="2"/>
    </row>
    <row r="53" ht="15.0" customHeight="1">
      <c r="A53" s="108">
        <f>Bets!A51</f>
        <v>50</v>
      </c>
      <c r="B53" s="109">
        <f>Bets!B51</f>
        <v>46197</v>
      </c>
      <c r="C53" s="107">
        <f>IF(Bets!H51="","TBC",Bets!H51)</f>
        <v>0.9583333333</v>
      </c>
      <c r="D53" s="100" t="str">
        <f>Bets!D51&amp;"  v  "&amp;Bets!E51</f>
        <v>Bosnia and Herzegovina  v  Qatar</v>
      </c>
      <c r="E53" s="96">
        <v>1.45</v>
      </c>
      <c r="F53" s="96">
        <v>5.2</v>
      </c>
      <c r="G53" s="96">
        <v>8.0</v>
      </c>
      <c r="H53" s="97" t="str">
        <f>Bets!AD51</f>
        <v>2  Qatar</v>
      </c>
      <c r="I53" s="98" t="str">
        <f>Bets!AH51</f>
        <v>PASS</v>
      </c>
      <c r="J53" s="99">
        <f>Bets!AJ51</f>
        <v>0</v>
      </c>
      <c r="K53" s="100" t="str">
        <f>Bets!AT51</f>
        <v>🛑 Tail trap — auto-PASS · EV 48.1% (cap 30%) · model/market 2.4× (cap 2.5×)</v>
      </c>
      <c r="L53" s="101"/>
      <c r="M53" s="97" t="str">
        <f>IFERROR(__xludf.DUMMYFUNCTION("IF(Bets!AH51=""·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pauses."")),IF(Bets!AH51&lt;&gt;""BET"",IF(OR(Bets!AF51&gt;Method!$B$87,IFERROR(INDEX(Bets!BC51:BE51,1,Bets!AB51)/INDEX(Bets!S51:U51,1,Bets!AB51),0)&gt;Method!$B$88),""🛑 NO BET — tail trap (EV ""&amp;TEXT(Bets!AF51,""0.0%"")&amp;"" / model ""&amp;TEXT(IFERROR(INDEX(Bets!BC51:"&amp;"BE51,1,Bets!AB51)/INDEX(Bets!S51:U51,1,Bets!AB51),0),""0.0"")&amp;""× market)"",""❌ NO BET — price not good enough""),IF(Bets!AJ51=0,""❌ NO BET — stake under minimum"",IF(L53="""",IF(AND(Bets!AE51&gt;=6,Bets!AG51&gt;=0.15),""🟡 WAIT — long-shot review: odds ""&amp;TEXT"&amp;"(Bets!AE51,""0.00"")&amp;"" + edge ""&amp;TEXT(Bets!AG51,""0.0%"")&amp;"" — verify sharp-book + team news + stake comfort"",""🟡 WAIT — check team news first""),IF(L53=""N"",""🔴 SKIP — team news concern"",IF(L53=""Y"",""🟢 PLACE £""&amp;Bets!AJ51&amp;"" on ""&amp;Bets!AD51,"""""&amp;")))))))"),"🛑 NO BET — tail trap (EV 48.1% / model 2.4× market)")</f>
        <v>🛑 NO BET — tail trap (EV 48.1% / model 2.4× market)</v>
      </c>
      <c r="N53" s="101"/>
      <c r="O53" s="101"/>
      <c r="P53" s="96"/>
      <c r="Q53" s="102"/>
      <c r="R53" s="101" t="s">
        <v>111</v>
      </c>
      <c r="S53" s="100" t="str">
        <f>Bets!AU51</f>
        <v/>
      </c>
      <c r="T53" s="96"/>
      <c r="U53" s="103" t="str">
        <f t="shared" si="1"/>
        <v/>
      </c>
      <c r="V53" s="83"/>
      <c r="W53" s="83"/>
      <c r="X53" s="2"/>
      <c r="Y53" s="2"/>
      <c r="Z53" s="2"/>
    </row>
    <row r="54" ht="15.0" customHeight="1">
      <c r="A54" s="108">
        <f>Bets!A52</f>
        <v>51</v>
      </c>
      <c r="B54" s="109">
        <f>Bets!B52</f>
        <v>46197</v>
      </c>
      <c r="C54" s="107">
        <f>IF(Bets!H52="","TBC",Bets!H52)</f>
        <v>0.9583333333</v>
      </c>
      <c r="D54" s="100" t="str">
        <f>Bets!D52&amp;"  v  "&amp;Bets!E52</f>
        <v>Scotland  v  Brazil</v>
      </c>
      <c r="E54" s="96">
        <v>10.0</v>
      </c>
      <c r="F54" s="96">
        <v>5.5</v>
      </c>
      <c r="G54" s="96">
        <v>1.3</v>
      </c>
      <c r="H54" s="97" t="str">
        <f>Bets!AD52</f>
        <v>1  Scotland</v>
      </c>
      <c r="I54" s="98" t="str">
        <f>Bets!AH52</f>
        <v>PASS</v>
      </c>
      <c r="J54" s="99">
        <f>Bets!AJ52</f>
        <v>0</v>
      </c>
      <c r="K54" s="100" t="str">
        <f>Bets!AT52</f>
        <v>🛑 Tail trap — auto-PASS · EV 35.4% (cap 30%) · model/market 2.6× (cap 2.5×)</v>
      </c>
      <c r="L54" s="101" t="s">
        <v>445</v>
      </c>
      <c r="M54" s="97" t="str">
        <f>IFERROR(__xludf.DUMMYFUNCTION("IF(Bets!AH52=""·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pauses."")),IF(Bets!AH52&lt;&gt;""BET"",IF(OR(Bets!AF52&gt;Method!$B$87,IFERROR(INDEX(Bets!BC52:BE52,1,Bets!AB52)/INDEX(Bets!S52:U52,1,Bets!AB52),0)&gt;Method!$B$88),""🛑 NO BET — tail trap (EV ""&amp;TEXT(Bets!AF52,""0.0%"")&amp;"" / model ""&amp;TEXT(IFERROR(INDEX(Bets!BC52:"&amp;"BE52,1,Bets!AB52)/INDEX(Bets!S52:U52,1,Bets!AB52),0),""0.0"")&amp;""× market)"",""❌ NO BET — price not good enough""),IF(Bets!AJ52=0,""❌ NO BET — stake under minimum"",IF(L54="""",IF(AND(Bets!AE52&gt;=6,Bets!AG52&gt;=0.15),""🟡 WAIT — long-shot review: odds ""&amp;TEXT"&amp;"(Bets!AE52,""0.00"")&amp;"" + edge ""&amp;TEXT(Bets!AG52,""0.0%"")&amp;"" — verify sharp-book + team news + stake comfort"",""🟡 WAIT — check team news first""),IF(L54=""N"",""🔴 SKIP — team news concern"",IF(L54=""Y"",""🟢 PLACE £""&amp;Bets!AJ52&amp;"" on ""&amp;Bets!AD52,"""""&amp;")))))))"),"🛑 NO BET — tail trap (EV 35.4% / model 2.6× market)")</f>
        <v>🛑 NO BET — tail trap (EV 35.4% / model 2.6× market)</v>
      </c>
      <c r="N54" s="101" t="s">
        <v>445</v>
      </c>
      <c r="O54" s="101" t="s">
        <v>111</v>
      </c>
      <c r="P54" s="96">
        <v>7.5</v>
      </c>
      <c r="Q54" s="102">
        <v>7.5</v>
      </c>
      <c r="R54" s="101" t="s">
        <v>112</v>
      </c>
      <c r="S54" s="100" t="str">
        <f>Bets!AU52</f>
        <v>⚠ odds moved — re-check value</v>
      </c>
      <c r="T54" s="96"/>
      <c r="U54" s="103" t="str">
        <f t="shared" si="1"/>
        <v/>
      </c>
      <c r="V54" s="83"/>
      <c r="W54" s="83"/>
      <c r="X54" s="2"/>
      <c r="Y54" s="2"/>
      <c r="Z54" s="2"/>
    </row>
    <row r="55" ht="15.0" customHeight="1">
      <c r="A55" s="108">
        <f>Bets!A53</f>
        <v>52</v>
      </c>
      <c r="B55" s="109">
        <f>Bets!B53</f>
        <v>46197</v>
      </c>
      <c r="C55" s="107">
        <f>IF(Bets!H53="","TBC",Bets!H53)</f>
        <v>0.9583333333</v>
      </c>
      <c r="D55" s="100" t="str">
        <f>Bets!D53&amp;"  v  "&amp;Bets!E53</f>
        <v>Morocco  v  Haiti</v>
      </c>
      <c r="E55" s="96">
        <v>1.33</v>
      </c>
      <c r="F55" s="96">
        <v>5.5</v>
      </c>
      <c r="G55" s="96">
        <v>11.0</v>
      </c>
      <c r="H55" s="97" t="str">
        <f>Bets!AD53</f>
        <v>X  Draw</v>
      </c>
      <c r="I55" s="98" t="str">
        <f>Bets!AH53</f>
        <v>BET</v>
      </c>
      <c r="J55" s="99">
        <f>Bets!AJ53</f>
        <v>6</v>
      </c>
      <c r="K55" s="100" t="str">
        <f>Bets!AT53</f>
        <v>Value found: EV 10.8%, edge 2.7%</v>
      </c>
      <c r="L55" s="101" t="s">
        <v>445</v>
      </c>
      <c r="M55" s="97" t="str">
        <f>IFERROR(__xludf.DUMMYFUNCTION("IF(Bets!AH53=""·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pauses."")),IF(Bets!AH53&lt;&gt;""BET"",IF(OR(Bets!AF53&gt;Method!$B$87,IFERROR(INDEX(Bets!BC53:BE53,1,Bets!AB53)/INDEX(Bets!S53:U53,1,Bets!AB53),0)&gt;Method!$B$88),""🛑 NO BET — tail trap (EV ""&amp;TEXT(Bets!AF53,""0.0%"")&amp;"" / model ""&amp;TEXT(IFERROR(INDEX(Bets!BC53:"&amp;"BE53,1,Bets!AB53)/INDEX(Bets!S53:U53,1,Bets!AB53),0),""0.0"")&amp;""× market)"",""❌ NO BET — price not good enough""),IF(Bets!AJ53=0,""❌ NO BET — stake under minimum"",IF(L55="""",IF(AND(Bets!AE53&gt;=6,Bets!AG53&gt;=0.15),""🟡 WAIT — long-shot review: odds ""&amp;TEXT"&amp;"(Bets!AE53,""0.00"")&amp;"" + edge ""&amp;TEXT(Bets!AG53,""0.0%"")&amp;"" — verify sharp-book + team news + stake comfort"",""🟡 WAIT — check team news first""),IF(L55=""N"",""🔴 SKIP — team news concern"",IF(L55=""Y"",""🟢 PLACE £""&amp;Bets!AJ53&amp;"" on ""&amp;Bets!AD53,"""""&amp;")))))))"),"🟢 PLACE £6 on X  Draw")</f>
        <v>🟢 PLACE £6 on X  Draw</v>
      </c>
      <c r="N55" s="101"/>
      <c r="O55" s="101"/>
      <c r="P55" s="96"/>
      <c r="Q55" s="102"/>
      <c r="R55" s="101" t="s">
        <v>111</v>
      </c>
      <c r="S55" s="100" t="str">
        <f>Bets!AU53</f>
        <v/>
      </c>
      <c r="T55" s="96"/>
      <c r="U55" s="103" t="str">
        <f t="shared" si="1"/>
        <v/>
      </c>
      <c r="V55" s="83"/>
      <c r="W55" s="83"/>
      <c r="X55" s="2"/>
      <c r="Y55" s="2"/>
      <c r="Z55" s="2"/>
    </row>
    <row r="56" ht="15.0" customHeight="1">
      <c r="A56" s="108">
        <f>Bets!A54</f>
        <v>53</v>
      </c>
      <c r="B56" s="109">
        <f>Bets!B54</f>
        <v>46197</v>
      </c>
      <c r="C56" s="105" t="str">
        <f>IF(Bets!H54="","TBC",Bets!H54)</f>
        <v>04:00 +1d</v>
      </c>
      <c r="D56" s="100" t="str">
        <f>Bets!D54&amp;"  v  "&amp;Bets!E54</f>
        <v>Czechia  v  Mexico</v>
      </c>
      <c r="E56" s="96">
        <v>3.75</v>
      </c>
      <c r="F56" s="96">
        <v>3.8</v>
      </c>
      <c r="G56" s="96">
        <v>1.9</v>
      </c>
      <c r="H56" s="97" t="str">
        <f>Bets!AD54</f>
        <v>2  Mexico</v>
      </c>
      <c r="I56" s="98" t="str">
        <f>Bets!AH54</f>
        <v>BET</v>
      </c>
      <c r="J56" s="99">
        <f>Bets!AJ54</f>
        <v>12</v>
      </c>
      <c r="K56" s="100" t="str">
        <f>Bets!AT54</f>
        <v>Value found: EV 4.1%, edge 4.3%</v>
      </c>
      <c r="L56" s="101" t="s">
        <v>445</v>
      </c>
      <c r="M56" s="97" t="str">
        <f>IFERROR(__xludf.DUMMYFUNCTION("IF(Bets!AH54=""·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pauses."")),IF(Bets!AH54&lt;&gt;""BET"",IF(OR(Bets!AF54&gt;Method!$B$87,IFERROR(INDEX(Bets!BC54:BE54,1,Bets!AB54)/INDEX(Bets!S54:U54,1,Bets!AB54),0)&gt;Method!$B$88),""🛑 NO BET — tail trap (EV ""&amp;TEXT(Bets!AF54,""0.0%"")&amp;"" / model ""&amp;TEXT(IFERROR(INDEX(Bets!BC54:"&amp;"BE54,1,Bets!AB54)/INDEX(Bets!S54:U54,1,Bets!AB54),0),""0.0"")&amp;""× market)"",""❌ NO BET — price not good enough""),IF(Bets!AJ54=0,""❌ NO BET — stake under minimum"",IF(L56="""",IF(AND(Bets!AE54&gt;=6,Bets!AG54&gt;=0.15),""🟡 WAIT — long-shot review: odds ""&amp;TEXT"&amp;"(Bets!AE54,""0.00"")&amp;"" + edge ""&amp;TEXT(Bets!AG54,""0.0%"")&amp;"" — verify sharp-book + team news + stake comfort"",""🟡 WAIT — check team news first""),IF(L56=""N"",""🔴 SKIP — team news concern"",IF(L56=""Y"",""🟢 PLACE £""&amp;Bets!AJ54&amp;"" on ""&amp;Bets!AD54,"""""&amp;")))))))"),"🟢 PLACE £12 on 2  Mexico")</f>
        <v>🟢 PLACE £12 on 2  Mexico</v>
      </c>
      <c r="N56" s="101"/>
      <c r="O56" s="101"/>
      <c r="P56" s="96"/>
      <c r="Q56" s="102"/>
      <c r="R56" s="101" t="s">
        <v>112</v>
      </c>
      <c r="S56" s="100" t="str">
        <f>Bets!AU54</f>
        <v/>
      </c>
      <c r="T56" s="96"/>
      <c r="U56" s="103" t="str">
        <f t="shared" si="1"/>
        <v/>
      </c>
      <c r="V56" s="83"/>
      <c r="W56" s="83"/>
      <c r="X56" s="2"/>
      <c r="Y56" s="2"/>
      <c r="Z56" s="2"/>
    </row>
    <row r="57" ht="15.0" customHeight="1">
      <c r="A57" s="108">
        <f>Bets!A55</f>
        <v>54</v>
      </c>
      <c r="B57" s="109">
        <f>Bets!B55</f>
        <v>46197</v>
      </c>
      <c r="C57" s="105" t="str">
        <f>IF(Bets!H55="","TBC",Bets!H55)</f>
        <v>04:00 +1d</v>
      </c>
      <c r="D57" s="100" t="str">
        <f>Bets!D55&amp;"  v  "&amp;Bets!E55</f>
        <v>South Africa  v  South Korea</v>
      </c>
      <c r="E57" s="96">
        <v>5.8</v>
      </c>
      <c r="F57" s="96">
        <v>4.0</v>
      </c>
      <c r="G57" s="96">
        <v>1.61</v>
      </c>
      <c r="H57" s="97" t="str">
        <f>Bets!AD55</f>
        <v>X  Draw</v>
      </c>
      <c r="I57" s="98" t="str">
        <f>Bets!AH55</f>
        <v>PASS</v>
      </c>
      <c r="J57" s="99">
        <f>Bets!AJ55</f>
        <v>0</v>
      </c>
      <c r="K57" s="100" t="str">
        <f>Bets!AT55</f>
        <v>Price too short — EV -0.3% (need 2.5%+)</v>
      </c>
      <c r="L57" s="101" t="s">
        <v>445</v>
      </c>
      <c r="M57" s="97" t="str">
        <f>IFERROR(__xludf.DUMMYFUNCTION("IF(Bets!AH55=""·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pauses."")),IF(Bets!AH55&lt;&gt;""BET"",IF(OR(Bets!AF55&gt;Method!$B$87,IFERROR(INDEX(Bets!BC55:BE55,1,Bets!AB55)/INDEX(Bets!S55:U55,1,Bets!AB55),0)&gt;Method!$B$88),""🛑 NO BET — tail trap (EV ""&amp;TEXT(Bets!AF55,""0.0%"")&amp;"" / model ""&amp;TEXT(IFERROR(INDEX(Bets!BC55:"&amp;"BE55,1,Bets!AB55)/INDEX(Bets!S55:U55,1,Bets!AB55),0),""0.0"")&amp;""× market)"",""❌ NO BET — price not good enough""),IF(Bets!AJ55=0,""❌ NO BET — stake under minimum"",IF(L57="""",IF(AND(Bets!AE55&gt;=6,Bets!AG55&gt;=0.15),""🟡 WAIT — long-shot review: odds ""&amp;TEXT"&amp;"(Bets!AE55,""0.00"")&amp;"" + edge ""&amp;TEXT(Bets!AG55,""0.0%"")&amp;"" — verify sharp-book + team news + stake comfort"",""🟡 WAIT — check team news first""),IF(L57=""N"",""🔴 SKIP — team news concern"",IF(L57=""Y"",""🟢 PLACE £""&amp;Bets!AJ55&amp;"" on ""&amp;Bets!AD55,"""""&amp;")))))))"),"❌ NO BET — price not good enough")</f>
        <v>❌ NO BET — price not good enough</v>
      </c>
      <c r="N57" s="101"/>
      <c r="O57" s="101"/>
      <c r="P57" s="96"/>
      <c r="Q57" s="102"/>
      <c r="R57" s="101" t="s">
        <v>111</v>
      </c>
      <c r="S57" s="100" t="str">
        <f>Bets!AU55</f>
        <v/>
      </c>
      <c r="T57" s="96"/>
      <c r="U57" s="103" t="str">
        <f t="shared" si="1"/>
        <v/>
      </c>
      <c r="V57" s="83"/>
      <c r="W57" s="83"/>
      <c r="X57" s="2"/>
      <c r="Y57" s="2"/>
      <c r="Z57" s="2"/>
    </row>
    <row r="58" ht="15.0" customHeight="1">
      <c r="A58" s="108">
        <f>Bets!A56</f>
        <v>55</v>
      </c>
      <c r="B58" s="109">
        <f>Bets!B56</f>
        <v>46198</v>
      </c>
      <c r="C58" s="107">
        <f>IF(Bets!H56="","TBC",Bets!H56)</f>
        <v>0.875</v>
      </c>
      <c r="D58" s="100" t="str">
        <f>Bets!D56&amp;"  v  "&amp;Bets!E56</f>
        <v>Ecuador  v  Germany</v>
      </c>
      <c r="E58" s="96">
        <v>5.25</v>
      </c>
      <c r="F58" s="96">
        <v>4.75</v>
      </c>
      <c r="G58" s="96">
        <v>1.57</v>
      </c>
      <c r="H58" s="97" t="str">
        <f>Bets!AD56</f>
        <v>1  Ecuador</v>
      </c>
      <c r="I58" s="98" t="str">
        <f>Bets!AH56</f>
        <v>BET</v>
      </c>
      <c r="J58" s="99">
        <f>Bets!AJ56</f>
        <v>15</v>
      </c>
      <c r="K58" s="100" t="str">
        <f>Bets!AT56</f>
        <v>Value found: EV 24.7%, edge 5.8%</v>
      </c>
      <c r="L58" s="101" t="s">
        <v>445</v>
      </c>
      <c r="M58" s="97" t="str">
        <f>IFERROR(__xludf.DUMMYFUNCTION("IF(Bets!AH56=""·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pauses."")),IF(Bets!AH56&lt;&gt;""BET"",IF(OR(Bets!AF56&gt;Method!$B$87,IFERROR(INDEX(Bets!BC56:BE56,1,Bets!AB56)/INDEX(Bets!S56:U56,1,Bets!AB56),0)&gt;Method!$B$88),""🛑 NO BET — tail trap (EV ""&amp;TEXT(Bets!AF56,""0.0%"")&amp;"" / model ""&amp;TEXT(IFERROR(INDEX(Bets!BC56:"&amp;"BE56,1,Bets!AB56)/INDEX(Bets!S56:U56,1,Bets!AB56),0),""0.0"")&amp;""× market)"",""❌ NO BET — price not good enough""),IF(Bets!AJ56=0,""❌ NO BET — stake under minimum"",IF(L58="""",IF(AND(Bets!AE56&gt;=6,Bets!AG56&gt;=0.15),""🟡 WAIT — long-shot review: odds ""&amp;TEXT"&amp;"(Bets!AE56,""0.00"")&amp;"" + edge ""&amp;TEXT(Bets!AG56,""0.0%"")&amp;"" — verify sharp-book + team news + stake comfort"",""🟡 WAIT — check team news first""),IF(L58=""N"",""🔴 SKIP — team news concern"",IF(L58=""Y"",""🟢 PLACE £""&amp;Bets!AJ56&amp;"" on ""&amp;Bets!AD56,"""""&amp;")))))))"),"🟢 PLACE £15 on 1  Ecuador")</f>
        <v>🟢 PLACE £15 on 1  Ecuador</v>
      </c>
      <c r="N58" s="101"/>
      <c r="O58" s="101"/>
      <c r="P58" s="96"/>
      <c r="Q58" s="102"/>
      <c r="R58" s="101" t="s">
        <v>111</v>
      </c>
      <c r="S58" s="100" t="str">
        <f>Bets!AU56</f>
        <v/>
      </c>
      <c r="T58" s="96"/>
      <c r="U58" s="103" t="str">
        <f t="shared" si="1"/>
        <v/>
      </c>
      <c r="V58" s="83"/>
      <c r="W58" s="83"/>
      <c r="X58" s="2"/>
      <c r="Y58" s="2"/>
      <c r="Z58" s="2"/>
    </row>
    <row r="59" ht="15.0" customHeight="1">
      <c r="A59" s="108">
        <f>Bets!A57</f>
        <v>56</v>
      </c>
      <c r="B59" s="109">
        <f>Bets!B57</f>
        <v>46198</v>
      </c>
      <c r="C59" s="107">
        <f>IF(Bets!H57="","TBC",Bets!H57)</f>
        <v>0.875</v>
      </c>
      <c r="D59" s="100" t="str">
        <f>Bets!D57&amp;"  v  "&amp;Bets!E57</f>
        <v>Curacao  v  Ivory Coast</v>
      </c>
      <c r="E59" s="96">
        <v>13.0</v>
      </c>
      <c r="F59" s="96">
        <v>7.5</v>
      </c>
      <c r="G59" s="96">
        <v>1.18</v>
      </c>
      <c r="H59" s="97" t="str">
        <f>Bets!AD57</f>
        <v>X  Draw</v>
      </c>
      <c r="I59" s="98" t="str">
        <f>Bets!AH57</f>
        <v>BET</v>
      </c>
      <c r="J59" s="99">
        <f>Bets!AJ57</f>
        <v>10</v>
      </c>
      <c r="K59" s="100" t="str">
        <f>Bets!AT57</f>
        <v>Value found: EV 27.2%, edge 5.3%</v>
      </c>
      <c r="L59" s="101" t="s">
        <v>445</v>
      </c>
      <c r="M59" s="97" t="str">
        <f>IFERROR(__xludf.DUMMYFUNCTION("IF(Bets!AH57=""·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pauses."")),IF(Bets!AH57&lt;&gt;""BET"",IF(OR(Bets!AF57&gt;Method!$B$87,IFERROR(INDEX(Bets!BC57:BE57,1,Bets!AB57)/INDEX(Bets!S57:U57,1,Bets!AB57),0)&gt;Method!$B$88),""🛑 NO BET — tail trap (EV ""&amp;TEXT(Bets!AF57,""0.0%"")&amp;"" / model ""&amp;TEXT(IFERROR(INDEX(Bets!BC57:"&amp;"BE57,1,Bets!AB57)/INDEX(Bets!S57:U57,1,Bets!AB57),0),""0.0"")&amp;""× market)"",""❌ NO BET — price not good enough""),IF(Bets!AJ57=0,""❌ NO BET — stake under minimum"",IF(L59="""",IF(AND(Bets!AE57&gt;=6,Bets!AG57&gt;=0.15),""🟡 WAIT — long-shot review: odds ""&amp;TEXT"&amp;"(Bets!AE57,""0.00"")&amp;"" + edge ""&amp;TEXT(Bets!AG57,""0.0%"")&amp;"" — verify sharp-book + team news + stake comfort"",""🟡 WAIT — check team news first""),IF(L59=""N"",""🔴 SKIP — team news concern"",IF(L59=""Y"",""🟢 PLACE £""&amp;Bets!AJ57&amp;"" on ""&amp;Bets!AD57,"""""&amp;")))))))"),"🟢 PLACE £10 on X  Draw")</f>
        <v>🟢 PLACE £10 on X  Draw</v>
      </c>
      <c r="N59" s="101"/>
      <c r="O59" s="101"/>
      <c r="P59" s="96"/>
      <c r="Q59" s="102"/>
      <c r="R59" s="101" t="s">
        <v>112</v>
      </c>
      <c r="S59" s="100" t="str">
        <f>Bets!AU57</f>
        <v/>
      </c>
      <c r="T59" s="96"/>
      <c r="U59" s="103" t="str">
        <f t="shared" si="1"/>
        <v/>
      </c>
      <c r="V59" s="83"/>
      <c r="W59" s="83"/>
      <c r="X59" s="2"/>
      <c r="Y59" s="2"/>
      <c r="Z59" s="2"/>
    </row>
    <row r="60" ht="15.0" customHeight="1">
      <c r="A60" s="108">
        <f>Bets!A58</f>
        <v>57</v>
      </c>
      <c r="B60" s="109">
        <f>Bets!B58</f>
        <v>46198</v>
      </c>
      <c r="C60" s="105" t="str">
        <f>IF(Bets!H58="","TBC",Bets!H58)</f>
        <v>01:00 +1d</v>
      </c>
      <c r="D60" s="100" t="str">
        <f>Bets!D58&amp;"  v  "&amp;Bets!E58</f>
        <v>Japan  v  Sweden</v>
      </c>
      <c r="E60" s="96">
        <v>1.9</v>
      </c>
      <c r="F60" s="96">
        <v>3.4</v>
      </c>
      <c r="G60" s="96">
        <v>4.2</v>
      </c>
      <c r="H60" s="97" t="str">
        <f>Bets!AD58</f>
        <v>1  Japan</v>
      </c>
      <c r="I60" s="98" t="str">
        <f>Bets!AH58</f>
        <v>PASS</v>
      </c>
      <c r="J60" s="99">
        <f>Bets!AJ58</f>
        <v>0</v>
      </c>
      <c r="K60" s="100" t="str">
        <f>Bets!AT58</f>
        <v>Price too short — EV -2.1% (need 2.5%+)</v>
      </c>
      <c r="L60" s="101" t="s">
        <v>445</v>
      </c>
      <c r="M60" s="97" t="str">
        <f>IFERROR(__xludf.DUMMYFUNCTION("IF(Bets!AH58=""·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pauses."")),IF(Bets!AH58&lt;&gt;""BET"",IF(OR(Bets!AF58&gt;Method!$B$87,IFERROR(INDEX(Bets!BC58:BE58,1,Bets!AB58)/INDEX(Bets!S58:U58,1,Bets!AB58),0)&gt;Method!$B$88),""🛑 NO BET — tail trap (EV ""&amp;TEXT(Bets!AF58,""0.0%"")&amp;"" / model ""&amp;TEXT(IFERROR(INDEX(Bets!BC58:"&amp;"BE58,1,Bets!AB58)/INDEX(Bets!S58:U58,1,Bets!AB58),0),""0.0"")&amp;""× market)"",""❌ NO BET — price not good enough""),IF(Bets!AJ58=0,""❌ NO BET — stake under minimum"",IF(L60="""",IF(AND(Bets!AE58&gt;=6,Bets!AG58&gt;=0.15),""🟡 WAIT — long-shot review: odds ""&amp;TEXT"&amp;"(Bets!AE58,""0.00"")&amp;"" + edge ""&amp;TEXT(Bets!AG58,""0.0%"")&amp;"" — verify sharp-book + team news + stake comfort"",""🟡 WAIT — check team news first""),IF(L60=""N"",""🔴 SKIP — team news concern"",IF(L60=""Y"",""🟢 PLACE £""&amp;Bets!AJ58&amp;"" on ""&amp;Bets!AD58,"""""&amp;")))))))"),"❌ NO BET — price not good enough")</f>
        <v>❌ NO BET — price not good enough</v>
      </c>
      <c r="N60" s="101"/>
      <c r="O60" s="101"/>
      <c r="P60" s="96"/>
      <c r="Q60" s="102"/>
      <c r="R60" s="101" t="s">
        <v>113</v>
      </c>
      <c r="S60" s="100" t="str">
        <f>Bets!AU58</f>
        <v/>
      </c>
      <c r="T60" s="96"/>
      <c r="U60" s="103" t="str">
        <f t="shared" si="1"/>
        <v/>
      </c>
      <c r="V60" s="83"/>
      <c r="W60" s="83"/>
      <c r="X60" s="2"/>
      <c r="Y60" s="2"/>
      <c r="Z60" s="2"/>
    </row>
    <row r="61" ht="15.0" customHeight="1">
      <c r="A61" s="108">
        <f>Bets!A59</f>
        <v>58</v>
      </c>
      <c r="B61" s="109">
        <f>Bets!B59</f>
        <v>46198</v>
      </c>
      <c r="C61" s="105" t="str">
        <f>IF(Bets!H59="","TBC",Bets!H59)</f>
        <v>01:00 +1d</v>
      </c>
      <c r="D61" s="100" t="str">
        <f>Bets!D59&amp;"  v  "&amp;Bets!E59</f>
        <v>Tunisia  v  Netherlands</v>
      </c>
      <c r="E61" s="96">
        <v>21.0</v>
      </c>
      <c r="F61" s="96">
        <v>10.0</v>
      </c>
      <c r="G61" s="96">
        <v>1.1</v>
      </c>
      <c r="H61" s="97" t="str">
        <f>Bets!AD59</f>
        <v>X  Draw</v>
      </c>
      <c r="I61" s="98" t="str">
        <f>Bets!AH59</f>
        <v>PASS</v>
      </c>
      <c r="J61" s="99">
        <f>Bets!AJ59</f>
        <v>0</v>
      </c>
      <c r="K61" s="100" t="str">
        <f>Bets!AT59</f>
        <v>🛑 Tail trap — auto-PASS · EV 37.5% (cap 30%) · model/market 2.8× (cap 2.5×)</v>
      </c>
      <c r="L61" s="101" t="s">
        <v>445</v>
      </c>
      <c r="M61" s="97" t="str">
        <f>IFERROR(__xludf.DUMMYFUNCTION("IF(Bets!AH59=""·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pauses."")),IF(Bets!AH59&lt;&gt;""BET"",IF(OR(Bets!AF59&gt;Method!$B$87,IFERROR(INDEX(Bets!BC59:BE59,1,Bets!AB59)/INDEX(Bets!S59:U59,1,Bets!AB59),0)&gt;Method!$B$88),""🛑 NO BET — tail trap (EV ""&amp;TEXT(Bets!AF59,""0.0%"")&amp;"" / model ""&amp;TEXT(IFERROR(INDEX(Bets!BC59:"&amp;"BE59,1,Bets!AB59)/INDEX(Bets!S59:U59,1,Bets!AB59),0),""0.0"")&amp;""× market)"",""❌ NO BET — price not good enough""),IF(Bets!AJ59=0,""❌ NO BET — stake under minimum"",IF(L61="""",IF(AND(Bets!AE59&gt;=6,Bets!AG59&gt;=0.15),""🟡 WAIT — long-shot review: odds ""&amp;TEXT"&amp;"(Bets!AE59,""0.00"")&amp;"" + edge ""&amp;TEXT(Bets!AG59,""0.0%"")&amp;"" — verify sharp-book + team news + stake comfort"",""🟡 WAIT — check team news first""),IF(L61=""N"",""🔴 SKIP — team news concern"",IF(L61=""Y"",""🟢 PLACE £""&amp;Bets!AJ59&amp;"" on ""&amp;Bets!AD59,"""""&amp;")))))))"),"🛑 NO BET — tail trap (EV 37.5% / model 2.8× market)")</f>
        <v>🛑 NO BET — tail trap (EV 37.5% / model 2.8× market)</v>
      </c>
      <c r="N61" s="101"/>
      <c r="O61" s="101"/>
      <c r="P61" s="96"/>
      <c r="Q61" s="102"/>
      <c r="R61" s="101" t="s">
        <v>112</v>
      </c>
      <c r="S61" s="100" t="str">
        <f>Bets!AU59</f>
        <v/>
      </c>
      <c r="T61" s="96"/>
      <c r="U61" s="103" t="str">
        <f t="shared" si="1"/>
        <v/>
      </c>
      <c r="V61" s="83"/>
      <c r="W61" s="83"/>
      <c r="X61" s="2"/>
      <c r="Y61" s="2"/>
      <c r="Z61" s="2"/>
    </row>
    <row r="62" ht="15.0" customHeight="1">
      <c r="A62" s="108">
        <f>Bets!A60</f>
        <v>59</v>
      </c>
      <c r="B62" s="109">
        <f>Bets!B60</f>
        <v>46198</v>
      </c>
      <c r="C62" s="105" t="str">
        <f>IF(Bets!H60="","TBC",Bets!H60)</f>
        <v>06:00 +1d</v>
      </c>
      <c r="D62" s="100" t="str">
        <f>Bets!D60&amp;"  v  "&amp;Bets!E60</f>
        <v>Turkey  v  United States</v>
      </c>
      <c r="E62" s="96">
        <v>3.7</v>
      </c>
      <c r="F62" s="96">
        <v>4.0</v>
      </c>
      <c r="G62" s="96">
        <v>1.87</v>
      </c>
      <c r="H62" s="97" t="str">
        <f>Bets!AD60</f>
        <v>1  Turkey</v>
      </c>
      <c r="I62" s="98" t="str">
        <f>Bets!AH60</f>
        <v>BET</v>
      </c>
      <c r="J62" s="99">
        <f>Bets!AJ60</f>
        <v>19</v>
      </c>
      <c r="K62" s="100" t="str">
        <f>Bets!AT60</f>
        <v>Value found: EV 21.2%, edge 7.5%</v>
      </c>
      <c r="L62" s="101"/>
      <c r="M62" s="97" t="str">
        <f>IFERROR(__xludf.DUMMYFUNCTION("IF(Bets!AH60=""·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pauses."")),IF(Bets!AH60&lt;&gt;""BET"",IF(OR(Bets!AF60&gt;Method!$B$87,IFERROR(INDEX(Bets!BC60:BE60,1,Bets!AB60)/INDEX(Bets!S60:U60,1,Bets!AB60),0)&gt;Method!$B$88),""🛑 NO BET — tail trap (EV ""&amp;TEXT(Bets!AF60,""0.0%"")&amp;"" / model ""&amp;TEXT(IFERROR(INDEX(Bets!BC60:"&amp;"BE60,1,Bets!AB60)/INDEX(Bets!S60:U60,1,Bets!AB60),0),""0.0"")&amp;""× market)"",""❌ NO BET — price not good enough""),IF(Bets!AJ60=0,""❌ NO BET — stake under minimum"",IF(L62="""",IF(AND(Bets!AE60&gt;=6,Bets!AG60&gt;=0.15),""🟡 WAIT — long-shot review: odds ""&amp;TEXT"&amp;"(Bets!AE60,""0.00"")&amp;"" + edge ""&amp;TEXT(Bets!AG60,""0.0%"")&amp;"" — verify sharp-book + team news + stake comfort"",""🟡 WAIT — check team news first""),IF(L62=""N"",""🔴 SKIP — team news concern"",IF(L62=""Y"",""🟢 PLACE £""&amp;Bets!AJ60&amp;"" on ""&amp;Bets!AD60,"""""&amp;")))))))"),"🟡 WAIT — check team news first")</f>
        <v>🟡 WAIT — check team news first</v>
      </c>
      <c r="N62" s="101"/>
      <c r="O62" s="101"/>
      <c r="P62" s="96"/>
      <c r="Q62" s="102"/>
      <c r="R62" s="101" t="s">
        <v>111</v>
      </c>
      <c r="S62" s="100" t="str">
        <f>Bets!AU60</f>
        <v/>
      </c>
      <c r="T62" s="96"/>
      <c r="U62" s="103" t="str">
        <f t="shared" si="1"/>
        <v/>
      </c>
      <c r="V62" s="83"/>
      <c r="W62" s="83"/>
      <c r="X62" s="2"/>
      <c r="Y62" s="2"/>
      <c r="Z62" s="2"/>
    </row>
    <row r="63" ht="15.0" customHeight="1">
      <c r="A63" s="108">
        <f>Bets!A61</f>
        <v>60</v>
      </c>
      <c r="B63" s="109">
        <f>Bets!B61</f>
        <v>46198</v>
      </c>
      <c r="C63" s="105" t="str">
        <f>IF(Bets!H61="","TBC",Bets!H61)</f>
        <v>06:00 +1d</v>
      </c>
      <c r="D63" s="100" t="str">
        <f>Bets!D61&amp;"  v  "&amp;Bets!E61</f>
        <v>Paraguay  v  Australia</v>
      </c>
      <c r="E63" s="96">
        <v>2.55</v>
      </c>
      <c r="F63" s="96">
        <v>2.25</v>
      </c>
      <c r="G63" s="96">
        <v>4.33</v>
      </c>
      <c r="H63" s="97" t="str">
        <f>Bets!AD61</f>
        <v>2  Australia</v>
      </c>
      <c r="I63" s="98" t="str">
        <f>Bets!AH61</f>
        <v>BET</v>
      </c>
      <c r="J63" s="99">
        <f>Bets!AJ61</f>
        <v>12</v>
      </c>
      <c r="K63" s="100" t="str">
        <f>Bets!AT61</f>
        <v>Value found: EV 15.3%, edge 5.6%</v>
      </c>
      <c r="L63" s="101"/>
      <c r="M63" s="97" t="str">
        <f>IFERROR(__xludf.DUMMYFUNCTION("IF(Bets!AH61=""·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pauses."")),IF(Bets!AH61&lt;&gt;""BET"",IF(OR(Bets!AF61&gt;Method!$B$87,IFERROR(INDEX(Bets!BC61:BE61,1,Bets!AB61)/INDEX(Bets!S61:U61,1,Bets!AB61),0)&gt;Method!$B$88),""🛑 NO BET — tail trap (EV ""&amp;TEXT(Bets!AF61,""0.0%"")&amp;"" / model ""&amp;TEXT(IFERROR(INDEX(Bets!BC61:"&amp;"BE61,1,Bets!AB61)/INDEX(Bets!S61:U61,1,Bets!AB61),0),""0.0"")&amp;""× market)"",""❌ NO BET — price not good enough""),IF(Bets!AJ61=0,""❌ NO BET — stake under minimum"",IF(L63="""",IF(AND(Bets!AE61&gt;=6,Bets!AG61&gt;=0.15),""🟡 WAIT — long-shot review: odds ""&amp;TEXT"&amp;"(Bets!AE61,""0.00"")&amp;"" + edge ""&amp;TEXT(Bets!AG61,""0.0%"")&amp;"" — verify sharp-book + team news + stake comfort"",""🟡 WAIT — check team news first""),IF(L63=""N"",""🔴 SKIP — team news concern"",IF(L63=""Y"",""🟢 PLACE £""&amp;Bets!AJ61&amp;"" on ""&amp;Bets!AD61,"""""&amp;")))))))"),"🟡 WAIT — check team news first")</f>
        <v>🟡 WAIT — check team news first</v>
      </c>
      <c r="N63" s="101"/>
      <c r="O63" s="101"/>
      <c r="P63" s="96"/>
      <c r="Q63" s="102"/>
      <c r="R63" s="101" t="s">
        <v>113</v>
      </c>
      <c r="S63" s="100" t="str">
        <f>Bets!AU61</f>
        <v/>
      </c>
      <c r="T63" s="96"/>
      <c r="U63" s="103" t="str">
        <f t="shared" si="1"/>
        <v/>
      </c>
      <c r="V63" s="83"/>
      <c r="W63" s="83"/>
      <c r="X63" s="2"/>
      <c r="Y63" s="2"/>
      <c r="Z63" s="2"/>
    </row>
    <row r="64" ht="15.0" customHeight="1">
      <c r="A64" s="108">
        <f>Bets!A62</f>
        <v>61</v>
      </c>
      <c r="B64" s="109">
        <f>Bets!B62</f>
        <v>46199</v>
      </c>
      <c r="C64" s="107">
        <f>IF(Bets!H62="","TBC",Bets!H62)</f>
        <v>0.8333333333</v>
      </c>
      <c r="D64" s="100" t="str">
        <f>Bets!D62&amp;"  v  "&amp;Bets!E62</f>
        <v>Norway  v  France</v>
      </c>
      <c r="E64" s="96">
        <v>4.75</v>
      </c>
      <c r="F64" s="96">
        <v>4.75</v>
      </c>
      <c r="G64" s="96">
        <v>1.61</v>
      </c>
      <c r="H64" s="97" t="str">
        <f>Bets!AD62</f>
        <v>1  Norway</v>
      </c>
      <c r="I64" s="98" t="str">
        <f>Bets!AH62</f>
        <v>BET</v>
      </c>
      <c r="J64" s="99">
        <f>Bets!AJ62</f>
        <v>6</v>
      </c>
      <c r="K64" s="100" t="str">
        <f>Bets!AT62</f>
        <v>Value found: EV 8.9%, edge 3.1%</v>
      </c>
      <c r="L64" s="101"/>
      <c r="M64" s="97" t="str">
        <f>IFERROR(__xludf.DUMMYFUNCTION("IF(Bets!AH62=""·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pauses."")),IF(Bets!AH62&lt;&gt;""BET"",IF(OR(Bets!AF62&gt;Method!$B$87,IFERROR(INDEX(Bets!BC62:BE62,1,Bets!AB62)/INDEX(Bets!S62:U62,1,Bets!AB62),0)&gt;Method!$B$88),""🛑 NO BET — tail trap (EV ""&amp;TEXT(Bets!AF62,""0.0%"")&amp;"" / model ""&amp;TEXT(IFERROR(INDEX(Bets!BC62:"&amp;"BE62,1,Bets!AB62)/INDEX(Bets!S62:U62,1,Bets!AB62),0),""0.0"")&amp;""× market)"",""❌ NO BET — price not good enough""),IF(Bets!AJ62=0,""❌ NO BET — stake under minimum"",IF(L64="""",IF(AND(Bets!AE62&gt;=6,Bets!AG62&gt;=0.15),""🟡 WAIT — long-shot review: odds ""&amp;TEXT"&amp;"(Bets!AE62,""0.00"")&amp;"" + edge ""&amp;TEXT(Bets!AG62,""0.0%"")&amp;"" — verify sharp-book + team news + stake comfort"",""🟡 WAIT — check team news first""),IF(L64=""N"",""🔴 SKIP — team news concern"",IF(L64=""Y"",""🟢 PLACE £""&amp;Bets!AJ62&amp;"" on ""&amp;Bets!AD62,"""""&amp;")))))))"),"🟡 WAIT — check team news first")</f>
        <v>🟡 WAIT — check team news first</v>
      </c>
      <c r="N64" s="101"/>
      <c r="O64" s="101"/>
      <c r="P64" s="96"/>
      <c r="Q64" s="102"/>
      <c r="R64" s="101" t="s">
        <v>112</v>
      </c>
      <c r="S64" s="100" t="str">
        <f>Bets!AU62</f>
        <v/>
      </c>
      <c r="T64" s="96"/>
      <c r="U64" s="103" t="str">
        <f t="shared" si="1"/>
        <v/>
      </c>
      <c r="V64" s="83"/>
      <c r="W64" s="83"/>
      <c r="X64" s="2"/>
      <c r="Y64" s="2"/>
      <c r="Z64" s="2"/>
    </row>
    <row r="65" ht="15.0" customHeight="1">
      <c r="A65" s="108">
        <f>Bets!A63</f>
        <v>62</v>
      </c>
      <c r="B65" s="109">
        <f>Bets!B63</f>
        <v>46199</v>
      </c>
      <c r="C65" s="107">
        <f>IF(Bets!H63="","TBC",Bets!H63)</f>
        <v>0.8333333333</v>
      </c>
      <c r="D65" s="100" t="str">
        <f>Bets!D63&amp;"  v  "&amp;Bets!E63</f>
        <v>Senegal  v  Iraq</v>
      </c>
      <c r="E65" s="96">
        <v>1.22</v>
      </c>
      <c r="F65" s="96">
        <v>7.0</v>
      </c>
      <c r="G65" s="96">
        <v>12.0</v>
      </c>
      <c r="H65" s="97" t="str">
        <f>Bets!AD63</f>
        <v>2  Iraq</v>
      </c>
      <c r="I65" s="98" t="str">
        <f>Bets!AH63</f>
        <v>PASS</v>
      </c>
      <c r="J65" s="99">
        <f>Bets!AJ63</f>
        <v>0</v>
      </c>
      <c r="K65" s="100" t="str">
        <f>Bets!AT63</f>
        <v>🛑 Tail trap — auto-PASS · EV 31.1% (cap 30%) · model/market 2.5× (cap 2.5×)</v>
      </c>
      <c r="L65" s="101"/>
      <c r="M65" s="97" t="str">
        <f>IFERROR(__xludf.DUMMYFUNCTION("IF(Bets!AH63=""·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pauses."")),IF(Bets!AH63&lt;&gt;""BET"",IF(OR(Bets!AF63&gt;Method!$B$87,IFERROR(INDEX(Bets!BC63:BE63,1,Bets!AB63)/INDEX(Bets!S63:U63,1,Bets!AB63),0)&gt;Method!$B$88),""🛑 NO BET — tail trap (EV ""&amp;TEXT(Bets!AF63,""0.0%"")&amp;"" / model ""&amp;TEXT(IFERROR(INDEX(Bets!BC63:"&amp;"BE63,1,Bets!AB63)/INDEX(Bets!S63:U63,1,Bets!AB63),0),""0.0"")&amp;""× market)"",""❌ NO BET — price not good enough""),IF(Bets!AJ63=0,""❌ NO BET — stake under minimum"",IF(L65="""",IF(AND(Bets!AE63&gt;=6,Bets!AG63&gt;=0.15),""🟡 WAIT — long-shot review: odds ""&amp;TEXT"&amp;"(Bets!AE63,""0.00"")&amp;"" + edge ""&amp;TEXT(Bets!AG63,""0.0%"")&amp;"" — verify sharp-book + team news + stake comfort"",""🟡 WAIT — check team news first""),IF(L65=""N"",""🔴 SKIP — team news concern"",IF(L65=""Y"",""🟢 PLACE £""&amp;Bets!AJ63&amp;"" on ""&amp;Bets!AD63,"""""&amp;")))))))"),"🛑 NO BET — tail trap (EV 31.1% / model 2.5× market)")</f>
        <v>🛑 NO BET — tail trap (EV 31.1% / model 2.5× market)</v>
      </c>
      <c r="N65" s="101"/>
      <c r="O65" s="101"/>
      <c r="P65" s="96"/>
      <c r="Q65" s="102"/>
      <c r="R65" s="101" t="s">
        <v>111</v>
      </c>
      <c r="S65" s="100" t="str">
        <f>Bets!AU63</f>
        <v/>
      </c>
      <c r="T65" s="96"/>
      <c r="U65" s="103" t="str">
        <f t="shared" si="1"/>
        <v/>
      </c>
      <c r="V65" s="83"/>
      <c r="W65" s="83"/>
      <c r="X65" s="2"/>
      <c r="Y65" s="2"/>
      <c r="Z65" s="2"/>
    </row>
    <row r="66" ht="15.0" customHeight="1">
      <c r="A66" s="108">
        <f>Bets!A64</f>
        <v>63</v>
      </c>
      <c r="B66" s="109">
        <f>Bets!B64</f>
        <v>46199</v>
      </c>
      <c r="C66" s="105" t="str">
        <f>IF(Bets!H64="","TBC",Bets!H64)</f>
        <v>03:00 +1d</v>
      </c>
      <c r="D66" s="100" t="str">
        <f>Bets!D64&amp;"  v  "&amp;Bets!E64</f>
        <v>Uruguay  v  Spain</v>
      </c>
      <c r="E66" s="96">
        <v>6.5</v>
      </c>
      <c r="F66" s="96">
        <v>3.8</v>
      </c>
      <c r="G66" s="96">
        <v>1.61</v>
      </c>
      <c r="H66" s="97" t="str">
        <f>Bets!AD64</f>
        <v>2  Spain</v>
      </c>
      <c r="I66" s="98" t="str">
        <f>Bets!AH64</f>
        <v>BET</v>
      </c>
      <c r="J66" s="99">
        <f>Bets!AJ64</f>
        <v>17</v>
      </c>
      <c r="K66" s="100" t="str">
        <f>Bets!AT64</f>
        <v>Value found: EV 4.3%, edge 4.2%</v>
      </c>
      <c r="L66" s="101"/>
      <c r="M66" s="97" t="str">
        <f>IFERROR(__xludf.DUMMYFUNCTION("IF(Bets!AH64=""·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pauses."")),IF(Bets!AH64&lt;&gt;""BET"",IF(OR(Bets!AF64&gt;Method!$B$87,IFERROR(INDEX(Bets!BC64:BE64,1,Bets!AB64)/INDEX(Bets!S64:U64,1,Bets!AB64),0)&gt;Method!$B$88),""🛑 NO BET — tail trap (EV ""&amp;TEXT(Bets!AF64,""0.0%"")&amp;"" / model ""&amp;TEXT(IFERROR(INDEX(Bets!BC64:"&amp;"BE64,1,Bets!AB64)/INDEX(Bets!S64:U64,1,Bets!AB64),0),""0.0"")&amp;""× market)"",""❌ NO BET — price not good enough""),IF(Bets!AJ64=0,""❌ NO BET — stake under minimum"",IF(L66="""",IF(AND(Bets!AE64&gt;=6,Bets!AG64&gt;=0.15),""🟡 WAIT — long-shot review: odds ""&amp;TEXT"&amp;"(Bets!AE64,""0.00"")&amp;"" + edge ""&amp;TEXT(Bets!AG64,""0.0%"")&amp;"" — verify sharp-book + team news + stake comfort"",""🟡 WAIT — check team news first""),IF(L66=""N"",""🔴 SKIP — team news concern"",IF(L66=""Y"",""🟢 PLACE £""&amp;Bets!AJ64&amp;"" on ""&amp;Bets!AD64,"""""&amp;")))))))"),"🟡 WAIT — check team news first")</f>
        <v>🟡 WAIT — check team news first</v>
      </c>
      <c r="N66" s="101"/>
      <c r="O66" s="101"/>
      <c r="P66" s="96"/>
      <c r="Q66" s="102"/>
      <c r="R66" s="101" t="s">
        <v>112</v>
      </c>
      <c r="S66" s="100" t="str">
        <f>Bets!AU64</f>
        <v/>
      </c>
      <c r="T66" s="96"/>
      <c r="U66" s="103" t="str">
        <f t="shared" si="1"/>
        <v/>
      </c>
      <c r="V66" s="83"/>
      <c r="W66" s="83"/>
      <c r="X66" s="2"/>
      <c r="Y66" s="2"/>
      <c r="Z66" s="2"/>
    </row>
    <row r="67" ht="15.0" customHeight="1">
      <c r="A67" s="108">
        <f>Bets!A65</f>
        <v>64</v>
      </c>
      <c r="B67" s="109">
        <f>Bets!B65</f>
        <v>46199</v>
      </c>
      <c r="C67" s="105" t="str">
        <f>IF(Bets!H65="","TBC",Bets!H65)</f>
        <v>02:00 +1d</v>
      </c>
      <c r="D67" s="100" t="str">
        <f>Bets!D65&amp;"  v  "&amp;Bets!E65</f>
        <v>Cape Verde  v  Saudi Arabia</v>
      </c>
      <c r="E67" s="96">
        <v>2.62</v>
      </c>
      <c r="F67" s="96">
        <v>3.3</v>
      </c>
      <c r="G67" s="96">
        <v>2.7</v>
      </c>
      <c r="H67" s="97" t="str">
        <f>Bets!AD65</f>
        <v>2  Saudi Arabia</v>
      </c>
      <c r="I67" s="98" t="str">
        <f>Bets!AH65</f>
        <v>PASS</v>
      </c>
      <c r="J67" s="99">
        <f>Bets!AJ65</f>
        <v>0</v>
      </c>
      <c r="K67" s="100" t="str">
        <f>Bets!AT65</f>
        <v>Price too short — EV 0.5% (need 2.5%+)</v>
      </c>
      <c r="L67" s="101"/>
      <c r="M67" s="97" t="str">
        <f>IFERROR(__xludf.DUMMYFUNCTION("IF(Bets!AH65=""·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pauses."")),IF(Bets!AH65&lt;&gt;""BET"",IF(OR(Bets!AF65&gt;Method!$B$87,IFERROR(INDEX(Bets!BC65:BE65,1,Bets!AB65)/INDEX(Bets!S65:U65,1,Bets!AB65),0)&gt;Method!$B$88),""🛑 NO BET — tail trap (EV ""&amp;TEXT(Bets!AF65,""0.0%"")&amp;"" / model ""&amp;TEXT(IFERROR(INDEX(Bets!BC65:"&amp;"BE65,1,Bets!AB65)/INDEX(Bets!S65:U65,1,Bets!AB65),0),""0.0"")&amp;""× market)"",""❌ NO BET — price not good enough""),IF(Bets!AJ65=0,""❌ NO BET — stake under minimum"",IF(L67="""",IF(AND(Bets!AE65&gt;=6,Bets!AG65&gt;=0.15),""🟡 WAIT — long-shot review: odds ""&amp;TEXT"&amp;"(Bets!AE65,""0.00"")&amp;"" + edge ""&amp;TEXT(Bets!AG65,""0.0%"")&amp;"" — verify sharp-book + team news + stake comfort"",""🟡 WAIT — check team news first""),IF(L67=""N"",""🔴 SKIP — team news concern"",IF(L67=""Y"",""🟢 PLACE £""&amp;Bets!AJ65&amp;"" on ""&amp;Bets!AD65,"""""&amp;")))))))"),"❌ NO BET — price not good enough")</f>
        <v>❌ NO BET — price not good enough</v>
      </c>
      <c r="N67" s="101"/>
      <c r="O67" s="101"/>
      <c r="P67" s="96"/>
      <c r="Q67" s="102"/>
      <c r="R67" s="101" t="s">
        <v>113</v>
      </c>
      <c r="S67" s="100" t="str">
        <f>Bets!AU65</f>
        <v/>
      </c>
      <c r="T67" s="96"/>
      <c r="U67" s="103" t="str">
        <f t="shared" si="1"/>
        <v/>
      </c>
      <c r="V67" s="83"/>
      <c r="W67" s="83"/>
      <c r="X67" s="2"/>
      <c r="Y67" s="2"/>
      <c r="Z67" s="2"/>
    </row>
    <row r="68" ht="15.0" customHeight="1">
      <c r="A68" s="108">
        <f>Bets!A66</f>
        <v>65</v>
      </c>
      <c r="B68" s="109">
        <f>Bets!B66</f>
        <v>46199</v>
      </c>
      <c r="C68" s="105" t="str">
        <f>IF(Bets!H66="","TBC",Bets!H66)</f>
        <v>07:00 +1d</v>
      </c>
      <c r="D68" s="100" t="str">
        <f>Bets!D66&amp;"  v  "&amp;Bets!E66</f>
        <v>Egypt  v  Iran</v>
      </c>
      <c r="E68" s="96">
        <v>2.5</v>
      </c>
      <c r="F68" s="96">
        <v>2.75</v>
      </c>
      <c r="G68" s="96">
        <v>3.75</v>
      </c>
      <c r="H68" s="97" t="str">
        <f>Bets!AD66</f>
        <v>2  Iran</v>
      </c>
      <c r="I68" s="98" t="str">
        <f>Bets!AH66</f>
        <v>BET</v>
      </c>
      <c r="J68" s="99">
        <f>Bets!AJ66</f>
        <v>17</v>
      </c>
      <c r="K68" s="100" t="str">
        <f>Bets!AT66</f>
        <v>Value found: EV 20.0%, edge 6.3%</v>
      </c>
      <c r="L68" s="101"/>
      <c r="M68" s="97" t="str">
        <f>IFERROR(__xludf.DUMMYFUNCTION("IF(Bets!AH66=""·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pauses."")),IF(Bets!AH66&lt;&gt;""BET"",IF(OR(Bets!AF66&gt;Method!$B$87,IFERROR(INDEX(Bets!BC66:BE66,1,Bets!AB66)/INDEX(Bets!S66:U66,1,Bets!AB66),0)&gt;Method!$B$88),""🛑 NO BET — tail trap (EV ""&amp;TEXT(Bets!AF66,""0.0%"")&amp;"" / model ""&amp;TEXT(IFERROR(INDEX(Bets!BC66:"&amp;"BE66,1,Bets!AB66)/INDEX(Bets!S66:U66,1,Bets!AB66),0),""0.0"")&amp;""× market)"",""❌ NO BET — price not good enough""),IF(Bets!AJ66=0,""❌ NO BET — stake under minimum"",IF(L68="""",IF(AND(Bets!AE66&gt;=6,Bets!AG66&gt;=0.15),""🟡 WAIT — long-shot review: odds ""&amp;TEXT"&amp;"(Bets!AE66,""0.00"")&amp;"" + edge ""&amp;TEXT(Bets!AG66,""0.0%"")&amp;"" — verify sharp-book + team news + stake comfort"",""🟡 WAIT — check team news first""),IF(L68=""N"",""🔴 SKIP — team news concern"",IF(L68=""Y"",""🟢 PLACE £""&amp;Bets!AJ66&amp;"" on ""&amp;Bets!AD66,"""""&amp;")))))))"),"🟡 WAIT — check team news first")</f>
        <v>🟡 WAIT — check team news first</v>
      </c>
      <c r="N68" s="101"/>
      <c r="O68" s="101"/>
      <c r="P68" s="96"/>
      <c r="Q68" s="102"/>
      <c r="R68" s="101" t="s">
        <v>113</v>
      </c>
      <c r="S68" s="100" t="str">
        <f>Bets!AU66</f>
        <v/>
      </c>
      <c r="T68" s="96"/>
      <c r="U68" s="103" t="str">
        <f t="shared" si="1"/>
        <v/>
      </c>
      <c r="V68" s="83"/>
      <c r="W68" s="83"/>
      <c r="X68" s="2"/>
      <c r="Y68" s="2"/>
      <c r="Z68" s="2"/>
    </row>
    <row r="69" ht="15.0" customHeight="1">
      <c r="A69" s="108">
        <f>Bets!A67</f>
        <v>66</v>
      </c>
      <c r="B69" s="109">
        <f>Bets!B67</f>
        <v>46199</v>
      </c>
      <c r="C69" s="105" t="str">
        <f>IF(Bets!H67="","TBC",Bets!H67)</f>
        <v>07:00 +1d</v>
      </c>
      <c r="D69" s="100" t="str">
        <f>Bets!D67&amp;"  v  "&amp;Bets!E67</f>
        <v>New Zealand  v  Belgium</v>
      </c>
      <c r="E69" s="96">
        <v>15.0</v>
      </c>
      <c r="F69" s="96">
        <v>8.0</v>
      </c>
      <c r="G69" s="96">
        <v>1.18</v>
      </c>
      <c r="H69" s="97" t="str">
        <f>Bets!AD67</f>
        <v>X  Draw</v>
      </c>
      <c r="I69" s="98" t="str">
        <f>Bets!AH67</f>
        <v>PASS</v>
      </c>
      <c r="J69" s="99">
        <f>Bets!AJ67</f>
        <v>0</v>
      </c>
      <c r="K69" s="100" t="str">
        <f>Bets!AT67</f>
        <v>🛑 Tail trap — auto-PASS · EV 34.0% (cap 30%) · model/market 2.3× (cap 2.5×)</v>
      </c>
      <c r="L69" s="101"/>
      <c r="M69" s="97" t="str">
        <f>IFERROR(__xludf.DUMMYFUNCTION("IF(Bets!AH67=""·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pauses."")),IF(Bets!AH67&lt;&gt;""BET"",IF(OR(Bets!AF67&gt;Method!$B$87,IFERROR(INDEX(Bets!BC67:BE67,1,Bets!AB67)/INDEX(Bets!S67:U67,1,Bets!AB67),0)&gt;Method!$B$88),""🛑 NO BET — tail trap (EV ""&amp;TEXT(Bets!AF67,""0.0%"")&amp;"" / model ""&amp;TEXT(IFERROR(INDEX(Bets!BC67:"&amp;"BE67,1,Bets!AB67)/INDEX(Bets!S67:U67,1,Bets!AB67),0),""0.0"")&amp;""× market)"",""❌ NO BET — price not good enough""),IF(Bets!AJ67=0,""❌ NO BET — stake under minimum"",IF(L69="""",IF(AND(Bets!AE67&gt;=6,Bets!AG67&gt;=0.15),""🟡 WAIT — long-shot review: odds ""&amp;TEXT"&amp;"(Bets!AE67,""0.00"")&amp;"" + edge ""&amp;TEXT(Bets!AG67,""0.0%"")&amp;"" — verify sharp-book + team news + stake comfort"",""🟡 WAIT — check team news first""),IF(L69=""N"",""🔴 SKIP — team news concern"",IF(L69=""Y"",""🟢 PLACE £""&amp;Bets!AJ67&amp;"" on ""&amp;Bets!AD67,"""""&amp;")))))))"),"🛑 NO BET — tail trap (EV 34.0% / model 2.3× market)")</f>
        <v>🛑 NO BET — tail trap (EV 34.0% / model 2.3× market)</v>
      </c>
      <c r="N69" s="101"/>
      <c r="O69" s="101"/>
      <c r="P69" s="96"/>
      <c r="Q69" s="102"/>
      <c r="R69" s="101" t="s">
        <v>112</v>
      </c>
      <c r="S69" s="100" t="str">
        <f>Bets!AU67</f>
        <v/>
      </c>
      <c r="T69" s="96"/>
      <c r="U69" s="103" t="str">
        <f t="shared" si="1"/>
        <v/>
      </c>
      <c r="V69" s="83"/>
      <c r="W69" s="83"/>
      <c r="X69" s="2"/>
      <c r="Y69" s="2"/>
      <c r="Z69" s="2"/>
    </row>
    <row r="70" ht="15.0" customHeight="1">
      <c r="A70" s="108">
        <f>Bets!A68</f>
        <v>67</v>
      </c>
      <c r="B70" s="109">
        <f>Bets!B68</f>
        <v>46200</v>
      </c>
      <c r="C70" s="107">
        <f>IF(Bets!H68="","TBC",Bets!H68)</f>
        <v>0.9166666667</v>
      </c>
      <c r="D70" s="100" t="str">
        <f>Bets!D68&amp;"  v  "&amp;Bets!E68</f>
        <v>Panama  v  England</v>
      </c>
      <c r="E70" s="96">
        <v>17.0</v>
      </c>
      <c r="F70" s="96">
        <v>8.0</v>
      </c>
      <c r="G70" s="96">
        <v>1.16</v>
      </c>
      <c r="H70" s="97" t="str">
        <f>Bets!AD68</f>
        <v>X  Draw</v>
      </c>
      <c r="I70" s="98" t="str">
        <f>Bets!AH68</f>
        <v>BET</v>
      </c>
      <c r="J70" s="99">
        <f>Bets!AJ68</f>
        <v>7</v>
      </c>
      <c r="K70" s="100" t="str">
        <f>Bets!AT68</f>
        <v>Value found: EV 19.1%, edge 3.7%</v>
      </c>
      <c r="L70" s="101"/>
      <c r="M70" s="97" t="str">
        <f>IFERROR(__xludf.DUMMYFUNCTION("IF(Bets!AH68=""·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pauses."")),IF(Bets!AH68&lt;&gt;""BET"",IF(OR(Bets!AF68&gt;Method!$B$87,IFERROR(INDEX(Bets!BC68:BE68,1,Bets!AB68)/INDEX(Bets!S68:U68,1,Bets!AB68),0)&gt;Method!$B$88),""🛑 NO BET — tail trap (EV ""&amp;TEXT(Bets!AF68,""0.0%"")&amp;"" / model ""&amp;TEXT(IFERROR(INDEX(Bets!BC68:"&amp;"BE68,1,Bets!AB68)/INDEX(Bets!S68:U68,1,Bets!AB68),0),""0.0"")&amp;""× market)"",""❌ NO BET — price not good enough""),IF(Bets!AJ68=0,""❌ NO BET — stake under minimum"",IF(L70="""",IF(AND(Bets!AE68&gt;=6,Bets!AG68&gt;=0.15),""🟡 WAIT — long-shot review: odds ""&amp;TEXT"&amp;"(Bets!AE68,""0.00"")&amp;"" + edge ""&amp;TEXT(Bets!AG68,""0.0%"")&amp;"" — verify sharp-book + team news + stake comfort"",""🟡 WAIT — check team news first""),IF(L70=""N"",""🔴 SKIP — team news concern"",IF(L70=""Y"",""🟢 PLACE £""&amp;Bets!AJ68&amp;"" on ""&amp;Bets!AD68,"""""&amp;")))))))"),"🟡 WAIT — check team news first")</f>
        <v>🟡 WAIT — check team news first</v>
      </c>
      <c r="N70" s="101"/>
      <c r="O70" s="101"/>
      <c r="P70" s="96"/>
      <c r="Q70" s="102"/>
      <c r="R70" s="101" t="s">
        <v>112</v>
      </c>
      <c r="S70" s="100" t="str">
        <f>Bets!AU68</f>
        <v/>
      </c>
      <c r="T70" s="96"/>
      <c r="U70" s="103" t="str">
        <f t="shared" si="1"/>
        <v/>
      </c>
      <c r="V70" s="83"/>
      <c r="W70" s="83"/>
      <c r="X70" s="2"/>
      <c r="Y70" s="2"/>
      <c r="Z70" s="2"/>
    </row>
    <row r="71" ht="15.0" customHeight="1">
      <c r="A71" s="108">
        <f>Bets!A69</f>
        <v>68</v>
      </c>
      <c r="B71" s="109">
        <f>Bets!B69</f>
        <v>46200</v>
      </c>
      <c r="C71" s="107">
        <f>IF(Bets!H69="","TBC",Bets!H69)</f>
        <v>0.9166666667</v>
      </c>
      <c r="D71" s="100" t="str">
        <f>Bets!D69&amp;"  v  "&amp;Bets!E69</f>
        <v>Croatia  v  Ghana</v>
      </c>
      <c r="E71" s="96">
        <v>1.75</v>
      </c>
      <c r="F71" s="96">
        <v>3.3</v>
      </c>
      <c r="G71" s="96">
        <v>5.8</v>
      </c>
      <c r="H71" s="97" t="str">
        <f>Bets!AD69</f>
        <v>1  Croatia</v>
      </c>
      <c r="I71" s="98" t="str">
        <f>Bets!AH69</f>
        <v>PASS</v>
      </c>
      <c r="J71" s="99">
        <f>Bets!AJ69</f>
        <v>0</v>
      </c>
      <c r="K71" s="100" t="str">
        <f>Bets!AT69</f>
        <v>Price too short — EV 0.8% (need 2.5%+)</v>
      </c>
      <c r="L71" s="101"/>
      <c r="M71" s="97" t="str">
        <f>IFERROR(__xludf.DUMMYFUNCTION("IF(Bets!AH69=""·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pauses."")),IF(Bets!AH69&lt;&gt;""BET"",IF(OR(Bets!AF69&gt;Method!$B$87,IFERROR(INDEX(Bets!BC69:BE69,1,Bets!AB69)/INDEX(Bets!S69:U69,1,Bets!AB69),0)&gt;Method!$B$88),""🛑 NO BET — tail trap (EV ""&amp;TEXT(Bets!AF69,""0.0%"")&amp;"" / model ""&amp;TEXT(IFERROR(INDEX(Bets!BC69:"&amp;"BE69,1,Bets!AB69)/INDEX(Bets!S69:U69,1,Bets!AB69),0),""0.0"")&amp;""× market)"",""❌ NO BET — price not good enough""),IF(Bets!AJ69=0,""❌ NO BET — stake under minimum"",IF(L71="""",IF(AND(Bets!AE69&gt;=6,Bets!AG69&gt;=0.15),""🟡 WAIT — long-shot review: odds ""&amp;TEXT"&amp;"(Bets!AE69,""0.00"")&amp;"" + edge ""&amp;TEXT(Bets!AG69,""0.0%"")&amp;"" — verify sharp-book + team news + stake comfort"",""🟡 WAIT — check team news first""),IF(L71=""N"",""🔴 SKIP — team news concern"",IF(L71=""Y"",""🟢 PLACE £""&amp;Bets!AJ69&amp;"" on ""&amp;Bets!AD69,"""""&amp;")))))))"),"❌ NO BET — price not good enough")</f>
        <v>❌ NO BET — price not good enough</v>
      </c>
      <c r="N71" s="101"/>
      <c r="O71" s="101"/>
      <c r="P71" s="96"/>
      <c r="Q71" s="102"/>
      <c r="R71" s="101" t="s">
        <v>111</v>
      </c>
      <c r="S71" s="100" t="str">
        <f>Bets!AU69</f>
        <v/>
      </c>
      <c r="T71" s="96"/>
      <c r="U71" s="103" t="str">
        <f t="shared" si="1"/>
        <v/>
      </c>
      <c r="V71" s="83"/>
      <c r="W71" s="83"/>
      <c r="X71" s="2"/>
      <c r="Y71" s="2"/>
      <c r="Z71" s="2"/>
    </row>
    <row r="72" ht="15.0" customHeight="1">
      <c r="A72" s="108">
        <f>Bets!A70</f>
        <v>69</v>
      </c>
      <c r="B72" s="109">
        <f>Bets!B70</f>
        <v>46200</v>
      </c>
      <c r="C72" s="105" t="str">
        <f>IF(Bets!H70="","TBC",Bets!H70)</f>
        <v>00:30 +1d</v>
      </c>
      <c r="D72" s="100" t="str">
        <f>Bets!D70&amp;"  v  "&amp;Bets!E70</f>
        <v>Colombia  v  Portugal</v>
      </c>
      <c r="E72" s="96">
        <v>3.5</v>
      </c>
      <c r="F72" s="96">
        <v>3.8</v>
      </c>
      <c r="G72" s="96">
        <v>2.0</v>
      </c>
      <c r="H72" s="97" t="str">
        <f>Bets!AD70</f>
        <v>1  Colombia</v>
      </c>
      <c r="I72" s="98" t="str">
        <f>Bets!AH70</f>
        <v>BET</v>
      </c>
      <c r="J72" s="99">
        <f>Bets!AJ70</f>
        <v>14</v>
      </c>
      <c r="K72" s="100" t="str">
        <f>Bets!AT70</f>
        <v>Value found: EV 13.5%, edge 5.4%</v>
      </c>
      <c r="L72" s="101" t="s">
        <v>445</v>
      </c>
      <c r="M72" s="97" t="str">
        <f>IFERROR(__xludf.DUMMYFUNCTION("IF(Bets!AH70=""·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pauses."")),IF(Bets!AH70&lt;&gt;""BET"",IF(OR(Bets!AF70&gt;Method!$B$87,IFERROR(INDEX(Bets!BC70:BE70,1,Bets!AB70)/INDEX(Bets!S70:U70,1,Bets!AB70),0)&gt;Method!$B$88),""🛑 NO BET — tail trap (EV ""&amp;TEXT(Bets!AF70,""0.0%"")&amp;"" / model ""&amp;TEXT(IFERROR(INDEX(Bets!BC70:"&amp;"BE70,1,Bets!AB70)/INDEX(Bets!S70:U70,1,Bets!AB70),0),""0.0"")&amp;""× market)"",""❌ NO BET — price not good enough""),IF(Bets!AJ70=0,""❌ NO BET — stake under minimum"",IF(L72="""",IF(AND(Bets!AE70&gt;=6,Bets!AG70&gt;=0.15),""🟡 WAIT — long-shot review: odds ""&amp;TEXT"&amp;"(Bets!AE70,""0.00"")&amp;"" + edge ""&amp;TEXT(Bets!AG70,""0.0%"")&amp;"" — verify sharp-book + team news + stake comfort"",""🟡 WAIT — check team news first""),IF(L72=""N"",""🔴 SKIP — team news concern"",IF(L72=""Y"",""🟢 PLACE £""&amp;Bets!AJ70&amp;"" on ""&amp;Bets!AD70,"""""&amp;")))))))"),"🟢 PLACE £14 on 1  Colombia")</f>
        <v>🟢 PLACE £14 on 1  Colombia</v>
      </c>
      <c r="N72" s="101" t="s">
        <v>445</v>
      </c>
      <c r="O72" s="101" t="s">
        <v>111</v>
      </c>
      <c r="P72" s="96">
        <v>4.2</v>
      </c>
      <c r="Q72" s="102">
        <v>15.0</v>
      </c>
      <c r="R72" s="101" t="s">
        <v>113</v>
      </c>
      <c r="S72" s="100" t="str">
        <f>Bets!AU70</f>
        <v>⚠ odds moved — re-check value</v>
      </c>
      <c r="T72" s="96"/>
      <c r="U72" s="103" t="str">
        <f t="shared" si="1"/>
        <v/>
      </c>
      <c r="V72" s="83"/>
      <c r="W72" s="83"/>
      <c r="X72" s="2"/>
      <c r="Y72" s="2"/>
      <c r="Z72" s="2"/>
    </row>
    <row r="73" ht="15.0" customHeight="1">
      <c r="A73" s="108">
        <f>Bets!A71</f>
        <v>70</v>
      </c>
      <c r="B73" s="109">
        <f>Bets!B71</f>
        <v>46200</v>
      </c>
      <c r="C73" s="105" t="str">
        <f>IF(Bets!H71="","TBC",Bets!H71)</f>
        <v>00:30 +1d</v>
      </c>
      <c r="D73" s="100" t="str">
        <f>Bets!D71&amp;"  v  "&amp;Bets!E71</f>
        <v>DR Congo  v  Uzbekistan</v>
      </c>
      <c r="E73" s="96">
        <v>1.66</v>
      </c>
      <c r="F73" s="96">
        <v>4.0</v>
      </c>
      <c r="G73" s="96">
        <v>5.0</v>
      </c>
      <c r="H73" s="97" t="str">
        <f>Bets!AD71</f>
        <v>2  Uzbekistan</v>
      </c>
      <c r="I73" s="98" t="str">
        <f>Bets!AH71</f>
        <v>PASS</v>
      </c>
      <c r="J73" s="99">
        <f>Bets!AJ71</f>
        <v>0</v>
      </c>
      <c r="K73" s="100" t="str">
        <f>Bets!AT71</f>
        <v>🛑 Tail trap — auto-PASS · EV 34.3% (cap 30%) · model/market 2.3× (cap 2.5×)</v>
      </c>
      <c r="L73" s="101" t="s">
        <v>445</v>
      </c>
      <c r="M73" s="97" t="str">
        <f>IFERROR(__xludf.DUMMYFUNCTION("IF(Bets!AH71=""·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pauses."")),IF(Bets!AH71&lt;&gt;""BET"",IF(OR(Bets!AF71&gt;Method!$B$87,IFERROR(INDEX(Bets!BC71:BE71,1,Bets!AB71)/INDEX(Bets!S71:U71,1,Bets!AB71),0)&gt;Method!$B$88),""🛑 NO BET — tail trap (EV ""&amp;TEXT(Bets!AF71,""0.0%"")&amp;"" / model ""&amp;TEXT(IFERROR(INDEX(Bets!BC71:"&amp;"BE71,1,Bets!AB71)/INDEX(Bets!S71:U71,1,Bets!AB71),0),""0.0"")&amp;""× market)"",""❌ NO BET — price not good enough""),IF(Bets!AJ71=0,""❌ NO BET — stake under minimum"",IF(L73="""",IF(AND(Bets!AE71&gt;=6,Bets!AG71&gt;=0.15),""🟡 WAIT — long-shot review: odds ""&amp;TEXT"&amp;"(Bets!AE71,""0.00"")&amp;"" + edge ""&amp;TEXT(Bets!AG71,""0.0%"")&amp;"" — verify sharp-book + team news + stake comfort"",""🟡 WAIT — check team news first""),IF(L73=""N"",""🔴 SKIP — team news concern"",IF(L73=""Y"",""🟢 PLACE £""&amp;Bets!AJ71&amp;"" on ""&amp;Bets!AD71,"""""&amp;")))))))"),"🛑 NO BET — tail trap (EV 34.3% / model 2.3× market)")</f>
        <v>🛑 NO BET — tail trap (EV 34.3% / model 2.3× market)</v>
      </c>
      <c r="N73" s="101" t="s">
        <v>445</v>
      </c>
      <c r="O73" s="101" t="s">
        <v>112</v>
      </c>
      <c r="P73" s="96">
        <v>5.0</v>
      </c>
      <c r="Q73" s="102">
        <v>16.0</v>
      </c>
      <c r="R73" s="101" t="s">
        <v>111</v>
      </c>
      <c r="S73" s="100" t="str">
        <f>Bets!AU71</f>
        <v>✓ engine bet</v>
      </c>
      <c r="T73" s="96"/>
      <c r="U73" s="103" t="str">
        <f t="shared" si="1"/>
        <v/>
      </c>
      <c r="V73" s="83"/>
      <c r="W73" s="83"/>
      <c r="X73" s="2"/>
      <c r="Y73" s="2"/>
      <c r="Z73" s="2"/>
    </row>
    <row r="74" ht="15.0" customHeight="1">
      <c r="A74" s="108">
        <f>Bets!A72</f>
        <v>71</v>
      </c>
      <c r="B74" s="109">
        <f>Bets!B72</f>
        <v>46200</v>
      </c>
      <c r="C74" s="105" t="str">
        <f>IF(Bets!H72="","TBC",Bets!H72)</f>
        <v>04:00 +1d</v>
      </c>
      <c r="D74" s="100" t="str">
        <f>Bets!D72&amp;"  v  "&amp;Bets!E72</f>
        <v>Algeria  v  Austria</v>
      </c>
      <c r="E74" s="96">
        <v>4.0</v>
      </c>
      <c r="F74" s="96">
        <v>2.25</v>
      </c>
      <c r="G74" s="96">
        <v>3.0</v>
      </c>
      <c r="H74" s="97" t="str">
        <f>Bets!AD72</f>
        <v>2  Austria</v>
      </c>
      <c r="I74" s="98" t="str">
        <f>Bets!AH72</f>
        <v>BET</v>
      </c>
      <c r="J74" s="99">
        <f>Bets!AJ72</f>
        <v>12</v>
      </c>
      <c r="K74" s="100" t="str">
        <f>Bets!AT72</f>
        <v>Value found: EV 9.3%, edge 4.0%</v>
      </c>
      <c r="L74" s="101"/>
      <c r="M74" s="97" t="str">
        <f>IFERROR(__xludf.DUMMYFUNCTION("IF(Bets!AH72=""·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pauses."")),IF(Bets!AH72&lt;&gt;""BET"",IF(OR(Bets!AF72&gt;Method!$B$87,IFERROR(INDEX(Bets!BC72:BE72,1,Bets!AB72)/INDEX(Bets!S72:U72,1,Bets!AB72),0)&gt;Method!$B$88),""🛑 NO BET — tail trap (EV ""&amp;TEXT(Bets!AF72,""0.0%"")&amp;"" / model ""&amp;TEXT(IFERROR(INDEX(Bets!BC72:"&amp;"BE72,1,Bets!AB72)/INDEX(Bets!S72:U72,1,Bets!AB72),0),""0.0"")&amp;""× market)"",""❌ NO BET — price not good enough""),IF(Bets!AJ72=0,""❌ NO BET — stake under minimum"",IF(L74="""",IF(AND(Bets!AE72&gt;=6,Bets!AG72&gt;=0.15),""🟡 WAIT — long-shot review: odds ""&amp;TEXT"&amp;"(Bets!AE72,""0.00"")&amp;"" + edge ""&amp;TEXT(Bets!AG72,""0.0%"")&amp;"" — verify sharp-book + team news + stake comfort"",""🟡 WAIT — check team news first""),IF(L74=""N"",""🔴 SKIP — team news concern"",IF(L74=""Y"",""🟢 PLACE £""&amp;Bets!AJ72&amp;"" on ""&amp;Bets!AD72,"""""&amp;")))))))"),"🟡 WAIT — check team news first")</f>
        <v>🟡 WAIT — check team news first</v>
      </c>
      <c r="N74" s="101"/>
      <c r="O74" s="101"/>
      <c r="P74" s="96"/>
      <c r="Q74" s="102"/>
      <c r="R74" s="101" t="s">
        <v>113</v>
      </c>
      <c r="S74" s="100" t="str">
        <f>Bets!AU72</f>
        <v/>
      </c>
      <c r="T74" s="96"/>
      <c r="U74" s="103" t="str">
        <f t="shared" si="1"/>
        <v/>
      </c>
      <c r="V74" s="83"/>
      <c r="W74" s="83"/>
      <c r="X74" s="2"/>
      <c r="Y74" s="2"/>
      <c r="Z74" s="2"/>
    </row>
    <row r="75" ht="15.0" customHeight="1">
      <c r="A75" s="108">
        <f>Bets!A73</f>
        <v>72</v>
      </c>
      <c r="B75" s="109">
        <f>Bets!B73</f>
        <v>46200</v>
      </c>
      <c r="C75" s="105" t="str">
        <f>IF(Bets!H73="","TBC",Bets!H73)</f>
        <v>04:00 +1d</v>
      </c>
      <c r="D75" s="100" t="str">
        <f>Bets!D73&amp;"  v  "&amp;Bets!E73</f>
        <v>Jordan  v  Argentina</v>
      </c>
      <c r="E75" s="96">
        <v>15.0</v>
      </c>
      <c r="F75" s="96">
        <v>8.0</v>
      </c>
      <c r="G75" s="96">
        <v>1.18</v>
      </c>
      <c r="H75" s="97" t="str">
        <f>Bets!AD73</f>
        <v>2  Argentina</v>
      </c>
      <c r="I75" s="98" t="str">
        <f>Bets!AH73</f>
        <v>PASS</v>
      </c>
      <c r="J75" s="99">
        <f>Bets!AJ73</f>
        <v>0</v>
      </c>
      <c r="K75" s="100" t="str">
        <f>Bets!AT73</f>
        <v>Price too short — EV -1.7% (need 2.5%+)</v>
      </c>
      <c r="L75" s="101"/>
      <c r="M75" s="97" t="str">
        <f>IFERROR(__xludf.DUMMYFUNCTION("IF(Bets!AH73=""·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pauses."")),IF(Bets!AH73&lt;&gt;""BET"",IF(OR(Bets!AF73&gt;Method!$B$87,IFERROR(INDEX(Bets!BC73:BE73,1,Bets!AB73)/INDEX(Bets!S73:U73,1,Bets!AB73),0)&gt;Method!$B$88),""🛑 NO BET — tail trap (EV ""&amp;TEXT(Bets!AF73,""0.0%"")&amp;"" / model ""&amp;TEXT(IFERROR(INDEX(Bets!BC73:"&amp;"BE73,1,Bets!AB73)/INDEX(Bets!S73:U73,1,Bets!AB73),0),""0.0"")&amp;""× market)"",""❌ NO BET — price not good enough""),IF(Bets!AJ73=0,""❌ NO BET — stake under minimum"",IF(L75="""",IF(AND(Bets!AE73&gt;=6,Bets!AG73&gt;=0.15),""🟡 WAIT — long-shot review: odds ""&amp;TEXT"&amp;"(Bets!AE73,""0.00"")&amp;"" + edge ""&amp;TEXT(Bets!AG73,""0.0%"")&amp;"" — verify sharp-book + team news + stake comfort"",""🟡 WAIT — check team news first""),IF(L75=""N"",""🔴 SKIP — team news concern"",IF(L75=""Y"",""🟢 PLACE £""&amp;Bets!AJ73&amp;"" on ""&amp;Bets!AD73,"""""&amp;")))))))"),"❌ NO BET — price not good enough")</f>
        <v>❌ NO BET — price not good enough</v>
      </c>
      <c r="N75" s="101"/>
      <c r="O75" s="101"/>
      <c r="P75" s="96"/>
      <c r="Q75" s="102"/>
      <c r="R75" s="101" t="s">
        <v>112</v>
      </c>
      <c r="S75" s="100" t="str">
        <f>Bets!AU73</f>
        <v/>
      </c>
      <c r="T75" s="96"/>
      <c r="U75" s="103" t="str">
        <f t="shared" si="1"/>
        <v/>
      </c>
      <c r="V75" s="83"/>
      <c r="W75" s="83"/>
      <c r="X75" s="2"/>
      <c r="Y75" s="2"/>
      <c r="Z75" s="2"/>
    </row>
    <row r="76" ht="15.0" customHeight="1">
      <c r="A76" s="108">
        <f>Bets!A74</f>
        <v>73</v>
      </c>
      <c r="B76" s="109">
        <f>Bets!B74</f>
        <v>46201</v>
      </c>
      <c r="C76" s="107" t="str">
        <f>IF(Bets!H74="","TBC",Bets!H74)</f>
        <v>TBC</v>
      </c>
      <c r="D76" s="100" t="str">
        <f>Bets!D74&amp;"  v  "&amp;Bets!E74</f>
        <v>South Africa  v  Canada</v>
      </c>
      <c r="E76" s="96">
        <f>41/10</f>
        <v>4.1</v>
      </c>
      <c r="F76" s="96">
        <f>5/2</f>
        <v>2.5</v>
      </c>
      <c r="G76" s="96">
        <f>17/20</f>
        <v>0.85</v>
      </c>
      <c r="H76" s="97" t="str">
        <f>Bets!AD74</f>
        <v>X  Draw</v>
      </c>
      <c r="I76" s="98" t="str">
        <f>Bets!AH74</f>
        <v>PASS</v>
      </c>
      <c r="J76" s="99">
        <f>Bets!AJ74</f>
        <v>0</v>
      </c>
      <c r="K76" s="100" t="str">
        <f>Bets!AT74</f>
        <v>Price too short — EV -40.8% (need 2.5%+)</v>
      </c>
      <c r="L76" s="101"/>
      <c r="M76" s="97" t="str">
        <f>IFERROR(__xludf.DUMMYFUNCTION("IF(Bets!AH74=""·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pauses."")),IF(Bets!AH74&lt;&gt;""BET"",IF(OR(Bets!AF74&gt;Method!$B$87,IFERROR(INDEX(Bets!BC74:BE74,1,Bets!AB74)/INDEX(Bets!S74:U74,1,Bets!AB74),0)&gt;Method!$B$88),""🛑 NO BET — tail trap (EV ""&amp;TEXT(Bets!AF74,""0.0%"")&amp;"" / model ""&amp;TEXT(IFERROR(INDEX(Bets!BC74:"&amp;"BE74,1,Bets!AB74)/INDEX(Bets!S74:U74,1,Bets!AB74),0),""0.0"")&amp;""× market)"",""❌ NO BET — price not good enough""),IF(Bets!AJ74=0,""❌ NO BET — stake under minimum"",IF(L76="""",IF(AND(Bets!AE74&gt;=6,Bets!AG74&gt;=0.15),""🟡 WAIT — long-shot review: odds ""&amp;TEXT"&amp;"(Bets!AE74,""0.00"")&amp;"" + edge ""&amp;TEXT(Bets!AG74,""0.0%"")&amp;"" — verify sharp-book + team news + stake comfort"",""🟡 WAIT — check team news first""),IF(L76=""N"",""🔴 SKIP — team news concern"",IF(L76=""Y"",""🟢 PLACE £""&amp;Bets!AJ74&amp;"" on ""&amp;Bets!AD74,"""""&amp;")))))))"),"❌ NO BET — price not good enough")</f>
        <v>❌ NO BET — price not good enough</v>
      </c>
      <c r="N76" s="101"/>
      <c r="O76" s="101"/>
      <c r="P76" s="96"/>
      <c r="Q76" s="102"/>
      <c r="R76" s="110" t="s">
        <v>112</v>
      </c>
      <c r="S76" s="100" t="str">
        <f>Bets!AU74</f>
        <v/>
      </c>
      <c r="T76" s="96"/>
      <c r="U76" s="103" t="str">
        <f t="shared" si="1"/>
        <v/>
      </c>
      <c r="V76" s="83"/>
      <c r="W76" s="83"/>
      <c r="X76" s="2"/>
      <c r="Y76" s="2"/>
      <c r="Z76" s="2"/>
    </row>
    <row r="77" ht="15.0" customHeight="1">
      <c r="A77" s="108">
        <f>Bets!A75</f>
        <v>74</v>
      </c>
      <c r="B77" s="109">
        <f>Bets!B75</f>
        <v>46202</v>
      </c>
      <c r="C77" s="107" t="str">
        <f>IF(Bets!H75="","TBC",Bets!H75)</f>
        <v>TBC</v>
      </c>
      <c r="D77" s="100" t="str">
        <f>Bets!D75&amp;"  v  "&amp;Bets!E75</f>
        <v>Germany  v  Paraguay</v>
      </c>
      <c r="E77" s="111">
        <v>1.37</v>
      </c>
      <c r="F77" s="111">
        <v>5.33</v>
      </c>
      <c r="G77" s="111">
        <v>10.0</v>
      </c>
      <c r="H77" s="97" t="str">
        <f>Bets!AD75</f>
        <v>2  Paraguay</v>
      </c>
      <c r="I77" s="98" t="str">
        <f>Bets!AH75</f>
        <v>PASS</v>
      </c>
      <c r="J77" s="99">
        <f>Bets!AJ75</f>
        <v>0</v>
      </c>
      <c r="K77" s="100" t="str">
        <f>Bets!AT75</f>
        <v>🛑 Tail trap — auto-PASS · EV 44.0% (cap 30%) · model/market 2.5× (cap 2.5×)</v>
      </c>
      <c r="L77" s="101"/>
      <c r="M77" s="97" t="str">
        <f>IFERROR(__xludf.DUMMYFUNCTION("IF(Bets!AH75=""·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pauses."")),IF(Bets!AH75&lt;&gt;""BET"",IF(OR(Bets!AF75&gt;Method!$B$87,IFERROR(INDEX(Bets!BC75:BE75,1,Bets!AB75)/INDEX(Bets!S75:U75,1,Bets!AB75),0)&gt;Method!$B$88),""🛑 NO BET — tail trap (EV ""&amp;TEXT(Bets!AF75,""0.0%"")&amp;"" / model ""&amp;TEXT(IFERROR(INDEX(Bets!BC75:"&amp;"BE75,1,Bets!AB75)/INDEX(Bets!S75:U75,1,Bets!AB75),0),""0.0"")&amp;""× market)"",""❌ NO BET — price not good enough""),IF(Bets!AJ75=0,""❌ NO BET — stake under minimum"",IF(L77="""",IF(AND(Bets!AE75&gt;=6,Bets!AG75&gt;=0.15),""🟡 WAIT — long-shot review: odds ""&amp;TEXT"&amp;"(Bets!AE75,""0.00"")&amp;"" + edge ""&amp;TEXT(Bets!AG75,""0.0%"")&amp;"" — verify sharp-book + team news + stake comfort"",""🟡 WAIT — check team news first""),IF(L77=""N"",""🔴 SKIP — team news concern"",IF(L77=""Y"",""🟢 PLACE £""&amp;Bets!AJ75&amp;"" on ""&amp;Bets!AD75,"""""&amp;")))))))"),"🛑 NO BET — tail trap (EV 44.0% / model 2.5× market)")</f>
        <v>🛑 NO BET — tail trap (EV 44.0% / model 2.5× market)</v>
      </c>
      <c r="N77" s="101"/>
      <c r="O77" s="101"/>
      <c r="P77" s="96"/>
      <c r="Q77" s="102"/>
      <c r="R77" s="110" t="s">
        <v>113</v>
      </c>
      <c r="S77" s="100" t="str">
        <f>Bets!AU75</f>
        <v/>
      </c>
      <c r="T77" s="96"/>
      <c r="U77" s="103" t="str">
        <f t="shared" si="1"/>
        <v/>
      </c>
      <c r="V77" s="83"/>
      <c r="W77" s="83"/>
      <c r="X77" s="2"/>
      <c r="Y77" s="2"/>
      <c r="Z77" s="2"/>
    </row>
    <row r="78" ht="15.0" customHeight="1">
      <c r="A78" s="108">
        <f>Bets!A76</f>
        <v>75</v>
      </c>
      <c r="B78" s="109">
        <f>Bets!B76</f>
        <v>46202</v>
      </c>
      <c r="C78" s="105" t="str">
        <f>IF(Bets!H76="","TBC",Bets!H76)</f>
        <v>TBC</v>
      </c>
      <c r="D78" s="100" t="str">
        <f>Bets!D76&amp;"  v  "&amp;Bets!E76</f>
        <v>Netherlands  v  Morocco</v>
      </c>
      <c r="E78" s="111">
        <v>2.35</v>
      </c>
      <c r="F78" s="111">
        <v>3.25</v>
      </c>
      <c r="G78" s="111">
        <v>3.5</v>
      </c>
      <c r="H78" s="97" t="str">
        <f>Bets!AD76</f>
        <v>2  Morocco</v>
      </c>
      <c r="I78" s="98" t="str">
        <f>Bets!AH76</f>
        <v>PASS</v>
      </c>
      <c r="J78" s="99">
        <f>Bets!AJ76</f>
        <v>0</v>
      </c>
      <c r="K78" s="100" t="str">
        <f>Bets!AT76</f>
        <v>Price too short — EV 1.7% (need 2.5%+)</v>
      </c>
      <c r="L78" s="101"/>
      <c r="M78" s="97" t="str">
        <f>IFERROR(__xludf.DUMMYFUNCTION("IF(Bets!AH76=""·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pauses."")),IF(Bets!AH76&lt;&gt;""BET"",IF(OR(Bets!AF76&gt;Method!$B$87,IFERROR(INDEX(Bets!BC76:BE76,1,Bets!AB76)/INDEX(Bets!S76:U76,1,Bets!AB76),0)&gt;Method!$B$88),""🛑 NO BET — tail trap (EV ""&amp;TEXT(Bets!AF76,""0.0%"")&amp;"" / model ""&amp;TEXT(IFERROR(INDEX(Bets!BC76:"&amp;"BE76,1,Bets!AB76)/INDEX(Bets!S76:U76,1,Bets!AB76),0),""0.0"")&amp;""× market)"",""❌ NO BET — price not good enough""),IF(Bets!AJ76=0,""❌ NO BET — stake under minimum"",IF(L78="""",IF(AND(Bets!AE76&gt;=6,Bets!AG76&gt;=0.15),""🟡 WAIT — long-shot review: odds ""&amp;TEXT"&amp;"(Bets!AE76,""0.00"")&amp;"" + edge ""&amp;TEXT(Bets!AG76,""0.0%"")&amp;"" — verify sharp-book + team news + stake comfort"",""🟡 WAIT — check team news first""),IF(L78=""N"",""🔴 SKIP — team news concern"",IF(L78=""Y"",""🟢 PLACE £""&amp;Bets!AJ76&amp;"" on ""&amp;Bets!AD76,"""""&amp;")))))))"),"❌ NO BET — price not good enough")</f>
        <v>❌ NO BET — price not good enough</v>
      </c>
      <c r="N78" s="101"/>
      <c r="O78" s="101"/>
      <c r="P78" s="96"/>
      <c r="Q78" s="102"/>
      <c r="R78" s="110" t="s">
        <v>113</v>
      </c>
      <c r="S78" s="100" t="str">
        <f>Bets!AU76</f>
        <v/>
      </c>
      <c r="T78" s="96"/>
      <c r="U78" s="103" t="str">
        <f t="shared" si="1"/>
        <v/>
      </c>
      <c r="V78" s="83"/>
      <c r="W78" s="83"/>
      <c r="X78" s="2"/>
      <c r="Y78" s="2"/>
      <c r="Z78" s="2"/>
    </row>
    <row r="79" ht="15.0" customHeight="1">
      <c r="A79" s="108">
        <f>Bets!A77</f>
        <v>76</v>
      </c>
      <c r="B79" s="109">
        <f>Bets!B77</f>
        <v>46202</v>
      </c>
      <c r="C79" s="105" t="str">
        <f>IF(Bets!H77="","TBC",Bets!H77)</f>
        <v>TBC</v>
      </c>
      <c r="D79" s="100" t="str">
        <f>Bets!D77&amp;"  v  "&amp;Bets!E77</f>
        <v>Brazil  v  Japan</v>
      </c>
      <c r="E79" s="111">
        <v>1.73</v>
      </c>
      <c r="F79" s="111">
        <v>3.75</v>
      </c>
      <c r="G79" s="111">
        <v>5.6</v>
      </c>
      <c r="H79" s="97" t="str">
        <f>Bets!AD77</f>
        <v>2  Japan</v>
      </c>
      <c r="I79" s="98" t="str">
        <f>Bets!AH77</f>
        <v>BET</v>
      </c>
      <c r="J79" s="99">
        <f>Bets!AJ77</f>
        <v>7</v>
      </c>
      <c r="K79" s="100" t="str">
        <f>Bets!AT77</f>
        <v>Value found: EV 12.4%, edge 2.9%</v>
      </c>
      <c r="L79" s="101"/>
      <c r="M79" s="97" t="str">
        <f>IFERROR(__xludf.DUMMYFUNCTION("IF(Bets!AH77=""·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pauses."")),IF(Bets!AH77&lt;&gt;""BET"",IF(OR(Bets!AF77&gt;Method!$B$87,IFERROR(INDEX(Bets!BC77:BE77,1,Bets!AB77)/INDEX(Bets!S77:U77,1,Bets!AB77),0)&gt;Method!$B$88),""🛑 NO BET — tail trap (EV ""&amp;TEXT(Bets!AF77,""0.0%"")&amp;"" / model ""&amp;TEXT(IFERROR(INDEX(Bets!BC77:"&amp;"BE77,1,Bets!AB77)/INDEX(Bets!S77:U77,1,Bets!AB77),0),""0.0"")&amp;""× market)"",""❌ NO BET — price not good enough""),IF(Bets!AJ77=0,""❌ NO BET — stake under minimum"",IF(L79="""",IF(AND(Bets!AE77&gt;=6,Bets!AG77&gt;=0.15),""🟡 WAIT — long-shot review: odds ""&amp;TEXT"&amp;"(Bets!AE77,""0.00"")&amp;"" + edge ""&amp;TEXT(Bets!AG77,""0.0%"")&amp;"" — verify sharp-book + team news + stake comfort"",""🟡 WAIT — check team news first""),IF(L79=""N"",""🔴 SKIP — team news concern"",IF(L79=""Y"",""🟢 PLACE £""&amp;Bets!AJ77&amp;"" on ""&amp;Bets!AD77,"""""&amp;")))))))"),"🟡 WAIT — check team news first")</f>
        <v>🟡 WAIT — check team news first</v>
      </c>
      <c r="N79" s="101"/>
      <c r="O79" s="101"/>
      <c r="P79" s="96"/>
      <c r="Q79" s="102"/>
      <c r="R79" s="110" t="s">
        <v>111</v>
      </c>
      <c r="S79" s="100" t="str">
        <f>Bets!AU77</f>
        <v/>
      </c>
      <c r="T79" s="96"/>
      <c r="U79" s="103" t="str">
        <f t="shared" si="1"/>
        <v/>
      </c>
      <c r="V79" s="83"/>
      <c r="W79" s="83"/>
      <c r="X79" s="2"/>
      <c r="Y79" s="2"/>
      <c r="Z79" s="2"/>
    </row>
    <row r="80" ht="15.0" customHeight="1">
      <c r="A80" s="108">
        <f>Bets!A78</f>
        <v>77</v>
      </c>
      <c r="B80" s="109">
        <f>Bets!B78</f>
        <v>46203</v>
      </c>
      <c r="C80" s="105" t="str">
        <f>IF(Bets!H78="","TBC",Bets!H78)</f>
        <v>TBC</v>
      </c>
      <c r="D80" s="100" t="str">
        <f>Bets!D78&amp;"  v  "&amp;Bets!E78</f>
        <v>France  v  Sweden</v>
      </c>
      <c r="E80" s="111">
        <v>1.29</v>
      </c>
      <c r="F80" s="111">
        <v>6.0</v>
      </c>
      <c r="G80" s="111">
        <v>11.5</v>
      </c>
      <c r="H80" s="97" t="str">
        <f>Bets!AD78</f>
        <v>1  France</v>
      </c>
      <c r="I80" s="98" t="str">
        <f>Bets!AH78</f>
        <v>PASS</v>
      </c>
      <c r="J80" s="99">
        <f>Bets!AJ78</f>
        <v>0</v>
      </c>
      <c r="K80" s="100" t="str">
        <f>Bets!AT78</f>
        <v>Price too short — EV -1.1% (need 2.5%+)</v>
      </c>
      <c r="L80" s="101"/>
      <c r="M80" s="97" t="str">
        <f>IFERROR(__xludf.DUMMYFUNCTION("IF(Bets!AH78=""·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pauses."")),IF(Bets!AH78&lt;&gt;""BET"",IF(OR(Bets!AF78&gt;Method!$B$87,IFERROR(INDEX(Bets!BC78:BE78,1,Bets!AB78)/INDEX(Bets!S78:U78,1,Bets!AB78),0)&gt;Method!$B$88),""🛑 NO BET — tail trap (EV ""&amp;TEXT(Bets!AF78,""0.0%"")&amp;"" / model ""&amp;TEXT(IFERROR(INDEX(Bets!BC78:"&amp;"BE78,1,Bets!AB78)/INDEX(Bets!S78:U78,1,Bets!AB78),0),""0.0"")&amp;""× market)"",""❌ NO BET — price not good enough""),IF(Bets!AJ78=0,""❌ NO BET — stake under minimum"",IF(L80="""",IF(AND(Bets!AE78&gt;=6,Bets!AG78&gt;=0.15),""🟡 WAIT — long-shot review: odds ""&amp;TEXT"&amp;"(Bets!AE78,""0.00"")&amp;"" + edge ""&amp;TEXT(Bets!AG78,""0.0%"")&amp;"" — verify sharp-book + team news + stake comfort"",""🟡 WAIT — check team news first""),IF(L80=""N"",""🔴 SKIP — team news concern"",IF(L80=""Y"",""🟢 PLACE £""&amp;Bets!AJ78&amp;"" on ""&amp;Bets!AD78,"""""&amp;")))))))"),"❌ NO BET — price not good enough")</f>
        <v>❌ NO BET — price not good enough</v>
      </c>
      <c r="N80" s="101"/>
      <c r="O80" s="101"/>
      <c r="P80" s="96"/>
      <c r="Q80" s="102"/>
      <c r="R80" s="110" t="s">
        <v>111</v>
      </c>
      <c r="S80" s="100" t="str">
        <f>Bets!AU78</f>
        <v/>
      </c>
      <c r="T80" s="96"/>
      <c r="U80" s="103" t="str">
        <f t="shared" si="1"/>
        <v/>
      </c>
      <c r="V80" s="83"/>
      <c r="W80" s="83"/>
      <c r="X80" s="2"/>
      <c r="Y80" s="2"/>
      <c r="Z80" s="2"/>
    </row>
    <row r="81" ht="15.0" customHeight="1">
      <c r="A81" s="108">
        <f>Bets!A79</f>
        <v>78</v>
      </c>
      <c r="B81" s="109">
        <f>Bets!B79</f>
        <v>46203</v>
      </c>
      <c r="C81" s="105" t="str">
        <f>IF(Bets!H79="","TBC",Bets!H79)</f>
        <v>TBC</v>
      </c>
      <c r="D81" s="100" t="str">
        <f>Bets!D79&amp;"  v  "&amp;Bets!E79</f>
        <v>Ivory Coast  v  Norway</v>
      </c>
      <c r="E81" s="111">
        <v>3.75</v>
      </c>
      <c r="F81" s="111">
        <v>3.65</v>
      </c>
      <c r="G81" s="111">
        <v>2.05</v>
      </c>
      <c r="H81" s="97" t="str">
        <f>Bets!AD79</f>
        <v>2  Norway</v>
      </c>
      <c r="I81" s="98" t="str">
        <f>Bets!AH79</f>
        <v>PASS</v>
      </c>
      <c r="J81" s="99">
        <f>Bets!AJ79</f>
        <v>0</v>
      </c>
      <c r="K81" s="100" t="str">
        <f>Bets!AT79</f>
        <v>Price too short — EV 2.2% (need 2.5%+)</v>
      </c>
      <c r="L81" s="101"/>
      <c r="M81" s="97" t="str">
        <f>IFERROR(__xludf.DUMMYFUNCTION("IF(Bets!AH79=""·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pauses."")),IF(Bets!AH79&lt;&gt;""BET"",IF(OR(Bets!AF79&gt;Method!$B$87,IFERROR(INDEX(Bets!BC79:BE79,1,Bets!AB79)/INDEX(Bets!S79:U79,1,Bets!AB79),0)&gt;Method!$B$88),""🛑 NO BET — tail trap (EV ""&amp;TEXT(Bets!AF79,""0.0%"")&amp;"" / model ""&amp;TEXT(IFERROR(INDEX(Bets!BC79:"&amp;"BE79,1,Bets!AB79)/INDEX(Bets!S79:U79,1,Bets!AB79),0),""0.0"")&amp;""× market)"",""❌ NO BET — price not good enough""),IF(Bets!AJ79=0,""❌ NO BET — stake under minimum"",IF(L81="""",IF(AND(Bets!AE79&gt;=6,Bets!AG79&gt;=0.15),""🟡 WAIT — long-shot review: odds ""&amp;TEXT"&amp;"(Bets!AE79,""0.00"")&amp;"" + edge ""&amp;TEXT(Bets!AG79,""0.0%"")&amp;"" — verify sharp-book + team news + stake comfort"",""🟡 WAIT — check team news first""),IF(L81=""N"",""🔴 SKIP — team news concern"",IF(L81=""Y"",""🟢 PLACE £""&amp;Bets!AJ79&amp;"" on ""&amp;Bets!AD79,"""""&amp;")))))))"),"❌ NO BET — price not good enough")</f>
        <v>❌ NO BET — price not good enough</v>
      </c>
      <c r="N81" s="101"/>
      <c r="O81" s="101"/>
      <c r="P81" s="96"/>
      <c r="Q81" s="102"/>
      <c r="R81" s="110" t="s">
        <v>112</v>
      </c>
      <c r="S81" s="100" t="str">
        <f>Bets!AU79</f>
        <v/>
      </c>
      <c r="T81" s="96"/>
      <c r="U81" s="103" t="str">
        <f t="shared" si="1"/>
        <v/>
      </c>
      <c r="V81" s="83"/>
      <c r="W81" s="83"/>
      <c r="X81" s="2"/>
      <c r="Y81" s="2"/>
      <c r="Z81" s="2"/>
    </row>
    <row r="82" ht="15.0" customHeight="1">
      <c r="A82" s="108">
        <f>Bets!A80</f>
        <v>79</v>
      </c>
      <c r="B82" s="109">
        <f>Bets!B80</f>
        <v>46203</v>
      </c>
      <c r="C82" s="107" t="str">
        <f>IF(Bets!H80="","TBC",Bets!H80)</f>
        <v>TBC</v>
      </c>
      <c r="D82" s="100" t="str">
        <f>Bets!D80&amp;"  v  "&amp;Bets!E80</f>
        <v>Mexico  v  Ecuador</v>
      </c>
      <c r="E82" s="111">
        <v>2.25</v>
      </c>
      <c r="F82" s="111">
        <v>3.0</v>
      </c>
      <c r="G82" s="111">
        <v>4.0</v>
      </c>
      <c r="H82" s="97" t="str">
        <f>Bets!AD80</f>
        <v>2  Ecuador</v>
      </c>
      <c r="I82" s="98" t="str">
        <f>Bets!AH80</f>
        <v>BET</v>
      </c>
      <c r="J82" s="99">
        <f>Bets!AJ80</f>
        <v>9</v>
      </c>
      <c r="K82" s="100" t="str">
        <f>Bets!AT80</f>
        <v>Value found: EV 10.9%, edge 3.6%</v>
      </c>
      <c r="L82" s="101"/>
      <c r="M82" s="97" t="str">
        <f>IFERROR(__xludf.DUMMYFUNCTION("IF(Bets!AH80=""·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pauses."")),IF(Bets!AH80&lt;&gt;""BET"",IF(OR(Bets!AF80&gt;Method!$B$87,IFERROR(INDEX(Bets!BC80:BE80,1,Bets!AB80)/INDEX(Bets!S80:U80,1,Bets!AB80),0)&gt;Method!$B$88),""🛑 NO BET — tail trap (EV ""&amp;TEXT(Bets!AF80,""0.0%"")&amp;"" / model ""&amp;TEXT(IFERROR(INDEX(Bets!BC80:"&amp;"BE80,1,Bets!AB80)/INDEX(Bets!S80:U80,1,Bets!AB80),0),""0.0"")&amp;""× market)"",""❌ NO BET — price not good enough""),IF(Bets!AJ80=0,""❌ NO BET — stake under minimum"",IF(L82="""",IF(AND(Bets!AE80&gt;=6,Bets!AG80&gt;=0.15),""🟡 WAIT — long-shot review: odds ""&amp;TEXT"&amp;"(Bets!AE80,""0.00"")&amp;"" + edge ""&amp;TEXT(Bets!AG80,""0.0%"")&amp;"" — verify sharp-book + team news + stake comfort"",""🟡 WAIT — check team news first""),IF(L82=""N"",""🔴 SKIP — team news concern"",IF(L82=""Y"",""🟢 PLACE £""&amp;Bets!AJ80&amp;"" on ""&amp;Bets!AD80,"""""&amp;")))))))"),"🟡 WAIT — check team news first")</f>
        <v>🟡 WAIT — check team news first</v>
      </c>
      <c r="N82" s="101"/>
      <c r="O82" s="101"/>
      <c r="P82" s="96"/>
      <c r="Q82" s="102"/>
      <c r="R82" s="110" t="s">
        <v>111</v>
      </c>
      <c r="S82" s="100" t="str">
        <f>Bets!AU80</f>
        <v/>
      </c>
      <c r="T82" s="96"/>
      <c r="U82" s="103" t="str">
        <f t="shared" si="1"/>
        <v/>
      </c>
      <c r="V82" s="83"/>
      <c r="W82" s="83"/>
      <c r="X82" s="2"/>
      <c r="Y82" s="2"/>
      <c r="Z82" s="2"/>
    </row>
    <row r="83" ht="15.0" customHeight="1">
      <c r="A83" s="108">
        <f>Bets!A81</f>
        <v>80</v>
      </c>
      <c r="B83" s="109">
        <f>Bets!B81</f>
        <v>46204</v>
      </c>
      <c r="C83" s="107" t="str">
        <f>IF(Bets!H81="","TBC",Bets!H81)</f>
        <v>TBC</v>
      </c>
      <c r="D83" s="100" t="str">
        <f>Bets!D81&amp;"  v  "&amp;Bets!E81</f>
        <v>England  v  DR Congo</v>
      </c>
      <c r="E83" s="111">
        <v>1.29</v>
      </c>
      <c r="F83" s="111">
        <v>5.75</v>
      </c>
      <c r="G83" s="111">
        <v>14.5</v>
      </c>
      <c r="H83" s="97" t="str">
        <f>Bets!AD81</f>
        <v>2  DR Congo</v>
      </c>
      <c r="I83" s="98" t="str">
        <f>Bets!AH81</f>
        <v>PASS</v>
      </c>
      <c r="J83" s="99">
        <f>Bets!AJ81</f>
        <v>0</v>
      </c>
      <c r="K83" s="100" t="str">
        <f>Bets!AT81</f>
        <v>Model ≈ market — edge 1.9% (need 2.5%+)</v>
      </c>
      <c r="L83" s="101"/>
      <c r="M83" s="97" t="str">
        <f>IFERROR(__xludf.DUMMYFUNCTION("IF(Bets!AH81=""·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pauses."")),IF(Bets!AH81&lt;&gt;""BET"",IF(OR(Bets!AF81&gt;Method!$B$87,IFERROR(INDEX(Bets!BC81:BE81,1,Bets!AB81)/INDEX(Bets!S81:U81,1,Bets!AB81),0)&gt;Method!$B$88),""🛑 NO BET — tail trap (EV ""&amp;TEXT(Bets!AF81,""0.0%"")&amp;"" / model ""&amp;TEXT(IFERROR(INDEX(Bets!BC81:"&amp;"BE81,1,Bets!AB81)/INDEX(Bets!S81:U81,1,Bets!AB81),0),""0.0"")&amp;""× market)"",""❌ NO BET — price not good enough""),IF(Bets!AJ81=0,""❌ NO BET — stake under minimum"",IF(L83="""",IF(AND(Bets!AE81&gt;=6,Bets!AG81&gt;=0.15),""🟡 WAIT — long-shot review: odds ""&amp;TEXT"&amp;"(Bets!AE81,""0.00"")&amp;"" + edge ""&amp;TEXT(Bets!AG81,""0.0%"")&amp;"" — verify sharp-book + team news + stake comfort"",""🟡 WAIT — check team news first""),IF(L83=""N"",""🔴 SKIP — team news concern"",IF(L83=""Y"",""🟢 PLACE £""&amp;Bets!AJ81&amp;"" on ""&amp;Bets!AD81,"""""&amp;")))))))"),"❌ NO BET — price not good enough")</f>
        <v>❌ NO BET — price not good enough</v>
      </c>
      <c r="N83" s="101"/>
      <c r="O83" s="101"/>
      <c r="P83" s="96"/>
      <c r="Q83" s="102"/>
      <c r="R83" s="110" t="s">
        <v>111</v>
      </c>
      <c r="S83" s="100" t="str">
        <f>Bets!AU81</f>
        <v/>
      </c>
      <c r="T83" s="96"/>
      <c r="U83" s="103" t="str">
        <f t="shared" si="1"/>
        <v/>
      </c>
      <c r="V83" s="83"/>
      <c r="W83" s="83"/>
      <c r="X83" s="2"/>
      <c r="Y83" s="2"/>
      <c r="Z83" s="2"/>
    </row>
    <row r="84" ht="15.0" customHeight="1">
      <c r="A84" s="108">
        <f>Bets!A82</f>
        <v>81</v>
      </c>
      <c r="B84" s="109">
        <f>Bets!B82</f>
        <v>46204</v>
      </c>
      <c r="C84" s="105" t="str">
        <f>IF(Bets!H82="","TBC",Bets!H82)</f>
        <v>TBC</v>
      </c>
      <c r="D84" s="100" t="str">
        <f>Bets!D82&amp;"  v  "&amp;Bets!E82</f>
        <v>United States  v  Bosnia and Herzegovina</v>
      </c>
      <c r="E84" s="111">
        <v>1.36</v>
      </c>
      <c r="F84" s="111">
        <v>4.75</v>
      </c>
      <c r="G84" s="111">
        <v>8.5</v>
      </c>
      <c r="H84" s="97" t="str">
        <f>Bets!AD82</f>
        <v>2  Bosnia and Herzegovina</v>
      </c>
      <c r="I84" s="98" t="str">
        <f>Bets!AH82</f>
        <v>BET</v>
      </c>
      <c r="J84" s="99">
        <f>Bets!AJ82</f>
        <v>6</v>
      </c>
      <c r="K84" s="100" t="str">
        <f>Bets!AT82</f>
        <v>Value found: EV 16.7%, edge 3.7%</v>
      </c>
      <c r="L84" s="101"/>
      <c r="M84" s="97" t="str">
        <f>IFERROR(__xludf.DUMMYFUNCTION("IF(Bets!AH82=""·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pauses."")),IF(Bets!AH82&lt;&gt;""BET"",IF(OR(Bets!AF82&gt;Method!$B$87,IFERROR(INDEX(Bets!BC82:BE82,1,Bets!AB82)/INDEX(Bets!S82:U82,1,Bets!AB82),0)&gt;Method!$B$88),""🛑 NO BET — tail trap (EV ""&amp;TEXT(Bets!AF82,""0.0%"")&amp;"" / model ""&amp;TEXT(IFERROR(INDEX(Bets!BC82:"&amp;"BE82,1,Bets!AB82)/INDEX(Bets!S82:U82,1,Bets!AB82),0),""0.0"")&amp;""× market)"",""❌ NO BET — price not good enough""),IF(Bets!AJ82=0,""❌ NO BET — stake under minimum"",IF(L84="""",IF(AND(Bets!AE82&gt;=6,Bets!AG82&gt;=0.15),""🟡 WAIT — long-shot review: odds ""&amp;TEXT"&amp;"(Bets!AE82,""0.00"")&amp;"" + edge ""&amp;TEXT(Bets!AG82,""0.0%"")&amp;"" — verify sharp-book + team news + stake comfort"",""🟡 WAIT — check team news first""),IF(L84=""N"",""🔴 SKIP — team news concern"",IF(L84=""Y"",""🟢 PLACE £""&amp;Bets!AJ82&amp;"" on ""&amp;Bets!AD82,"""""&amp;")))))))"),"🟡 WAIT — check team news first")</f>
        <v>🟡 WAIT — check team news first</v>
      </c>
      <c r="N84" s="101"/>
      <c r="O84" s="101"/>
      <c r="P84" s="96"/>
      <c r="Q84" s="102"/>
      <c r="R84" s="110" t="s">
        <v>111</v>
      </c>
      <c r="S84" s="100" t="str">
        <f>Bets!AU82</f>
        <v/>
      </c>
      <c r="T84" s="96"/>
      <c r="U84" s="103" t="str">
        <f t="shared" si="1"/>
        <v/>
      </c>
      <c r="V84" s="83"/>
      <c r="W84" s="83"/>
      <c r="X84" s="2"/>
      <c r="Y84" s="2"/>
      <c r="Z84" s="2"/>
    </row>
    <row r="85" ht="15.0" customHeight="1">
      <c r="A85" s="108">
        <f>Bets!A83</f>
        <v>82</v>
      </c>
      <c r="B85" s="109">
        <f>Bets!B83</f>
        <v>46204</v>
      </c>
      <c r="C85" s="105" t="str">
        <f>IF(Bets!H83="","TBC",Bets!H83)</f>
        <v>TBC</v>
      </c>
      <c r="D85" s="100" t="str">
        <f>Bets!D83&amp;"  v  "&amp;Bets!E83</f>
        <v>Belgium  v  Senegal</v>
      </c>
      <c r="E85" s="111">
        <v>2.2</v>
      </c>
      <c r="F85" s="111">
        <v>3.25</v>
      </c>
      <c r="G85" s="111">
        <v>3.5</v>
      </c>
      <c r="H85" s="97" t="str">
        <f>Bets!AD83</f>
        <v>1  Belgium</v>
      </c>
      <c r="I85" s="98" t="str">
        <f>Bets!AH83</f>
        <v>PASS</v>
      </c>
      <c r="J85" s="99">
        <f>Bets!AJ83</f>
        <v>0</v>
      </c>
      <c r="K85" s="100" t="str">
        <f>Bets!AT83</f>
        <v>Price too short — EV -2.6% (need 2.5%+)</v>
      </c>
      <c r="L85" s="101"/>
      <c r="M85" s="97" t="str">
        <f>IFERROR(__xludf.DUMMYFUNCTION("IF(Bets!AH83=""·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pauses."")),IF(Bets!AH83&lt;&gt;""BET"",IF(OR(Bets!AF83&gt;Method!$B$87,IFERROR(INDEX(Bets!BC83:BE83,1,Bets!AB83)/INDEX(Bets!S83:U83,1,Bets!AB83),0)&gt;Method!$B$88),""🛑 NO BET — tail trap (EV ""&amp;TEXT(Bets!AF83,""0.0%"")&amp;"" / model ""&amp;TEXT(IFERROR(INDEX(Bets!BC83:"&amp;"BE83,1,Bets!AB83)/INDEX(Bets!S83:U83,1,Bets!AB83),0),""0.0"")&amp;""× market)"",""❌ NO BET — price not good enough""),IF(Bets!AJ83=0,""❌ NO BET — stake under minimum"",IF(L85="""",IF(AND(Bets!AE83&gt;=6,Bets!AG83&gt;=0.15),""🟡 WAIT — long-shot review: odds ""&amp;TEXT"&amp;"(Bets!AE83,""0.00"")&amp;"" + edge ""&amp;TEXT(Bets!AG83,""0.0%"")&amp;"" — verify sharp-book + team news + stake comfort"",""🟡 WAIT — check team news first""),IF(L85=""N"",""🔴 SKIP — team news concern"",IF(L85=""Y"",""🟢 PLACE £""&amp;Bets!AJ83&amp;"" on ""&amp;Bets!AD83,"""""&amp;")))))))"),"❌ NO BET — price not good enough")</f>
        <v>❌ NO BET — price not good enough</v>
      </c>
      <c r="N85" s="101"/>
      <c r="O85" s="101"/>
      <c r="P85" s="96"/>
      <c r="Q85" s="102"/>
      <c r="R85" s="110" t="s">
        <v>111</v>
      </c>
      <c r="S85" s="100" t="str">
        <f>Bets!AU83</f>
        <v/>
      </c>
      <c r="T85" s="96"/>
      <c r="U85" s="103" t="str">
        <f t="shared" si="1"/>
        <v/>
      </c>
      <c r="V85" s="83"/>
      <c r="W85" s="83"/>
      <c r="X85" s="2"/>
      <c r="Y85" s="2"/>
      <c r="Z85" s="2"/>
    </row>
    <row r="86" ht="15.0" customHeight="1">
      <c r="A86" s="108">
        <f>Bets!A84</f>
        <v>83</v>
      </c>
      <c r="B86" s="109">
        <f>Bets!B84</f>
        <v>46205</v>
      </c>
      <c r="C86" s="105" t="str">
        <f>IF(Bets!H84="","TBC",Bets!H84)</f>
        <v>TBC</v>
      </c>
      <c r="D86" s="100" t="str">
        <f>Bets!D84&amp;"  v  "&amp;Bets!E84</f>
        <v>Portugal  v  Croatia</v>
      </c>
      <c r="E86" s="111">
        <v>1.75</v>
      </c>
      <c r="F86" s="111">
        <v>3.6</v>
      </c>
      <c r="G86" s="111">
        <v>4.75</v>
      </c>
      <c r="H86" s="97" t="str">
        <f>Bets!AD84</f>
        <v>2  Croatia</v>
      </c>
      <c r="I86" s="98" t="str">
        <f>Bets!AH84</f>
        <v>BET</v>
      </c>
      <c r="J86" s="99">
        <f>Bets!AJ84</f>
        <v>6</v>
      </c>
      <c r="K86" s="100" t="str">
        <f>Bets!AT84</f>
        <v>Value found: EV 8.8%, edge 3.6%</v>
      </c>
      <c r="L86" s="101"/>
      <c r="M86" s="97" t="str">
        <f>IFERROR(__xludf.DUMMYFUNCTION("IF(Bets!AH84=""·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pauses."")),IF(Bets!AH84&lt;&gt;""BET"",IF(OR(Bets!AF84&gt;Method!$B$87,IFERROR(INDEX(Bets!BC84:BE84,1,Bets!AB84)/INDEX(Bets!S84:U84,1,Bets!AB84),0)&gt;Method!$B$88),""🛑 NO BET — tail trap (EV ""&amp;TEXT(Bets!AF84,""0.0%"")&amp;"" / model ""&amp;TEXT(IFERROR(INDEX(Bets!BC84:"&amp;"BE84,1,Bets!AB84)/INDEX(Bets!S84:U84,1,Bets!AB84),0),""0.0"")&amp;""× market)"",""❌ NO BET — price not good enough""),IF(Bets!AJ84=0,""❌ NO BET — stake under minimum"",IF(L86="""",IF(AND(Bets!AE84&gt;=6,Bets!AG84&gt;=0.15),""🟡 WAIT — long-shot review: odds ""&amp;TEXT"&amp;"(Bets!AE84,""0.00"")&amp;"" + edge ""&amp;TEXT(Bets!AG84,""0.0%"")&amp;"" — verify sharp-book + team news + stake comfort"",""🟡 WAIT — check team news first""),IF(L86=""N"",""🔴 SKIP — team news concern"",IF(L86=""Y"",""🟢 PLACE £""&amp;Bets!AJ84&amp;"" on ""&amp;Bets!AD84,"""""&amp;")))))))"),"🟡 WAIT — check team news first")</f>
        <v>🟡 WAIT — check team news first</v>
      </c>
      <c r="N86" s="101"/>
      <c r="O86" s="101"/>
      <c r="P86" s="96"/>
      <c r="Q86" s="102"/>
      <c r="R86" s="110" t="s">
        <v>111</v>
      </c>
      <c r="S86" s="100" t="str">
        <f>Bets!AU84</f>
        <v/>
      </c>
      <c r="T86" s="96"/>
      <c r="U86" s="103" t="str">
        <f t="shared" si="1"/>
        <v/>
      </c>
      <c r="V86" s="83"/>
      <c r="W86" s="83"/>
      <c r="X86" s="2"/>
      <c r="Y86" s="2"/>
      <c r="Z86" s="2"/>
    </row>
    <row r="87" ht="15.0" customHeight="1">
      <c r="A87" s="108">
        <f>Bets!A85</f>
        <v>84</v>
      </c>
      <c r="B87" s="109">
        <f>Bets!B85</f>
        <v>46205</v>
      </c>
      <c r="C87" s="105" t="str">
        <f>IF(Bets!H85="","TBC",Bets!H85)</f>
        <v>TBC</v>
      </c>
      <c r="D87" s="100" t="str">
        <f>Bets!D85&amp;"  v  "&amp;Bets!E85</f>
        <v>Spain  v  Austria</v>
      </c>
      <c r="E87" s="111">
        <v>1.3</v>
      </c>
      <c r="F87" s="111">
        <v>5.0</v>
      </c>
      <c r="G87" s="111">
        <v>9.5</v>
      </c>
      <c r="H87" s="97" t="str">
        <f>Bets!AD85</f>
        <v>1  Spain</v>
      </c>
      <c r="I87" s="98" t="str">
        <f>Bets!AH85</f>
        <v>PASS</v>
      </c>
      <c r="J87" s="99">
        <f>Bets!AJ85</f>
        <v>0</v>
      </c>
      <c r="K87" s="100" t="str">
        <f>Bets!AT85</f>
        <v>Price too short — EV -1.1% (need 2.5%+)</v>
      </c>
      <c r="L87" s="101"/>
      <c r="M87" s="97" t="str">
        <f>IFERROR(__xludf.DUMMYFUNCTION("IF(Bets!AH85=""·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pauses."")),IF(Bets!AH85&lt;&gt;""BET"",IF(OR(Bets!AF85&gt;Method!$B$87,IFERROR(INDEX(Bets!BC85:BE85,1,Bets!AB85)/INDEX(Bets!S85:U85,1,Bets!AB85),0)&gt;Method!$B$88),""🛑 NO BET — tail trap (EV ""&amp;TEXT(Bets!AF85,""0.0%"")&amp;"" / model ""&amp;TEXT(IFERROR(INDEX(Bets!BC85:"&amp;"BE85,1,Bets!AB85)/INDEX(Bets!S85:U85,1,Bets!AB85),0),""0.0"")&amp;""× market)"",""❌ NO BET — price not good enough""),IF(Bets!AJ85=0,""❌ NO BET — stake under minimum"",IF(L87="""",IF(AND(Bets!AE85&gt;=6,Bets!AG85&gt;=0.15),""🟡 WAIT — long-shot review: odds ""&amp;TEXT"&amp;"(Bets!AE85,""0.00"")&amp;"" + edge ""&amp;TEXT(Bets!AG85,""0.0%"")&amp;"" — verify sharp-book + team news + stake comfort"",""🟡 WAIT — check team news first""),IF(L87=""N"",""🔴 SKIP — team news concern"",IF(L87=""Y"",""🟢 PLACE £""&amp;Bets!AJ85&amp;"" on ""&amp;Bets!AD85,"""""&amp;")))))))"),"❌ NO BET — price not good enough")</f>
        <v>❌ NO BET — price not good enough</v>
      </c>
      <c r="N87" s="101"/>
      <c r="O87" s="101"/>
      <c r="P87" s="96"/>
      <c r="Q87" s="102"/>
      <c r="R87" s="110" t="s">
        <v>111</v>
      </c>
      <c r="S87" s="100" t="str">
        <f>Bets!AU85</f>
        <v/>
      </c>
      <c r="T87" s="96"/>
      <c r="U87" s="103" t="str">
        <f t="shared" si="1"/>
        <v/>
      </c>
      <c r="V87" s="83"/>
      <c r="W87" s="83"/>
      <c r="X87" s="2"/>
      <c r="Y87" s="2"/>
      <c r="Z87" s="2"/>
    </row>
    <row r="88" ht="15.0" customHeight="1">
      <c r="A88" s="108">
        <f>Bets!A86</f>
        <v>85</v>
      </c>
      <c r="B88" s="109">
        <f>Bets!B86</f>
        <v>46205</v>
      </c>
      <c r="C88" s="105" t="str">
        <f>IF(Bets!H86="","TBC",Bets!H86)</f>
        <v>TBC</v>
      </c>
      <c r="D88" s="100" t="str">
        <f>Bets!D86&amp;"  v  "&amp;Bets!E86</f>
        <v>Switzerland  v  Algeria</v>
      </c>
      <c r="E88" s="111">
        <v>2.05</v>
      </c>
      <c r="F88" s="111">
        <v>3.2</v>
      </c>
      <c r="G88" s="111">
        <v>3.9</v>
      </c>
      <c r="H88" s="97" t="str">
        <f>Bets!AD86</f>
        <v>1  Switzerland</v>
      </c>
      <c r="I88" s="98" t="str">
        <f>Bets!AH86</f>
        <v>PASS</v>
      </c>
      <c r="J88" s="99">
        <f>Bets!AJ86</f>
        <v>0</v>
      </c>
      <c r="K88" s="100" t="str">
        <f>Bets!AT86</f>
        <v>Price too short — EV -0.2% (need 2.5%+)</v>
      </c>
      <c r="L88" s="101"/>
      <c r="M88" s="97" t="str">
        <f>IFERROR(__xludf.DUMMYFUNCTION("IF(Bets!AH86=""·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pauses."")),IF(Bets!AH86&lt;&gt;""BET"",IF(OR(Bets!AF86&gt;Method!$B$87,IFERROR(INDEX(Bets!BC86:BE86,1,Bets!AB86)/INDEX(Bets!S86:U86,1,Bets!AB86),0)&gt;Method!$B$88),""🛑 NO BET — tail trap (EV ""&amp;TEXT(Bets!AF86,""0.0%"")&amp;"" / model ""&amp;TEXT(IFERROR(INDEX(Bets!BC86:"&amp;"BE86,1,Bets!AB86)/INDEX(Bets!S86:U86,1,Bets!AB86),0),""0.0"")&amp;""× market)"",""❌ NO BET — price not good enough""),IF(Bets!AJ86=0,""❌ NO BET — stake under minimum"",IF(L88="""",IF(AND(Bets!AE86&gt;=6,Bets!AG86&gt;=0.15),""🟡 WAIT — long-shot review: odds ""&amp;TEXT"&amp;"(Bets!AE86,""0.00"")&amp;"" + edge ""&amp;TEXT(Bets!AG86,""0.0%"")&amp;"" — verify sharp-book + team news + stake comfort"",""🟡 WAIT — check team news first""),IF(L88=""N"",""🔴 SKIP — team news concern"",IF(L88=""Y"",""🟢 PLACE £""&amp;Bets!AJ86&amp;"" on ""&amp;Bets!AD86,"""""&amp;")))))))"),"❌ NO BET — price not good enough")</f>
        <v>❌ NO BET — price not good enough</v>
      </c>
      <c r="N88" s="101"/>
      <c r="O88" s="101"/>
      <c r="P88" s="96"/>
      <c r="Q88" s="102"/>
      <c r="R88" s="110" t="s">
        <v>111</v>
      </c>
      <c r="S88" s="100" t="str">
        <f>Bets!AU86</f>
        <v/>
      </c>
      <c r="T88" s="96"/>
      <c r="U88" s="103" t="str">
        <f t="shared" si="1"/>
        <v/>
      </c>
      <c r="V88" s="83"/>
      <c r="W88" s="83"/>
      <c r="X88" s="2"/>
      <c r="Y88" s="2"/>
      <c r="Z88" s="2"/>
    </row>
    <row r="89" ht="15.0" customHeight="1">
      <c r="A89" s="108">
        <f>Bets!A87</f>
        <v>86</v>
      </c>
      <c r="B89" s="109">
        <f>Bets!B87</f>
        <v>46206</v>
      </c>
      <c r="C89" s="105" t="str">
        <f>IF(Bets!H87="","TBC",Bets!H87)</f>
        <v>TBC</v>
      </c>
      <c r="D89" s="100" t="str">
        <f>Bets!D87&amp;"  v  "&amp;Bets!E87</f>
        <v>Argentina  v  Cape Verde</v>
      </c>
      <c r="E89" s="111">
        <v>1.15</v>
      </c>
      <c r="F89" s="111">
        <v>7.5</v>
      </c>
      <c r="G89" s="111">
        <v>15.0</v>
      </c>
      <c r="H89" s="97" t="str">
        <f>Bets!AD87</f>
        <v>X  Draw</v>
      </c>
      <c r="I89" s="98" t="str">
        <f>Bets!AH87</f>
        <v>PASS</v>
      </c>
      <c r="J89" s="99">
        <f>Bets!AJ87</f>
        <v>0</v>
      </c>
      <c r="K89" s="100" t="str">
        <f>Bets!AT87</f>
        <v>Price too short — EV -2.4% (need 2.5%+)</v>
      </c>
      <c r="L89" s="101"/>
      <c r="M89" s="97" t="str">
        <f>IFERROR(__xludf.DUMMYFUNCTION("IF(Bets!AH87=""·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pauses."")),IF(Bets!AH87&lt;&gt;""BET"",IF(OR(Bets!AF87&gt;Method!$B$87,IFERROR(INDEX(Bets!BC87:BE87,1,Bets!AB87)/INDEX(Bets!S87:U87,1,Bets!AB87),0)&gt;Method!$B$88),""🛑 NO BET — tail trap (EV ""&amp;TEXT(Bets!AF87,""0.0%"")&amp;"" / model ""&amp;TEXT(IFERROR(INDEX(Bets!BC87:"&amp;"BE87,1,Bets!AB87)/INDEX(Bets!S87:U87,1,Bets!AB87),0),""0.0"")&amp;""× market)"",""❌ NO BET — price not good enough""),IF(Bets!AJ87=0,""❌ NO BET — stake under minimum"",IF(L89="""",IF(AND(Bets!AE87&gt;=6,Bets!AG87&gt;=0.15),""🟡 WAIT — long-shot review: odds ""&amp;TEXT"&amp;"(Bets!AE87,""0.00"")&amp;"" + edge ""&amp;TEXT(Bets!AG87,""0.0%"")&amp;"" — verify sharp-book + team news + stake comfort"",""🟡 WAIT — check team news first""),IF(L89=""N"",""🔴 SKIP — team news concern"",IF(L89=""Y"",""🟢 PLACE £""&amp;Bets!AJ87&amp;"" on ""&amp;Bets!AD87,"""""&amp;")))))))"),"❌ NO BET — price not good enough")</f>
        <v>❌ NO BET — price not good enough</v>
      </c>
      <c r="N89" s="101"/>
      <c r="O89" s="101"/>
      <c r="P89" s="96"/>
      <c r="Q89" s="102"/>
      <c r="R89" s="110" t="s">
        <v>113</v>
      </c>
      <c r="S89" s="100" t="str">
        <f>Bets!AU87</f>
        <v/>
      </c>
      <c r="T89" s="96"/>
      <c r="U89" s="103" t="str">
        <f t="shared" si="1"/>
        <v/>
      </c>
      <c r="V89" s="83"/>
      <c r="W89" s="83"/>
      <c r="X89" s="2"/>
      <c r="Y89" s="2"/>
      <c r="Z89" s="2"/>
    </row>
    <row r="90" ht="15.0" customHeight="1">
      <c r="A90" s="108">
        <f>Bets!A88</f>
        <v>87</v>
      </c>
      <c r="B90" s="109">
        <f>Bets!B88</f>
        <v>46206</v>
      </c>
      <c r="C90" s="105" t="str">
        <f>IF(Bets!H88="","TBC",Bets!H88)</f>
        <v>TBC</v>
      </c>
      <c r="D90" s="100" t="str">
        <f>Bets!D88&amp;"  v  "&amp;Bets!E88</f>
        <v>Colombia  v  Ghana</v>
      </c>
      <c r="E90" s="111">
        <v>1.5</v>
      </c>
      <c r="F90" s="111">
        <v>3.9</v>
      </c>
      <c r="G90" s="111">
        <v>7.0</v>
      </c>
      <c r="H90" s="97" t="str">
        <f>Bets!AD88</f>
        <v>1  Colombia</v>
      </c>
      <c r="I90" s="98" t="str">
        <f>Bets!AH88</f>
        <v>PASS</v>
      </c>
      <c r="J90" s="99">
        <f>Bets!AJ88</f>
        <v>0</v>
      </c>
      <c r="K90" s="100" t="str">
        <f>Bets!AT88</f>
        <v>Price too short — EV -0.1% (need 2.5%+)</v>
      </c>
      <c r="L90" s="101"/>
      <c r="M90" s="97" t="str">
        <f>IFERROR(__xludf.DUMMYFUNCTION("IF(Bets!AH88=""·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pauses."")),IF(Bets!AH88&lt;&gt;""BET"",IF(OR(Bets!AF88&gt;Method!$B$87,IFERROR(INDEX(Bets!BC88:BE88,1,Bets!AB88)/INDEX(Bets!S88:U88,1,Bets!AB88),0)&gt;Method!$B$88),""🛑 NO BET — tail trap (EV ""&amp;TEXT(Bets!AF88,""0.0%"")&amp;"" / model ""&amp;TEXT(IFERROR(INDEX(Bets!BC88:"&amp;"BE88,1,Bets!AB88)/INDEX(Bets!S88:U88,1,Bets!AB88),0),""0.0"")&amp;""× market)"",""❌ NO BET — price not good enough""),IF(Bets!AJ88=0,""❌ NO BET — stake under minimum"",IF(L90="""",IF(AND(Bets!AE88&gt;=6,Bets!AG88&gt;=0.15),""🟡 WAIT — long-shot review: odds ""&amp;TEXT"&amp;"(Bets!AE88,""0.00"")&amp;"" + edge ""&amp;TEXT(Bets!AG88,""0.0%"")&amp;"" — verify sharp-book + team news + stake comfort"",""🟡 WAIT — check team news first""),IF(L90=""N"",""🔴 SKIP — team news concern"",IF(L90=""Y"",""🟢 PLACE £""&amp;Bets!AJ88&amp;"" on ""&amp;Bets!AD88,"""""&amp;")))))))"),"❌ NO BET — price not good enough")</f>
        <v>❌ NO BET — price not good enough</v>
      </c>
      <c r="N90" s="101"/>
      <c r="O90" s="101"/>
      <c r="P90" s="96"/>
      <c r="Q90" s="102"/>
      <c r="R90" s="110" t="s">
        <v>111</v>
      </c>
      <c r="S90" s="100" t="str">
        <f>Bets!AU88</f>
        <v/>
      </c>
      <c r="T90" s="96"/>
      <c r="U90" s="103" t="str">
        <f t="shared" si="1"/>
        <v/>
      </c>
      <c r="V90" s="83"/>
      <c r="W90" s="83"/>
      <c r="X90" s="2"/>
      <c r="Y90" s="2"/>
      <c r="Z90" s="2"/>
    </row>
    <row r="91" ht="15.0" customHeight="1">
      <c r="A91" s="108">
        <f>Bets!A89</f>
        <v>88</v>
      </c>
      <c r="B91" s="109">
        <f>Bets!B89</f>
        <v>46206</v>
      </c>
      <c r="C91" s="107" t="str">
        <f>IF(Bets!H89="","TBC",Bets!H89)</f>
        <v>TBC</v>
      </c>
      <c r="D91" s="100" t="str">
        <f>Bets!D89&amp;"  v  "&amp;Bets!E89</f>
        <v>Australia  v  Egypt</v>
      </c>
      <c r="E91" s="111">
        <v>3.4</v>
      </c>
      <c r="F91" s="111">
        <v>2.8</v>
      </c>
      <c r="G91" s="111">
        <v>2.45</v>
      </c>
      <c r="H91" s="97" t="str">
        <f>Bets!AD89</f>
        <v>1  Australia</v>
      </c>
      <c r="I91" s="98" t="str">
        <f>Bets!AH89</f>
        <v>BET</v>
      </c>
      <c r="J91" s="99">
        <f>Bets!AJ89</f>
        <v>10</v>
      </c>
      <c r="K91" s="100" t="str">
        <f>Bets!AT89</f>
        <v>Value found: EV 9.8%, edge 4.8%</v>
      </c>
      <c r="L91" s="101"/>
      <c r="M91" s="97" t="str">
        <f>IFERROR(__xludf.DUMMYFUNCTION("IF(Bets!AH89=""·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pauses."")),IF(Bets!AH89&lt;&gt;""BET"",IF(OR(Bets!AF89&gt;Method!$B$87,IFERROR(INDEX(Bets!BC89:BE89,1,Bets!AB89)/INDEX(Bets!S89:U89,1,Bets!AB89),0)&gt;Method!$B$88),""🛑 NO BET — tail trap (EV ""&amp;TEXT(Bets!AF89,""0.0%"")&amp;"" / model ""&amp;TEXT(IFERROR(INDEX(Bets!BC89:"&amp;"BE89,1,Bets!AB89)/INDEX(Bets!S89:U89,1,Bets!AB89),0),""0.0"")&amp;""× market)"",""❌ NO BET — price not good enough""),IF(Bets!AJ89=0,""❌ NO BET — stake under minimum"",IF(L91="""",IF(AND(Bets!AE89&gt;=6,Bets!AG89&gt;=0.15),""🟡 WAIT — long-shot review: odds ""&amp;TEXT"&amp;"(Bets!AE89,""0.00"")&amp;"" + edge ""&amp;TEXT(Bets!AG89,""0.0%"")&amp;"" — verify sharp-book + team news + stake comfort"",""🟡 WAIT — check team news first""),IF(L91=""N"",""🔴 SKIP — team news concern"",IF(L91=""Y"",""🟢 PLACE £""&amp;Bets!AJ89&amp;"" on ""&amp;Bets!AD89,"""""&amp;")))))))"),"🟡 WAIT — check team news first")</f>
        <v>🟡 WAIT — check team news first</v>
      </c>
      <c r="N91" s="101"/>
      <c r="O91" s="101"/>
      <c r="P91" s="96"/>
      <c r="Q91" s="102"/>
      <c r="R91" s="110" t="s">
        <v>113</v>
      </c>
      <c r="S91" s="100" t="str">
        <f>Bets!AU89</f>
        <v/>
      </c>
      <c r="T91" s="96"/>
      <c r="U91" s="103" t="str">
        <f t="shared" si="1"/>
        <v/>
      </c>
      <c r="V91" s="83"/>
      <c r="W91" s="83"/>
      <c r="X91" s="2"/>
      <c r="Y91" s="2"/>
      <c r="Z91" s="2"/>
    </row>
    <row r="92" ht="15.0" customHeight="1">
      <c r="A92" s="108">
        <f>Bets!A90</f>
        <v>89</v>
      </c>
      <c r="B92" s="109">
        <f>Bets!B90</f>
        <v>46207</v>
      </c>
      <c r="C92" s="107" t="str">
        <f>IF(Bets!H90="","TBC",Bets!H90)</f>
        <v>TBC</v>
      </c>
      <c r="D92" s="100" t="str">
        <f>Bets!D90&amp;"  v  "&amp;Bets!E90</f>
        <v>Paraguay  v  France</v>
      </c>
      <c r="E92" s="111">
        <v>19.0</v>
      </c>
      <c r="F92" s="111">
        <v>7.0</v>
      </c>
      <c r="G92" s="111">
        <v>1.18</v>
      </c>
      <c r="H92" s="97" t="str">
        <f>Bets!AD90</f>
        <v>1  Paraguay</v>
      </c>
      <c r="I92" s="98" t="str">
        <f>Bets!AH90</f>
        <v>PASS</v>
      </c>
      <c r="J92" s="99">
        <f>Bets!AJ90</f>
        <v>0</v>
      </c>
      <c r="K92" s="100" t="str">
        <f>Bets!AT90</f>
        <v>🛑 Tail trap — auto-PASS · EV 41.0% (cap 30%) · model/market 3.2× (cap 2.5×)</v>
      </c>
      <c r="L92" s="101"/>
      <c r="M92" s="97" t="str">
        <f>IFERROR(__xludf.DUMMYFUNCTION("IF(Bets!AH90=""·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pauses."")),IF(Bets!AH90&lt;&gt;""BET"",IF(OR(Bets!AF90&gt;Method!$B$87,IFERROR(INDEX(Bets!BC90:BE90,1,Bets!AB90)/INDEX(Bets!S90:U90,1,Bets!AB90),0)&gt;Method!$B$88),""🛑 NO BET — tail trap (EV ""&amp;TEXT(Bets!AF90,""0.0%"")&amp;"" / model ""&amp;TEXT(IFERROR(INDEX(Bets!BC90:"&amp;"BE90,1,Bets!AB90)/INDEX(Bets!S90:U90,1,Bets!AB90),0),""0.0"")&amp;""× market)"",""❌ NO BET — price not good enough""),IF(Bets!AJ90=0,""❌ NO BET — stake under minimum"",IF(L92="""",IF(AND(Bets!AE90&gt;=6,Bets!AG90&gt;=0.15),""🟡 WAIT — long-shot review: odds ""&amp;TEXT"&amp;"(Bets!AE90,""0.00"")&amp;"" + edge ""&amp;TEXT(Bets!AG90,""0.0%"")&amp;"" — verify sharp-book + team news + stake comfort"",""🟡 WAIT — check team news first""),IF(L92=""N"",""🔴 SKIP — team news concern"",IF(L92=""Y"",""🟢 PLACE £""&amp;Bets!AJ90&amp;"" on ""&amp;Bets!AD90,"""""&amp;")))))))"),"🛑 NO BET — tail trap (EV 41.0% / model 3.2× market)")</f>
        <v>🛑 NO BET — tail trap (EV 41.0% / model 3.2× market)</v>
      </c>
      <c r="N92" s="101"/>
      <c r="O92" s="101"/>
      <c r="P92" s="96"/>
      <c r="Q92" s="102"/>
      <c r="R92" s="110" t="s">
        <v>112</v>
      </c>
      <c r="S92" s="100" t="str">
        <f>Bets!AU90</f>
        <v/>
      </c>
      <c r="T92" s="96"/>
      <c r="U92" s="103" t="str">
        <f t="shared" si="1"/>
        <v/>
      </c>
      <c r="V92" s="83"/>
      <c r="W92" s="83"/>
      <c r="X92" s="2"/>
      <c r="Y92" s="2"/>
      <c r="Z92" s="2"/>
    </row>
    <row r="93" ht="15.0" customHeight="1">
      <c r="A93" s="108">
        <f>Bets!A91</f>
        <v>90</v>
      </c>
      <c r="B93" s="109">
        <f>Bets!B91</f>
        <v>46207</v>
      </c>
      <c r="C93" s="105" t="str">
        <f>IF(Bets!H91="","TBC",Bets!H91)</f>
        <v>TBC</v>
      </c>
      <c r="D93" s="100" t="str">
        <f>Bets!D91&amp;"  v  "&amp;Bets!E91</f>
        <v>Canada  v  Morocco</v>
      </c>
      <c r="E93" s="111">
        <v>5.6</v>
      </c>
      <c r="F93" s="112">
        <v>3.5</v>
      </c>
      <c r="G93" s="112">
        <v>1.72</v>
      </c>
      <c r="H93" s="97" t="str">
        <f>Bets!AD91</f>
        <v>1  Canada</v>
      </c>
      <c r="I93" s="98" t="str">
        <f>Bets!AH91</f>
        <v>BET</v>
      </c>
      <c r="J93" s="99">
        <f>Bets!AJ91</f>
        <v>5</v>
      </c>
      <c r="K93" s="100" t="str">
        <f>Bets!AT91</f>
        <v>Value found: EV 8.6%, edge 2.9%</v>
      </c>
      <c r="L93" s="101"/>
      <c r="M93" s="97" t="str">
        <f>IFERROR(__xludf.DUMMYFUNCTION("IF(Bets!AH91=""·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pauses."")),IF(Bets!AH91&lt;&gt;""BET"",IF(OR(Bets!AF91&gt;Method!$B$87,IFERROR(INDEX(Bets!BC91:BE91,1,Bets!AB91)/INDEX(Bets!S91:U91,1,Bets!AB91),0)&gt;Method!$B$88),""🛑 NO BET — tail trap (EV ""&amp;TEXT(Bets!AF91,""0.0%"")&amp;"" / model ""&amp;TEXT(IFERROR(INDEX(Bets!BC91:"&amp;"BE91,1,Bets!AB91)/INDEX(Bets!S91:U91,1,Bets!AB91),0),""0.0"")&amp;""× market)"",""❌ NO BET — price not good enough""),IF(Bets!AJ91=0,""❌ NO BET — stake under minimum"",IF(L93="""",IF(AND(Bets!AE91&gt;=6,Bets!AG91&gt;=0.15),""🟡 WAIT — long-shot review: odds ""&amp;TEXT"&amp;"(Bets!AE91,""0.00"")&amp;"" + edge ""&amp;TEXT(Bets!AG91,""0.0%"")&amp;"" — verify sharp-book + team news + stake comfort"",""🟡 WAIT — check team news first""),IF(L93=""N"",""🔴 SKIP — team news concern"",IF(L93=""Y"",""🟢 PLACE £""&amp;Bets!AJ91&amp;"" on ""&amp;Bets!AD91,"""""&amp;")))))))"),"🟡 WAIT — check team news first")</f>
        <v>🟡 WAIT — check team news first</v>
      </c>
      <c r="N93" s="101"/>
      <c r="O93" s="101"/>
      <c r="P93" s="96"/>
      <c r="Q93" s="102"/>
      <c r="R93" s="110" t="s">
        <v>112</v>
      </c>
      <c r="S93" s="100" t="str">
        <f>Bets!AU91</f>
        <v/>
      </c>
      <c r="T93" s="96"/>
      <c r="U93" s="103" t="str">
        <f t="shared" si="1"/>
        <v/>
      </c>
      <c r="V93" s="83"/>
      <c r="W93" s="83"/>
      <c r="X93" s="2"/>
      <c r="Y93" s="2"/>
      <c r="Z93" s="2"/>
    </row>
    <row r="94" ht="15.0" customHeight="1">
      <c r="A94" s="108">
        <f>Bets!A92</f>
        <v>91</v>
      </c>
      <c r="B94" s="109">
        <f>Bets!B92</f>
        <v>46208</v>
      </c>
      <c r="C94" s="105" t="str">
        <f>IF(Bets!H92="","TBC",Bets!H92)</f>
        <v>TBC</v>
      </c>
      <c r="D94" s="100" t="str">
        <f>Bets!D92&amp;"  v  "&amp;Bets!E92</f>
        <v>Brazil  v  Norway</v>
      </c>
      <c r="E94" s="111">
        <v>1.85</v>
      </c>
      <c r="F94" s="111">
        <v>3.75</v>
      </c>
      <c r="G94" s="111">
        <v>4.5</v>
      </c>
      <c r="H94" s="97" t="str">
        <f>Bets!AD92</f>
        <v>2  Norway</v>
      </c>
      <c r="I94" s="98" t="str">
        <f>Bets!AH92</f>
        <v>BET</v>
      </c>
      <c r="J94" s="99">
        <f>Bets!AJ92</f>
        <v>9</v>
      </c>
      <c r="K94" s="100" t="str">
        <f>Bets!AT92</f>
        <v>Value found: EV 12.3%, edge 3.6%</v>
      </c>
      <c r="L94" s="101"/>
      <c r="M94" s="97" t="str">
        <f>IFERROR(__xludf.DUMMYFUNCTION("IF(Bets!AH92=""·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pauses."")),IF(Bets!AH92&lt;&gt;""BET"",IF(OR(Bets!AF92&gt;Method!$B$87,IFERROR(INDEX(Bets!BC92:BE92,1,Bets!AB92)/INDEX(Bets!S92:U92,1,Bets!AB92),0)&gt;Method!$B$88),""🛑 NO BET — tail trap (EV ""&amp;TEXT(Bets!AF92,""0.0%"")&amp;"" / model ""&amp;TEXT(IFERROR(INDEX(Bets!BC92:"&amp;"BE92,1,Bets!AB92)/INDEX(Bets!S92:U92,1,Bets!AB92),0),""0.0"")&amp;""× market)"",""❌ NO BET — price not good enough""),IF(Bets!AJ92=0,""❌ NO BET — stake under minimum"",IF(L94="""",IF(AND(Bets!AE92&gt;=6,Bets!AG92&gt;=0.15),""🟡 WAIT — long-shot review: odds ""&amp;TEXT"&amp;"(Bets!AE92,""0.00"")&amp;"" + edge ""&amp;TEXT(Bets!AG92,""0.0%"")&amp;"" — verify sharp-book + team news + stake comfort"",""🟡 WAIT — check team news first""),IF(L94=""N"",""🔴 SKIP — team news concern"",IF(L94=""Y"",""🟢 PLACE £""&amp;Bets!AJ92&amp;"" on ""&amp;Bets!AD92,"""""&amp;")))))))"),"🟡 WAIT — check team news first")</f>
        <v>🟡 WAIT — check team news first</v>
      </c>
      <c r="N94" s="101"/>
      <c r="O94" s="101"/>
      <c r="P94" s="96"/>
      <c r="Q94" s="102"/>
      <c r="R94" s="110" t="s">
        <v>112</v>
      </c>
      <c r="S94" s="100" t="str">
        <f>Bets!AU92</f>
        <v/>
      </c>
      <c r="T94" s="96"/>
      <c r="U94" s="103" t="str">
        <f t="shared" si="1"/>
        <v/>
      </c>
      <c r="V94" s="83"/>
      <c r="W94" s="83"/>
      <c r="X94" s="2"/>
      <c r="Y94" s="2"/>
      <c r="Z94" s="2"/>
    </row>
    <row r="95" ht="15.0" customHeight="1">
      <c r="A95" s="108">
        <f>Bets!A93</f>
        <v>92</v>
      </c>
      <c r="B95" s="109">
        <f>Bets!B93</f>
        <v>46208</v>
      </c>
      <c r="C95" s="105" t="str">
        <f>IF(Bets!H93="","TBC",Bets!H93)</f>
        <v>TBC</v>
      </c>
      <c r="D95" s="100" t="str">
        <f>Bets!D93&amp;"  v  "&amp;Bets!E93</f>
        <v>Mexico  v  England</v>
      </c>
      <c r="E95" s="111">
        <v>3.1</v>
      </c>
      <c r="F95" s="111">
        <v>3.2</v>
      </c>
      <c r="G95" s="111">
        <v>2.45</v>
      </c>
      <c r="H95" s="97" t="str">
        <f>Bets!AD93</f>
        <v>2  England</v>
      </c>
      <c r="I95" s="98" t="str">
        <f>Bets!AH93</f>
        <v>PASS</v>
      </c>
      <c r="J95" s="99">
        <f>Bets!AJ93</f>
        <v>0</v>
      </c>
      <c r="K95" s="100" t="str">
        <f>Bets!AT93</f>
        <v>Price too short — EV -0.2% (need 2.5%+)</v>
      </c>
      <c r="L95" s="101"/>
      <c r="M95" s="97" t="str">
        <f>IFERROR(__xludf.DUMMYFUNCTION("IF(Bets!AH93=""·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pauses."")),IF(Bets!AH93&lt;&gt;""BET"",IF(OR(Bets!AF93&gt;Method!$B$87,IFERROR(INDEX(Bets!BC93:BE93,1,Bets!AB93)/INDEX(Bets!S93:U93,1,Bets!AB93),0)&gt;Method!$B$88),""🛑 NO BET — tail trap (EV ""&amp;TEXT(Bets!AF93,""0.0%"")&amp;"" / model ""&amp;TEXT(IFERROR(INDEX(Bets!BC93:"&amp;"BE93,1,Bets!AB93)/INDEX(Bets!S93:U93,1,Bets!AB93),0),""0.0"")&amp;""× market)"",""❌ NO BET — price not good enough""),IF(Bets!AJ93=0,""❌ NO BET — stake under minimum"",IF(L95="""",IF(AND(Bets!AE93&gt;=6,Bets!AG93&gt;=0.15),""🟡 WAIT — long-shot review: odds ""&amp;TEXT"&amp;"(Bets!AE93,""0.00"")&amp;"" + edge ""&amp;TEXT(Bets!AG93,""0.0%"")&amp;"" — verify sharp-book + team news + stake comfort"",""🟡 WAIT — check team news first""),IF(L95=""N"",""🔴 SKIP — team news concern"",IF(L95=""Y"",""🟢 PLACE £""&amp;Bets!AJ93&amp;"" on ""&amp;Bets!AD93,"""""&amp;")))))))"),"❌ NO BET — price not good enough")</f>
        <v>❌ NO BET — price not good enough</v>
      </c>
      <c r="N95" s="101"/>
      <c r="O95" s="101"/>
      <c r="P95" s="96"/>
      <c r="Q95" s="102"/>
      <c r="R95" s="110" t="s">
        <v>112</v>
      </c>
      <c r="S95" s="100" t="str">
        <f>Bets!AU93</f>
        <v/>
      </c>
      <c r="T95" s="96"/>
      <c r="U95" s="103" t="str">
        <f t="shared" si="1"/>
        <v/>
      </c>
      <c r="V95" s="83"/>
      <c r="W95" s="83"/>
      <c r="X95" s="2"/>
      <c r="Y95" s="2"/>
      <c r="Z95" s="2"/>
    </row>
    <row r="96" ht="15.0" customHeight="1">
      <c r="A96" s="108">
        <f>Bets!A94</f>
        <v>93</v>
      </c>
      <c r="B96" s="109">
        <f>Bets!B94</f>
        <v>46209</v>
      </c>
      <c r="C96" s="105" t="str">
        <f>IF(Bets!H94="","TBC",Bets!H94)</f>
        <v>TBC</v>
      </c>
      <c r="D96" s="100" t="str">
        <f>Bets!D94&amp;"  v  "&amp;Bets!E94</f>
        <v>Portugal  v  Spain</v>
      </c>
      <c r="E96" s="111">
        <v>4.0</v>
      </c>
      <c r="F96" s="111">
        <v>3.6</v>
      </c>
      <c r="G96" s="111">
        <v>1.9</v>
      </c>
      <c r="H96" s="97" t="str">
        <f>Bets!AD94</f>
        <v>2  Spain</v>
      </c>
      <c r="I96" s="98" t="str">
        <f>Bets!AH94</f>
        <v>PASS</v>
      </c>
      <c r="J96" s="99">
        <f>Bets!AJ94</f>
        <v>0</v>
      </c>
      <c r="K96" s="100" t="str">
        <f>Bets!AT94</f>
        <v>Price too short — EV 0.5% (need 2.5%+)</v>
      </c>
      <c r="L96" s="101"/>
      <c r="M96" s="97" t="str">
        <f>IFERROR(__xludf.DUMMYFUNCTION("IF(Bets!AH94=""·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pauses."")),IF(Bets!AH94&lt;&gt;""BET"",IF(OR(Bets!AF94&gt;Method!$B$87,IFERROR(INDEX(Bets!BC94:BE94,1,Bets!AB94)/INDEX(Bets!S94:U94,1,Bets!AB94),0)&gt;Method!$B$88),""🛑 NO BET — tail trap (EV ""&amp;TEXT(Bets!AF94,""0.0%"")&amp;"" / model ""&amp;TEXT(IFERROR(INDEX(Bets!BC94:"&amp;"BE94,1,Bets!AB94)/INDEX(Bets!S94:U94,1,Bets!AB94),0),""0.0"")&amp;""× market)"",""❌ NO BET — price not good enough""),IF(Bets!AJ94=0,""❌ NO BET — stake under minimum"",IF(L96="""",IF(AND(Bets!AE94&gt;=6,Bets!AG94&gt;=0.15),""🟡 WAIT — long-shot review: odds ""&amp;TEXT"&amp;"(Bets!AE94,""0.00"")&amp;"" + edge ""&amp;TEXT(Bets!AG94,""0.0%"")&amp;"" — verify sharp-book + team news + stake comfort"",""🟡 WAIT — check team news first""),IF(L96=""N"",""🔴 SKIP — team news concern"",IF(L96=""Y"",""🟢 PLACE £""&amp;Bets!AJ94&amp;"" on ""&amp;Bets!AD94,"""""&amp;")))))))"),"❌ NO BET — price not good enough")</f>
        <v>❌ NO BET — price not good enough</v>
      </c>
      <c r="N96" s="101"/>
      <c r="O96" s="101"/>
      <c r="P96" s="96"/>
      <c r="Q96" s="102"/>
      <c r="R96" s="110" t="s">
        <v>112</v>
      </c>
      <c r="S96" s="100" t="str">
        <f>Bets!AU94</f>
        <v/>
      </c>
      <c r="T96" s="96"/>
      <c r="U96" s="103" t="str">
        <f t="shared" si="1"/>
        <v/>
      </c>
      <c r="V96" s="83"/>
      <c r="W96" s="83"/>
      <c r="X96" s="2"/>
      <c r="Y96" s="2"/>
      <c r="Z96" s="2"/>
    </row>
    <row r="97" ht="15.0" customHeight="1">
      <c r="A97" s="108">
        <f>Bets!A95</f>
        <v>94</v>
      </c>
      <c r="B97" s="109">
        <f>Bets!B95</f>
        <v>46209</v>
      </c>
      <c r="C97" s="107" t="str">
        <f>IF(Bets!H95="","TBC",Bets!H95)</f>
        <v>TBC</v>
      </c>
      <c r="D97" s="100" t="str">
        <f>Bets!D95&amp;"  v  "&amp;Bets!E95</f>
        <v>United States  v  Belgium</v>
      </c>
      <c r="E97" s="111">
        <v>2.75</v>
      </c>
      <c r="F97" s="111">
        <v>3.3</v>
      </c>
      <c r="G97" s="111">
        <v>2.6</v>
      </c>
      <c r="H97" s="97" t="str">
        <f>Bets!AD95</f>
        <v>2  Belgium</v>
      </c>
      <c r="I97" s="98" t="str">
        <f>Bets!AH95</f>
        <v>BET</v>
      </c>
      <c r="J97" s="99">
        <f>Bets!AJ95</f>
        <v>16</v>
      </c>
      <c r="K97" s="100" t="str">
        <f>Bets!AT95</f>
        <v>Value found: EV 10.5%, edge 5.8%</v>
      </c>
      <c r="L97" s="101"/>
      <c r="M97" s="97" t="str">
        <f>IFERROR(__xludf.DUMMYFUNCTION("IF(Bets!AH95=""·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pauses."")),IF(Bets!AH95&lt;&gt;""BET"",IF(OR(Bets!AF95&gt;Method!$B$87,IFERROR(INDEX(Bets!BC95:BE95,1,Bets!AB95)/INDEX(Bets!S95:U95,1,Bets!AB95),0)&gt;Method!$B$88),""🛑 NO BET — tail trap (EV ""&amp;TEXT(Bets!AF95,""0.0%"")&amp;"" / model ""&amp;TEXT(IFERROR(INDEX(Bets!BC95:"&amp;"BE95,1,Bets!AB95)/INDEX(Bets!S95:U95,1,Bets!AB95),0),""0.0"")&amp;""× market)"",""❌ NO BET — price not good enough""),IF(Bets!AJ95=0,""❌ NO BET — stake under minimum"",IF(L97="""",IF(AND(Bets!AE95&gt;=6,Bets!AG95&gt;=0.15),""🟡 WAIT — long-shot review: odds ""&amp;TEXT"&amp;"(Bets!AE95,""0.00"")&amp;"" + edge ""&amp;TEXT(Bets!AG95,""0.0%"")&amp;"" — verify sharp-book + team news + stake comfort"",""🟡 WAIT — check team news first""),IF(L97=""N"",""🔴 SKIP — team news concern"",IF(L97=""Y"",""🟢 PLACE £""&amp;Bets!AJ95&amp;"" on ""&amp;Bets!AD95,"""""&amp;")))))))"),"🟡 WAIT — check team news first")</f>
        <v>🟡 WAIT — check team news first</v>
      </c>
      <c r="N97" s="101"/>
      <c r="O97" s="101"/>
      <c r="P97" s="96"/>
      <c r="Q97" s="102"/>
      <c r="R97" s="110" t="s">
        <v>112</v>
      </c>
      <c r="S97" s="100" t="str">
        <f>Bets!AU95</f>
        <v/>
      </c>
      <c r="T97" s="96"/>
      <c r="U97" s="103" t="str">
        <f t="shared" si="1"/>
        <v/>
      </c>
      <c r="V97" s="83"/>
      <c r="W97" s="83"/>
      <c r="X97" s="2"/>
      <c r="Y97" s="2"/>
      <c r="Z97" s="2"/>
    </row>
    <row r="98" ht="15.0" customHeight="1">
      <c r="A98" s="108">
        <f>Bets!A96</f>
        <v>95</v>
      </c>
      <c r="B98" s="109">
        <f>Bets!B96</f>
        <v>46210</v>
      </c>
      <c r="C98" s="107" t="str">
        <f>IF(Bets!H96="","TBC",Bets!H96)</f>
        <v>TBC</v>
      </c>
      <c r="D98" s="100" t="str">
        <f>Bets!D96&amp;"  v  "&amp;Bets!E96</f>
        <v>Argentina  v  Egypt</v>
      </c>
      <c r="E98" s="111">
        <v>1.36</v>
      </c>
      <c r="F98" s="111">
        <v>5.0</v>
      </c>
      <c r="G98" s="111">
        <v>10.0</v>
      </c>
      <c r="H98" s="97" t="str">
        <f>Bets!AD96</f>
        <v>1  Argentina</v>
      </c>
      <c r="I98" s="98" t="str">
        <f>Bets!AH96</f>
        <v>PASS</v>
      </c>
      <c r="J98" s="99">
        <f>Bets!AJ96</f>
        <v>0</v>
      </c>
      <c r="K98" s="100" t="str">
        <f>Bets!AT96</f>
        <v>Price too short — EV -0.1% (need 2.5%+)</v>
      </c>
      <c r="L98" s="101"/>
      <c r="M98" s="97" t="str">
        <f>IFERROR(__xludf.DUMMYFUNCTION("IF(Bets!AH96=""·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pauses."")),IF(Bets!AH96&lt;&gt;""BET"",IF(OR(Bets!AF96&gt;Method!$B$87,IFERROR(INDEX(Bets!BC96:BE96,1,Bets!AB96)/INDEX(Bets!S96:U96,1,Bets!AB96),0)&gt;Method!$B$88),""🛑 NO BET — tail trap (EV ""&amp;TEXT(Bets!AF96,""0.0%"")&amp;"" / model ""&amp;TEXT(IFERROR(INDEX(Bets!BC96:"&amp;"BE96,1,Bets!AB96)/INDEX(Bets!S96:U96,1,Bets!AB96),0),""0.0"")&amp;""× market)"",""❌ NO BET — price not good enough""),IF(Bets!AJ96=0,""❌ NO BET — stake under minimum"",IF(L98="""",IF(AND(Bets!AE96&gt;=6,Bets!AG96&gt;=0.15),""🟡 WAIT — long-shot review: odds ""&amp;TEXT"&amp;"(Bets!AE96,""0.00"")&amp;"" + edge ""&amp;TEXT(Bets!AG96,""0.0%"")&amp;"" — verify sharp-book + team news + stake comfort"",""🟡 WAIT — check team news first""),IF(L98=""N"",""🔴 SKIP — team news concern"",IF(L98=""Y"",""🟢 PLACE £""&amp;Bets!AJ96&amp;"" on ""&amp;Bets!AD96,"""""&amp;")))))))"),"❌ NO BET — price not good enough")</f>
        <v>❌ NO BET — price not good enough</v>
      </c>
      <c r="N98" s="101"/>
      <c r="O98" s="101"/>
      <c r="P98" s="96"/>
      <c r="Q98" s="102"/>
      <c r="R98" s="110" t="s">
        <v>111</v>
      </c>
      <c r="S98" s="100" t="str">
        <f>Bets!AU96</f>
        <v/>
      </c>
      <c r="T98" s="96"/>
      <c r="U98" s="103" t="str">
        <f t="shared" si="1"/>
        <v/>
      </c>
      <c r="V98" s="83"/>
      <c r="W98" s="83"/>
      <c r="X98" s="2"/>
      <c r="Y98" s="2"/>
      <c r="Z98" s="2"/>
    </row>
    <row r="99" ht="15.0" customHeight="1">
      <c r="A99" s="108">
        <f>Bets!A97</f>
        <v>96</v>
      </c>
      <c r="B99" s="109">
        <f>Bets!B97</f>
        <v>46210</v>
      </c>
      <c r="C99" s="105" t="str">
        <f>IF(Bets!H97="","TBC",Bets!H97)</f>
        <v>TBC</v>
      </c>
      <c r="D99" s="100" t="str">
        <f>Bets!D97&amp;"  v  "&amp;Bets!E97</f>
        <v>Switzerland  v  Colombia</v>
      </c>
      <c r="E99" s="111">
        <v>3.5</v>
      </c>
      <c r="F99" s="111">
        <v>3.3</v>
      </c>
      <c r="G99" s="111">
        <v>2.25</v>
      </c>
      <c r="H99" s="97" t="str">
        <f>Bets!AD97</f>
        <v>2  Colombia</v>
      </c>
      <c r="I99" s="98" t="str">
        <f>Bets!AH97</f>
        <v>PASS</v>
      </c>
      <c r="J99" s="99">
        <f>Bets!AJ97</f>
        <v>0</v>
      </c>
      <c r="K99" s="100" t="str">
        <f>Bets!AT97</f>
        <v>Price too short — EV -2.1% (need 2.5%+)</v>
      </c>
      <c r="L99" s="101"/>
      <c r="M99" s="97" t="str">
        <f>IFERROR(__xludf.DUMMYFUNCTION("IF(Bets!AH97=""·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pauses."")),IF(Bets!AH97&lt;&gt;""BET"",IF(OR(Bets!AF97&gt;Method!$B$87,IFERROR(INDEX(Bets!BC97:BE97,1,Bets!AB97)/INDEX(Bets!S97:U97,1,Bets!AB97),0)&gt;Method!$B$88),""🛑 NO BET — tail trap (EV ""&amp;TEXT(Bets!AF97,""0.0%"")&amp;"" / model ""&amp;TEXT(IFERROR(INDEX(Bets!BC97:"&amp;"BE97,1,Bets!AB97)/INDEX(Bets!S97:U97,1,Bets!AB97),0),""0.0"")&amp;""× market)"",""❌ NO BET — price not good enough""),IF(Bets!AJ97=0,""❌ NO BET — stake under minimum"",IF(L99="""",IF(AND(Bets!AE97&gt;=6,Bets!AG97&gt;=0.15),""🟡 WAIT — long-shot review: odds ""&amp;TEXT"&amp;"(Bets!AE97,""0.00"")&amp;"" + edge ""&amp;TEXT(Bets!AG97,""0.0%"")&amp;"" — verify sharp-book + team news + stake comfort"",""🟡 WAIT — check team news first""),IF(L99=""N"",""🔴 SKIP — team news concern"",IF(L99=""Y"",""🟢 PLACE £""&amp;Bets!AJ97&amp;"" on ""&amp;Bets!AD97,"""""&amp;")))))))"),"❌ NO BET — price not good enough")</f>
        <v>❌ NO BET — price not good enough</v>
      </c>
      <c r="N99" s="101"/>
      <c r="O99" s="101"/>
      <c r="P99" s="96"/>
      <c r="Q99" s="102"/>
      <c r="R99" s="110" t="s">
        <v>113</v>
      </c>
      <c r="S99" s="100" t="str">
        <f>Bets!AU97</f>
        <v/>
      </c>
      <c r="T99" s="96"/>
      <c r="U99" s="103" t="str">
        <f t="shared" si="1"/>
        <v/>
      </c>
      <c r="V99" s="83"/>
      <c r="W99" s="83"/>
      <c r="X99" s="2"/>
      <c r="Y99" s="2"/>
      <c r="Z99" s="2"/>
    </row>
    <row r="100" ht="15.0" customHeight="1">
      <c r="A100" s="108">
        <f>Bets!A98</f>
        <v>97</v>
      </c>
      <c r="B100" s="109">
        <f>Bets!B98</f>
        <v>46212</v>
      </c>
      <c r="C100" s="105" t="str">
        <f>IF(Bets!H98="","TBC",Bets!H98)</f>
        <v>TBC</v>
      </c>
      <c r="D100" s="100" t="str">
        <f>Bets!D98&amp;"  v  "&amp;Bets!E98</f>
        <v>France  v  Morocco</v>
      </c>
      <c r="E100" s="111">
        <v>1.57</v>
      </c>
      <c r="F100" s="111">
        <v>3.9</v>
      </c>
      <c r="G100" s="111">
        <v>6.5</v>
      </c>
      <c r="H100" s="97" t="str">
        <f>Bets!AD98</f>
        <v>2  Morocco</v>
      </c>
      <c r="I100" s="98" t="str">
        <f>Bets!AH98</f>
        <v>BET</v>
      </c>
      <c r="J100" s="99">
        <f>Bets!AJ98</f>
        <v>14</v>
      </c>
      <c r="K100" s="100" t="str">
        <f>Bets!AT98</f>
        <v>Value found: EV 29.7%, edge 5.9%</v>
      </c>
      <c r="L100" s="101"/>
      <c r="M100" s="97" t="str">
        <f>IFERROR(__xludf.DUMMYFUNCTION("IF(Bets!AH98=""·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pauses."")),IF(Bets!AH98&lt;&gt;""BET"",IF(OR(Bets!AF98&gt;Method!$B$87,IFERROR(INDEX(Bets!BC98:BE98,1,Bets!AB98)/INDEX(Bets!S98:U98,1,Bets!AB98),0)&gt;Method!$B$88),""🛑 NO BET — tail trap (EV ""&amp;TEXT(Bets!AF98,""0.0%"")&amp;"" / model ""&amp;TEXT(IFERROR(INDEX(Bets!BC98:"&amp;"BE98,1,Bets!AB98)/INDEX(Bets!S98:U98,1,Bets!AB98),0),""0.0"")&amp;""× market)"",""❌ NO BET — price not good enough""),IF(Bets!AJ98=0,""❌ NO BET — stake under minimum"",IF(L100="""",IF(AND(Bets!AE98&gt;=6,Bets!AG98&gt;=0.15),""🟡 WAIT — long-shot review: odds ""&amp;TEX"&amp;"T(Bets!AE98,""0.00"")&amp;"" + edge ""&amp;TEXT(Bets!AG98,""0.0%"")&amp;"" — verify sharp-book + team news + stake comfort"",""🟡 WAIT — check team news first""),IF(L100=""N"",""🔴 SKIP — team news concern"",IF(L100=""Y"",""🟢 PLACE £""&amp;Bets!AJ98&amp;"" on ""&amp;Bets!AD98,"&amp;""""")))))))"),"🟡 WAIT — check team news first")</f>
        <v>🟡 WAIT — check team news first</v>
      </c>
      <c r="N100" s="101"/>
      <c r="O100" s="101"/>
      <c r="P100" s="96"/>
      <c r="Q100" s="102"/>
      <c r="R100" s="110"/>
      <c r="S100" s="100" t="str">
        <f>Bets!AU98</f>
        <v/>
      </c>
      <c r="T100" s="96"/>
      <c r="U100" s="103" t="str">
        <f t="shared" si="1"/>
        <v/>
      </c>
      <c r="V100" s="83"/>
      <c r="W100" s="83"/>
      <c r="X100" s="2"/>
      <c r="Y100" s="2"/>
      <c r="Z100" s="2"/>
    </row>
    <row r="101" ht="15.0" customHeight="1">
      <c r="A101" s="108">
        <f>Bets!A99</f>
        <v>98</v>
      </c>
      <c r="B101" s="109">
        <f>Bets!B99</f>
        <v>46213</v>
      </c>
      <c r="C101" s="105" t="str">
        <f>IF(Bets!H99="","TBC",Bets!H99)</f>
        <v>TBC</v>
      </c>
      <c r="D101" s="100" t="str">
        <f>Bets!D99&amp;"  v  "&amp;Bets!E99</f>
        <v>Spain  v  Belgium</v>
      </c>
      <c r="E101" s="111">
        <v>1.61</v>
      </c>
      <c r="F101" s="111">
        <v>3.9</v>
      </c>
      <c r="G101" s="111">
        <v>5.5</v>
      </c>
      <c r="H101" s="97" t="str">
        <f>Bets!AD99</f>
        <v>1  Spain</v>
      </c>
      <c r="I101" s="98" t="str">
        <f>Bets!AH99</f>
        <v>PASS</v>
      </c>
      <c r="J101" s="99">
        <f>Bets!AJ99</f>
        <v>0</v>
      </c>
      <c r="K101" s="100" t="str">
        <f>Bets!AT99</f>
        <v>Price too short — EV 0.3% (need 2.5%+)</v>
      </c>
      <c r="L101" s="101"/>
      <c r="M101" s="97" t="str">
        <f>IFERROR(__xludf.DUMMYFUNCTION("IF(Bets!AH99=""· enter odds"","""",IF(Method!$B$55=TRUE(),IF(Method!$B$81=TRUE(),IF(REGEXMATCH(LOWER(Method!$B$63),""circuit""),""🛑 PAUSED — circuit breaker upstream; wait for a clean live refresh."",IF(REGEXMATCH(LOWER(Method!$B$63),""pipeline""),""🛑 P"&amp;"AUSED — live pipeline warning; check Live!B11/Method!B62 before betting."",IF(REGEXMATCH(LOWER(Method!$B$63),""missing""),""🛑 PAUSED — feed timestamp missing; refresh feed before betting."",""🛑 PAUSED — feed stale (&gt;25 min); refresh feed before betting."&amp;"""))),IF(Method!$B$51&gt;=Method!$B$52,""🛑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stale/circuit-breaker/pipelin"&amp;"e pauses."")),IF(Bets!AH99&lt;&gt;""BET"",IF(OR(Bets!AF99&gt;Method!$B$87,IFERROR(INDEX(Bets!BC99:BE99,1,Bets!AB99)/INDEX(Bets!S99:U99,1,Bets!AB99),0)&gt;Method!$B$88),""🛑 NO BET — tail trap (EV ""&amp;TEXT(Bets!AF99,""0.0%"")&amp;"" / model ""&amp;TEXT(IFERROR(INDEX(Bets!BC99:"&amp;"BE99,1,Bets!AB99)/INDEX(Bets!S99:U99,1,Bets!AB99),0),""0.0"")&amp;""× market)"",""❌ NO BET — price not good enough""),IF(Bets!AJ99=0,""❌ NO BET — stake under minimum"",IF(L101="""",IF(AND(Bets!AE99&gt;=6,Bets!AG99&gt;=0.15),""🟡 WAIT — long-shot review: odds ""&amp;TEX"&amp;"T(Bets!AE99,""0.00"")&amp;"" + edge ""&amp;TEXT(Bets!AG99,""0.0%"")&amp;"" — verify sharp-book + team news + stake comfort"",""🟡 WAIT — check team news first""),IF(L101=""N"",""🔴 SKIP — team news concern"",IF(L101=""Y"",""🟢 PLACE £""&amp;Bets!AJ99&amp;"" on ""&amp;Bets!AD99,"&amp;""""")))))))"),"❌ NO BET — price not good enough")</f>
        <v>❌ NO BET — price not good enough</v>
      </c>
      <c r="N101" s="101"/>
      <c r="O101" s="101"/>
      <c r="P101" s="96"/>
      <c r="Q101" s="102"/>
      <c r="R101" s="110"/>
      <c r="S101" s="100" t="str">
        <f>Bets!AU99</f>
        <v/>
      </c>
      <c r="T101" s="96"/>
      <c r="U101" s="103" t="str">
        <f t="shared" si="1"/>
        <v/>
      </c>
      <c r="V101" s="83"/>
      <c r="W101" s="83"/>
      <c r="X101" s="2"/>
      <c r="Y101" s="2"/>
      <c r="Z101" s="2"/>
    </row>
    <row r="102" ht="15.0" customHeight="1">
      <c r="A102" s="108">
        <f>Bets!A100</f>
        <v>99</v>
      </c>
      <c r="B102" s="109">
        <f>Bets!B100</f>
        <v>46214</v>
      </c>
      <c r="C102" s="105" t="str">
        <f>IF(Bets!H100="","TBC",Bets!H100)</f>
        <v>TBC</v>
      </c>
      <c r="D102" s="100" t="str">
        <f>Bets!D100&amp;"  v  "&amp;Bets!E100</f>
        <v>Norway  v  England</v>
      </c>
      <c r="E102" s="111">
        <v>4.2</v>
      </c>
      <c r="F102" s="111">
        <v>3.7</v>
      </c>
      <c r="G102" s="111">
        <v>1.85</v>
      </c>
      <c r="H102" s="97" t="str">
        <f>Bets!AD100</f>
        <v>1  Norway</v>
      </c>
      <c r="I102" s="98" t="str">
        <f>Bets!AH100</f>
        <v>PASS</v>
      </c>
      <c r="J102" s="99">
        <f>Bets!AJ100</f>
        <v>0</v>
      </c>
      <c r="K102" s="100" t="str">
        <f>Bets!AT100</f>
        <v>Price too short — EV 1.8% (need 2.5%+)</v>
      </c>
      <c r="L102" s="101"/>
      <c r="M102" s="97" t="str">
        <f>IFERROR(__xludf.DUMMYFUNCTION("IF(Bets!AH100=""· enter odds"","""",IF(Method!$B$55=TRUE(),IF(Method!$B$81=TRUE(),IF(REGEXMATCH(LOWER(Method!$B$63),""circuit""),""🛑 PAUSED — circuit breaker upstream; wait for a clean live refresh."",IF(REGEXMATCH(LOWER(Method!$B$63),""pipeline""),""🛑 "&amp;"PAUSED — live pipeline warning; check Live!B11/Method!B62 before betting."",IF(REGEXMATCH(LOWER(Method!$B$63),""missing""),""🛑 PAUSED — feed timestamp missing; refresh feed before betting."",""🛑 PAUSED — feed stale (&gt;25 min); refresh feed before betting"&amp;".""))),IF(Method!$B$51&gt;=Method!$B$52,""🛑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stale/circuit-breaker/pipeli"&amp;"ne pauses."")),IF(Bets!AH100&lt;&gt;""BET"",IF(OR(Bets!AF100&gt;Method!$B$87,IFERROR(INDEX(Bets!BC100:BE100,1,Bets!AB100)/INDEX(Bets!S100:U100,1,Bets!AB100),0)&gt;Method!$B$88),""🛑 NO BET — tail trap (EV ""&amp;TEXT(Bets!AF100,""0.0%"")&amp;"" / model ""&amp;TEXT(IFERROR(INDEX("&amp;"Bets!BC100:BE100,1,Bets!AB100)/INDEX(Bets!S100:U100,1,Bets!AB100),0),""0.0"")&amp;""× market)"",""❌ NO BET — price not good enough""),IF(Bets!AJ100=0,""❌ NO BET — stake under minimum"",IF(L102="""",IF(AND(Bets!AE100&gt;=6,Bets!AG100&gt;=0.15),""🟡 WAIT — long-shot "&amp;"review: odds ""&amp;TEXT(Bets!AE100,""0.00"")&amp;"" + edge ""&amp;TEXT(Bets!AG100,""0.0%"")&amp;"" — verify sharp-book + team news + stake comfort"",""🟡 WAIT — check team news first""),IF(L102=""N"",""🔴 SKIP — team news concern"",IF(L102=""Y"",""🟢 PLACE £""&amp;Bets!AJ10"&amp;"0&amp;"" on ""&amp;Bets!AD100,"""")))))))"),"❌ NO BET — price not good enough")</f>
        <v>❌ NO BET — price not good enough</v>
      </c>
      <c r="N102" s="101"/>
      <c r="O102" s="101"/>
      <c r="P102" s="96"/>
      <c r="Q102" s="102"/>
      <c r="R102" s="110"/>
      <c r="S102" s="100" t="str">
        <f>Bets!AU100</f>
        <v/>
      </c>
      <c r="T102" s="96"/>
      <c r="U102" s="103" t="str">
        <f t="shared" si="1"/>
        <v/>
      </c>
      <c r="V102" s="83"/>
      <c r="W102" s="83"/>
      <c r="X102" s="2"/>
      <c r="Y102" s="2"/>
      <c r="Z102" s="2"/>
    </row>
    <row r="103" ht="15.0" customHeight="1">
      <c r="A103" s="108">
        <f>Bets!A101</f>
        <v>100</v>
      </c>
      <c r="B103" s="109">
        <f>Bets!B101</f>
        <v>46214</v>
      </c>
      <c r="C103" s="107" t="str">
        <f>IF(Bets!H101="","TBC",Bets!H101)</f>
        <v>TBC</v>
      </c>
      <c r="D103" s="100" t="str">
        <f>Bets!D101&amp;"  v  "&amp;Bets!E101</f>
        <v>Argentina  v  Switzerland</v>
      </c>
      <c r="E103" s="111">
        <v>1.72</v>
      </c>
      <c r="F103" s="111">
        <v>3.5</v>
      </c>
      <c r="G103" s="111">
        <v>5.5</v>
      </c>
      <c r="H103" s="97" t="str">
        <f>Bets!AD101</f>
        <v>1  Argentina</v>
      </c>
      <c r="I103" s="98" t="str">
        <f>Bets!AH101</f>
        <v>BET</v>
      </c>
      <c r="J103" s="99">
        <f>Bets!AJ101</f>
        <v>10</v>
      </c>
      <c r="K103" s="100" t="str">
        <f>Bets!AT101</f>
        <v>Value found: EV 2.9%, edge 3.6%</v>
      </c>
      <c r="L103" s="101"/>
      <c r="M103" s="97" t="str">
        <f>IFERROR(__xludf.DUMMYFUNCTION("IF(Bets!AH101=""· enter odds"","""",IF(Method!$B$55=TRUE(),IF(Method!$B$81=TRUE(),IF(REGEXMATCH(LOWER(Method!$B$63),""circuit""),""🛑 PAUSED — circuit breaker upstream; wait for a clean live refresh."",IF(REGEXMATCH(LOWER(Method!$B$63),""pipeline""),""🛑 "&amp;"PAUSED — live pipeline warning; check Live!B11/Method!B62 before betting."",IF(REGEXMATCH(LOWER(Method!$B$63),""missing""),""🛑 PAUSED — feed timestamp missing; refresh feed before betting."",""🛑 PAUSED — feed stale (&gt;25 min); refresh feed before betting"&amp;".""))),IF(Method!$B$51&gt;=Method!$B$52,""🛑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stale/circuit-breaker/pipeli"&amp;"ne pauses."")),IF(Bets!AH101&lt;&gt;""BET"",IF(OR(Bets!AF101&gt;Method!$B$87,IFERROR(INDEX(Bets!BC101:BE101,1,Bets!AB101)/INDEX(Bets!S101:U101,1,Bets!AB101),0)&gt;Method!$B$88),""🛑 NO BET — tail trap (EV ""&amp;TEXT(Bets!AF101,""0.0%"")&amp;"" / model ""&amp;TEXT(IFERROR(INDEX("&amp;"Bets!BC101:BE101,1,Bets!AB101)/INDEX(Bets!S101:U101,1,Bets!AB101),0),""0.0"")&amp;""× market)"",""❌ NO BET — price not good enough""),IF(Bets!AJ101=0,""❌ NO BET — stake under minimum"",IF(L103="""",IF(AND(Bets!AE101&gt;=6,Bets!AG101&gt;=0.15),""🟡 WAIT — long-shot "&amp;"review: odds ""&amp;TEXT(Bets!AE101,""0.00"")&amp;"" + edge ""&amp;TEXT(Bets!AG101,""0.0%"")&amp;"" — verify sharp-book + team news + stake comfort"",""🟡 WAIT — check team news first""),IF(L103=""N"",""🔴 SKIP — team news concern"",IF(L103=""Y"",""🟢 PLACE £""&amp;Bets!AJ10"&amp;"1&amp;"" on ""&amp;Bets!AD101,"""")))))))"),"🟡 WAIT — check team news first")</f>
        <v>🟡 WAIT — check team news first</v>
      </c>
      <c r="N103" s="101"/>
      <c r="O103" s="101"/>
      <c r="P103" s="96"/>
      <c r="Q103" s="102"/>
      <c r="R103" s="110"/>
      <c r="S103" s="100" t="str">
        <f>Bets!AU101</f>
        <v/>
      </c>
      <c r="T103" s="96"/>
      <c r="U103" s="103" t="str">
        <f t="shared" si="1"/>
        <v/>
      </c>
      <c r="V103" s="83"/>
      <c r="W103" s="83"/>
      <c r="X103" s="2"/>
      <c r="Y103" s="2"/>
      <c r="Z103" s="2"/>
    </row>
    <row r="104" ht="15.0" customHeight="1">
      <c r="A104" s="108">
        <f>Bets!A102</f>
        <v>101</v>
      </c>
      <c r="B104" s="109">
        <f>Bets!B102</f>
        <v>46217</v>
      </c>
      <c r="C104" s="105" t="str">
        <f>IF(Bets!H102="","TBC",Bets!H102)</f>
        <v>TBC</v>
      </c>
      <c r="D104" s="100" t="str">
        <f>Bets!D102&amp;"  v  "&amp;Bets!E102</f>
        <v>W97  v  W98</v>
      </c>
      <c r="E104" s="96"/>
      <c r="F104" s="96"/>
      <c r="G104" s="96"/>
      <c r="H104" s="97" t="str">
        <f>Bets!AD102</f>
        <v/>
      </c>
      <c r="I104" s="98" t="str">
        <f>Bets!AH102</f>
        <v>· enter odds</v>
      </c>
      <c r="J104" s="99">
        <f>Bets!AJ102</f>
        <v>0</v>
      </c>
      <c r="K104" s="100" t="str">
        <f>Bets!AT102</f>
        <v>Type the 3 odds on the Matchday tab</v>
      </c>
      <c r="L104" s="101"/>
      <c r="M104" s="97" t="str">
        <f>IFERROR(__xludf.DUMMYFUNCTION("IF(Bets!AH102=""· enter odds"","""",IF(Method!$B$55=TRUE(),IF(Method!$B$81=TRUE(),IF(REGEXMATCH(LOWER(Method!$B$63),""circuit""),""🛑 PAUSED — circuit breaker upstream; wait for a clean live refresh."",IF(REGEXMATCH(LOWER(Method!$B$63),""pipeline""),""🛑 "&amp;"PAUSED — live pipeline warning; check Live!B11/Method!B62 before betting."",IF(REGEXMATCH(LOWER(Method!$B$63),""missing""),""🛑 PAUSED — feed timestamp missing; refresh feed before betting."",""🛑 PAUSED — feed stale (&gt;25 min); refresh feed before betting"&amp;".""))),IF(Method!$B$51&gt;=Method!$B$52,""🛑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stale/circuit-breaker/pipeli"&amp;"ne pauses."")),IF(Bets!AH102&lt;&gt;""BET"",IF(OR(Bets!AF102&gt;Method!$B$87,IFERROR(INDEX(Bets!BC102:BE102,1,Bets!AB102)/INDEX(Bets!S102:U102,1,Bets!AB102),0)&gt;Method!$B$88),""🛑 NO BET — tail trap (EV ""&amp;TEXT(Bets!AF102,""0.0%"")&amp;"" / model ""&amp;TEXT(IFERROR(INDEX("&amp;"Bets!BC102:BE102,1,Bets!AB102)/INDEX(Bets!S102:U102,1,Bets!AB102),0),""0.0"")&amp;""× market)"",""❌ NO BET — price not good enough""),IF(Bets!AJ102=0,""❌ NO BET — stake under minimum"",IF(L104="""",IF(AND(Bets!AE102&gt;=6,Bets!AG102&gt;=0.15),""🟡 WAIT — long-shot "&amp;"review: odds ""&amp;TEXT(Bets!AE102,""0.00"")&amp;"" + edge ""&amp;TEXT(Bets!AG102,""0.0%"")&amp;"" — verify sharp-book + team news + stake comfort"",""🟡 WAIT — check team news first""),IF(L104=""N"",""🔴 SKIP — team news concern"",IF(L104=""Y"",""🟢 PLACE £""&amp;Bets!AJ10"&amp;"2&amp;"" on ""&amp;Bets!AD102,"""")))))))"),"")</f>
        <v/>
      </c>
      <c r="N104" s="101"/>
      <c r="O104" s="101"/>
      <c r="P104" s="96"/>
      <c r="Q104" s="102"/>
      <c r="R104" s="110"/>
      <c r="S104" s="100" t="str">
        <f>Bets!AU102</f>
        <v/>
      </c>
      <c r="T104" s="96"/>
      <c r="U104" s="103" t="str">
        <f t="shared" si="1"/>
        <v/>
      </c>
      <c r="V104" s="83"/>
      <c r="W104" s="83"/>
      <c r="X104" s="2"/>
      <c r="Y104" s="2"/>
      <c r="Z104" s="2"/>
    </row>
    <row r="105" ht="15.0" customHeight="1">
      <c r="A105" s="108">
        <f>Bets!A103</f>
        <v>102</v>
      </c>
      <c r="B105" s="109">
        <f>Bets!B103</f>
        <v>46218</v>
      </c>
      <c r="C105" s="105" t="str">
        <f>IF(Bets!H103="","TBC",Bets!H103)</f>
        <v>TBC</v>
      </c>
      <c r="D105" s="100" t="str">
        <f>Bets!D103&amp;"  v  "&amp;Bets!E103</f>
        <v>W99  v  W100</v>
      </c>
      <c r="E105" s="96"/>
      <c r="F105" s="96"/>
      <c r="G105" s="96"/>
      <c r="H105" s="97" t="str">
        <f>Bets!AD103</f>
        <v/>
      </c>
      <c r="I105" s="98" t="str">
        <f>Bets!AH103</f>
        <v>· enter odds</v>
      </c>
      <c r="J105" s="99">
        <f>Bets!AJ103</f>
        <v>0</v>
      </c>
      <c r="K105" s="100" t="str">
        <f>Bets!AT103</f>
        <v>Type the 3 odds on the Matchday tab</v>
      </c>
      <c r="L105" s="101"/>
      <c r="M105" s="97" t="str">
        <f>IFERROR(__xludf.DUMMYFUNCTION("IF(Bets!AH103=""· enter odds"","""",IF(Method!$B$55=TRUE(),IF(Method!$B$81=TRUE(),IF(REGEXMATCH(LOWER(Method!$B$63),""circuit""),""🛑 PAUSED — circuit breaker upstream; wait for a clean live refresh."",IF(REGEXMATCH(LOWER(Method!$B$63),""pipeline""),""🛑 "&amp;"PAUSED — live pipeline warning; check Live!B11/Method!B62 before betting."",IF(REGEXMATCH(LOWER(Method!$B$63),""missing""),""🛑 PAUSED — feed timestamp missing; refresh feed before betting."",""🛑 PAUSED — feed stale (&gt;25 min); refresh feed before betting"&amp;".""))),IF(Method!$B$51&gt;=Method!$B$52,""🛑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stale/circuit-breaker/pipeli"&amp;"ne pauses."")),IF(Bets!AH103&lt;&gt;""BET"",IF(OR(Bets!AF103&gt;Method!$B$87,IFERROR(INDEX(Bets!BC103:BE103,1,Bets!AB103)/INDEX(Bets!S103:U103,1,Bets!AB103),0)&gt;Method!$B$88),""🛑 NO BET — tail trap (EV ""&amp;TEXT(Bets!AF103,""0.0%"")&amp;"" / model ""&amp;TEXT(IFERROR(INDEX("&amp;"Bets!BC103:BE103,1,Bets!AB103)/INDEX(Bets!S103:U103,1,Bets!AB103),0),""0.0"")&amp;""× market)"",""❌ NO BET — price not good enough""),IF(Bets!AJ103=0,""❌ NO BET — stake under minimum"",IF(L105="""",IF(AND(Bets!AE103&gt;=6,Bets!AG103&gt;=0.15),""🟡 WAIT — long-shot "&amp;"review: odds ""&amp;TEXT(Bets!AE103,""0.00"")&amp;"" + edge ""&amp;TEXT(Bets!AG103,""0.0%"")&amp;"" — verify sharp-book + team news + stake comfort"",""🟡 WAIT — check team news first""),IF(L105=""N"",""🔴 SKIP — team news concern"",IF(L105=""Y"",""🟢 PLACE £""&amp;Bets!AJ10"&amp;"3&amp;"" on ""&amp;Bets!AD103,"""")))))))"),"")</f>
        <v/>
      </c>
      <c r="N105" s="101"/>
      <c r="O105" s="101"/>
      <c r="P105" s="96"/>
      <c r="Q105" s="102"/>
      <c r="R105" s="110"/>
      <c r="S105" s="100" t="str">
        <f>Bets!AU103</f>
        <v/>
      </c>
      <c r="T105" s="96"/>
      <c r="U105" s="103" t="str">
        <f t="shared" si="1"/>
        <v/>
      </c>
      <c r="V105" s="83"/>
      <c r="W105" s="83"/>
      <c r="X105" s="2"/>
      <c r="Y105" s="2"/>
      <c r="Z105" s="2"/>
    </row>
    <row r="106" ht="15.0" customHeight="1">
      <c r="A106" s="108">
        <f>Bets!A104</f>
        <v>103</v>
      </c>
      <c r="B106" s="109">
        <f>Bets!B104</f>
        <v>46221</v>
      </c>
      <c r="C106" s="105" t="str">
        <f>IF(Bets!H104="","TBC",Bets!H104)</f>
        <v>TBC</v>
      </c>
      <c r="D106" s="100" t="str">
        <f>Bets!D104&amp;"  v  "&amp;Bets!E104</f>
        <v>L101  v  L102</v>
      </c>
      <c r="E106" s="96"/>
      <c r="F106" s="96"/>
      <c r="G106" s="96"/>
      <c r="H106" s="97" t="str">
        <f>Bets!AD104</f>
        <v/>
      </c>
      <c r="I106" s="98" t="str">
        <f>Bets!AH104</f>
        <v>· enter odds</v>
      </c>
      <c r="J106" s="99">
        <f>Bets!AJ104</f>
        <v>0</v>
      </c>
      <c r="K106" s="100" t="str">
        <f>Bets!AT104</f>
        <v>Type the 3 odds on the Matchday tab</v>
      </c>
      <c r="L106" s="101"/>
      <c r="M106" s="97" t="str">
        <f>IFERROR(__xludf.DUMMYFUNCTION("IF(Bets!AH104=""· enter odds"","""",IF(Method!$B$55=TRUE(),IF(Method!$B$81=TRUE(),IF(REGEXMATCH(LOWER(Method!$B$63),""circuit""),""🛑 PAUSED — circuit breaker upstream; wait for a clean live refresh."",IF(REGEXMATCH(LOWER(Method!$B$63),""pipeline""),""🛑 "&amp;"PAUSED — live pipeline warning; check Live!B11/Method!B62 before betting."",IF(REGEXMATCH(LOWER(Method!$B$63),""missing""),""🛑 PAUSED — feed timestamp missing; refresh feed before betting."",""🛑 PAUSED — feed stale (&gt;25 min); refresh feed before betting"&amp;".""))),IF(Method!$B$51&gt;=Method!$B$52,""🛑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stale/circuit-breaker/pipeli"&amp;"ne pauses."")),IF(Bets!AH104&lt;&gt;""BET"",IF(OR(Bets!AF104&gt;Method!$B$87,IFERROR(INDEX(Bets!BC104:BE104,1,Bets!AB104)/INDEX(Bets!S104:U104,1,Bets!AB104),0)&gt;Method!$B$88),""🛑 NO BET — tail trap (EV ""&amp;TEXT(Bets!AF104,""0.0%"")&amp;"" / model ""&amp;TEXT(IFERROR(INDEX("&amp;"Bets!BC104:BE104,1,Bets!AB104)/INDEX(Bets!S104:U104,1,Bets!AB104),0),""0.0"")&amp;""× market)"",""❌ NO BET — price not good enough""),IF(Bets!AJ104=0,""❌ NO BET — stake under minimum"",IF(L106="""",IF(AND(Bets!AE104&gt;=6,Bets!AG104&gt;=0.15),""🟡 WAIT — long-shot "&amp;"review: odds ""&amp;TEXT(Bets!AE104,""0.00"")&amp;"" + edge ""&amp;TEXT(Bets!AG104,""0.0%"")&amp;"" — verify sharp-book + team news + stake comfort"",""🟡 WAIT — check team news first""),IF(L106=""N"",""🔴 SKIP — team news concern"",IF(L106=""Y"",""🟢 PLACE £""&amp;Bets!AJ10"&amp;"4&amp;"" on ""&amp;Bets!AD104,"""")))))))"),"")</f>
        <v/>
      </c>
      <c r="N106" s="101"/>
      <c r="O106" s="101"/>
      <c r="P106" s="96"/>
      <c r="Q106" s="102"/>
      <c r="R106" s="110"/>
      <c r="S106" s="100" t="str">
        <f>Bets!AU104</f>
        <v/>
      </c>
      <c r="T106" s="96"/>
      <c r="U106" s="103" t="str">
        <f t="shared" si="1"/>
        <v/>
      </c>
      <c r="V106" s="83"/>
      <c r="W106" s="83"/>
      <c r="X106" s="2"/>
      <c r="Y106" s="2"/>
      <c r="Z106" s="2"/>
    </row>
    <row r="107" ht="15.0" customHeight="1">
      <c r="A107" s="108">
        <f>Bets!A105</f>
        <v>104</v>
      </c>
      <c r="B107" s="109">
        <f>Bets!B105</f>
        <v>46222</v>
      </c>
      <c r="C107" s="105" t="str">
        <f>IF(Bets!H105="","TBC",Bets!H105)</f>
        <v>TBC</v>
      </c>
      <c r="D107" s="100" t="str">
        <f>Bets!D105&amp;"  v  "&amp;Bets!E105</f>
        <v>W101  v  W102</v>
      </c>
      <c r="E107" s="96"/>
      <c r="F107" s="96"/>
      <c r="G107" s="96"/>
      <c r="H107" s="97" t="str">
        <f>Bets!AD105</f>
        <v/>
      </c>
      <c r="I107" s="98" t="str">
        <f>Bets!AH105</f>
        <v>· enter odds</v>
      </c>
      <c r="J107" s="99">
        <f>Bets!AJ105</f>
        <v>0</v>
      </c>
      <c r="K107" s="100" t="str">
        <f>Bets!AT105</f>
        <v>Type the 3 odds on the Matchday tab</v>
      </c>
      <c r="L107" s="101"/>
      <c r="M107" s="97" t="str">
        <f>IFERROR(__xludf.DUMMYFUNCTION("IF(Bets!AH105=""· enter odds"","""",IF(Method!$B$55=TRUE(),IF(Method!$B$81=TRUE(),IF(REGEXMATCH(LOWER(Method!$B$63),""circuit""),""🛑 PAUSED — circuit breaker upstream; wait for a clean live refresh."",IF(REGEXMATCH(LOWER(Method!$B$63),""pipeline""),""🛑 "&amp;"PAUSED — live pipeline warning; check Live!B11/Method!B62 before betting."",IF(REGEXMATCH(LOWER(Method!$B$63),""missing""),""🛑 PAUSED — feed timestamp missing; refresh feed before betting."",""🛑 PAUSED — feed stale (&gt;25 min); refresh feed before betting"&amp;".""))),IF(Method!$B$51&gt;=Method!$B$52,""🛑 PAUSED — drawdown ""&amp;TEXT(Method!$B$51,""0.0%"")&amp;"" ≥ ""&amp;TEXT(Method!$B$52,""0.0%"")&amp;"". Set Method!B54=Y to override."",""🛑 PAUSED — see Method!B62/B63/B81 for cause; do not override stale/circuit-breaker/pipeli"&amp;"ne pauses."")),IF(Bets!AH105&lt;&gt;""BET"",IF(OR(Bets!AF105&gt;Method!$B$87,IFERROR(INDEX(Bets!BC105:BE105,1,Bets!AB105)/INDEX(Bets!S105:U105,1,Bets!AB105),0)&gt;Method!$B$88),""🛑 NO BET — tail trap (EV ""&amp;TEXT(Bets!AF105,""0.0%"")&amp;"" / model ""&amp;TEXT(IFERROR(INDEX("&amp;"Bets!BC105:BE105,1,Bets!AB105)/INDEX(Bets!S105:U105,1,Bets!AB105),0),""0.0"")&amp;""× market)"",""❌ NO BET — price not good enough""),IF(Bets!AJ105=0,""❌ NO BET — stake under minimum"",IF(L107="""",IF(AND(Bets!AE105&gt;=6,Bets!AG105&gt;=0.15),""🟡 WAIT — long-shot "&amp;"review: odds ""&amp;TEXT(Bets!AE105,""0.00"")&amp;"" + edge ""&amp;TEXT(Bets!AG105,""0.0%"")&amp;"" — verify sharp-book + team news + stake comfort"",""🟡 WAIT — check team news first""),IF(L107=""N"",""🔴 SKIP — team news concern"",IF(L107=""Y"",""🟢 PLACE £""&amp;Bets!AJ10"&amp;"5&amp;"" on ""&amp;Bets!AD105,"""")))))))"),"")</f>
        <v/>
      </c>
      <c r="N107" s="101"/>
      <c r="O107" s="101"/>
      <c r="P107" s="96"/>
      <c r="Q107" s="102"/>
      <c r="R107" s="110"/>
      <c r="S107" s="100" t="str">
        <f>Bets!AU105</f>
        <v/>
      </c>
      <c r="T107" s="96"/>
      <c r="U107" s="103" t="str">
        <f t="shared" si="1"/>
        <v/>
      </c>
      <c r="V107" s="83"/>
      <c r="W107" s="83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83"/>
      <c r="W108" s="83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83"/>
      <c r="W109" s="83"/>
      <c r="X109" s="2"/>
      <c r="Y109" s="2"/>
      <c r="Z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83"/>
      <c r="W110" s="83"/>
      <c r="X110" s="2"/>
      <c r="Y110" s="2"/>
      <c r="Z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83"/>
      <c r="W111" s="83"/>
      <c r="X111" s="2"/>
      <c r="Y111" s="2"/>
      <c r="Z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83"/>
      <c r="W112" s="83"/>
      <c r="X112" s="2"/>
      <c r="Y112" s="2"/>
      <c r="Z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83"/>
      <c r="W113" s="83"/>
      <c r="X113" s="2"/>
      <c r="Y113" s="2"/>
      <c r="Z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83"/>
      <c r="W114" s="83"/>
      <c r="X114" s="2"/>
      <c r="Y114" s="2"/>
      <c r="Z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83"/>
      <c r="W115" s="83"/>
      <c r="X115" s="2"/>
      <c r="Y115" s="2"/>
      <c r="Z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83"/>
      <c r="W116" s="83"/>
      <c r="X116" s="2"/>
      <c r="Y116" s="2"/>
      <c r="Z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83"/>
      <c r="W117" s="83"/>
      <c r="X117" s="2"/>
      <c r="Y117" s="2"/>
      <c r="Z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83"/>
      <c r="W118" s="83"/>
      <c r="X118" s="2"/>
      <c r="Y118" s="2"/>
      <c r="Z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83"/>
      <c r="W119" s="83"/>
      <c r="X119" s="2"/>
      <c r="Y119" s="2"/>
      <c r="Z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83"/>
      <c r="W120" s="83"/>
      <c r="X120" s="2"/>
      <c r="Y120" s="2"/>
      <c r="Z120" s="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83"/>
      <c r="W121" s="83"/>
      <c r="X121" s="2"/>
      <c r="Y121" s="2"/>
      <c r="Z121" s="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83"/>
      <c r="W122" s="83"/>
      <c r="X122" s="2"/>
      <c r="Y122" s="2"/>
      <c r="Z122" s="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83"/>
      <c r="W123" s="83"/>
      <c r="X123" s="2"/>
      <c r="Y123" s="2"/>
      <c r="Z123" s="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83"/>
      <c r="W124" s="83"/>
      <c r="X124" s="2"/>
      <c r="Y124" s="2"/>
      <c r="Z124" s="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83"/>
      <c r="W125" s="83"/>
      <c r="X125" s="2"/>
      <c r="Y125" s="2"/>
      <c r="Z125" s="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83"/>
      <c r="W126" s="83"/>
      <c r="X126" s="2"/>
      <c r="Y126" s="2"/>
      <c r="Z126" s="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83"/>
      <c r="W127" s="83"/>
      <c r="X127" s="2"/>
      <c r="Y127" s="2"/>
      <c r="Z127" s="2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83"/>
      <c r="W128" s="83"/>
      <c r="X128" s="2"/>
      <c r="Y128" s="2"/>
      <c r="Z128" s="2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83"/>
      <c r="W129" s="83"/>
      <c r="X129" s="2"/>
      <c r="Y129" s="2"/>
      <c r="Z129" s="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83"/>
      <c r="W130" s="83"/>
      <c r="X130" s="2"/>
      <c r="Y130" s="2"/>
      <c r="Z130" s="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83"/>
      <c r="W131" s="83"/>
      <c r="X131" s="2"/>
      <c r="Y131" s="2"/>
      <c r="Z131" s="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83"/>
      <c r="W132" s="83"/>
      <c r="X132" s="2"/>
      <c r="Y132" s="2"/>
      <c r="Z132" s="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83"/>
      <c r="W133" s="83"/>
      <c r="X133" s="2"/>
      <c r="Y133" s="2"/>
      <c r="Z133" s="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83"/>
      <c r="W134" s="83"/>
      <c r="X134" s="2"/>
      <c r="Y134" s="2"/>
      <c r="Z134" s="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83"/>
      <c r="W135" s="83"/>
      <c r="X135" s="2"/>
      <c r="Y135" s="2"/>
      <c r="Z135" s="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83"/>
      <c r="W136" s="83"/>
      <c r="X136" s="2"/>
      <c r="Y136" s="2"/>
      <c r="Z136" s="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83"/>
      <c r="W137" s="83"/>
      <c r="X137" s="2"/>
      <c r="Y137" s="2"/>
      <c r="Z137" s="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83"/>
      <c r="W138" s="83"/>
      <c r="X138" s="2"/>
      <c r="Y138" s="2"/>
      <c r="Z138" s="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83"/>
      <c r="W139" s="83"/>
      <c r="X139" s="2"/>
      <c r="Y139" s="2"/>
      <c r="Z139" s="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83"/>
      <c r="W140" s="83"/>
      <c r="X140" s="2"/>
      <c r="Y140" s="2"/>
      <c r="Z140" s="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83"/>
      <c r="W141" s="83"/>
      <c r="X141" s="2"/>
      <c r="Y141" s="2"/>
      <c r="Z141" s="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83"/>
      <c r="W142" s="83"/>
      <c r="X142" s="2"/>
      <c r="Y142" s="2"/>
      <c r="Z142" s="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83"/>
      <c r="W143" s="83"/>
      <c r="X143" s="2"/>
      <c r="Y143" s="2"/>
      <c r="Z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83"/>
      <c r="W144" s="83"/>
      <c r="X144" s="2"/>
      <c r="Y144" s="2"/>
      <c r="Z144" s="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83"/>
      <c r="W145" s="83"/>
      <c r="X145" s="2"/>
      <c r="Y145" s="2"/>
      <c r="Z145" s="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83"/>
      <c r="W146" s="83"/>
      <c r="X146" s="2"/>
      <c r="Y146" s="2"/>
      <c r="Z146" s="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83"/>
      <c r="W147" s="83"/>
      <c r="X147" s="2"/>
      <c r="Y147" s="2"/>
      <c r="Z147" s="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83"/>
      <c r="W148" s="83"/>
      <c r="X148" s="2"/>
      <c r="Y148" s="2"/>
      <c r="Z148" s="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83"/>
      <c r="W149" s="83"/>
      <c r="X149" s="2"/>
      <c r="Y149" s="2"/>
      <c r="Z149" s="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83"/>
      <c r="W150" s="83"/>
      <c r="X150" s="2"/>
      <c r="Y150" s="2"/>
      <c r="Z150" s="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83"/>
      <c r="W151" s="83"/>
      <c r="X151" s="2"/>
      <c r="Y151" s="2"/>
      <c r="Z151" s="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83"/>
      <c r="W152" s="83"/>
      <c r="X152" s="2"/>
      <c r="Y152" s="2"/>
      <c r="Z152" s="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83"/>
      <c r="W153" s="83"/>
      <c r="X153" s="2"/>
      <c r="Y153" s="2"/>
      <c r="Z153" s="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83"/>
      <c r="W154" s="83"/>
      <c r="X154" s="2"/>
      <c r="Y154" s="2"/>
      <c r="Z154" s="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83"/>
      <c r="W155" s="83"/>
      <c r="X155" s="2"/>
      <c r="Y155" s="2"/>
      <c r="Z155" s="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83"/>
      <c r="W156" s="83"/>
      <c r="X156" s="2"/>
      <c r="Y156" s="2"/>
      <c r="Z156" s="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83"/>
      <c r="W157" s="83"/>
      <c r="X157" s="2"/>
      <c r="Y157" s="2"/>
      <c r="Z157" s="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83"/>
      <c r="W158" s="83"/>
      <c r="X158" s="2"/>
      <c r="Y158" s="2"/>
      <c r="Z158" s="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83"/>
      <c r="W159" s="83"/>
      <c r="X159" s="2"/>
      <c r="Y159" s="2"/>
      <c r="Z159" s="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83"/>
      <c r="W160" s="83"/>
      <c r="X160" s="2"/>
      <c r="Y160" s="2"/>
      <c r="Z160" s="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83"/>
      <c r="W161" s="83"/>
      <c r="X161" s="2"/>
      <c r="Y161" s="2"/>
      <c r="Z161" s="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83"/>
      <c r="W162" s="83"/>
      <c r="X162" s="2"/>
      <c r="Y162" s="2"/>
      <c r="Z162" s="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83"/>
      <c r="W163" s="83"/>
      <c r="X163" s="2"/>
      <c r="Y163" s="2"/>
      <c r="Z163" s="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83"/>
      <c r="W164" s="83"/>
      <c r="X164" s="2"/>
      <c r="Y164" s="2"/>
      <c r="Z164" s="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83"/>
      <c r="W165" s="83"/>
      <c r="X165" s="2"/>
      <c r="Y165" s="2"/>
      <c r="Z165" s="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83"/>
      <c r="W166" s="83"/>
      <c r="X166" s="2"/>
      <c r="Y166" s="2"/>
      <c r="Z166" s="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83"/>
      <c r="W167" s="83"/>
      <c r="X167" s="2"/>
      <c r="Y167" s="2"/>
      <c r="Z167" s="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83"/>
      <c r="W168" s="83"/>
      <c r="X168" s="2"/>
      <c r="Y168" s="2"/>
      <c r="Z168" s="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83"/>
      <c r="W169" s="83"/>
      <c r="X169" s="2"/>
      <c r="Y169" s="2"/>
      <c r="Z169" s="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83"/>
      <c r="W170" s="83"/>
      <c r="X170" s="2"/>
      <c r="Y170" s="2"/>
      <c r="Z170" s="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83"/>
      <c r="W171" s="83"/>
      <c r="X171" s="2"/>
      <c r="Y171" s="2"/>
      <c r="Z171" s="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83"/>
      <c r="W172" s="83"/>
      <c r="X172" s="2"/>
      <c r="Y172" s="2"/>
      <c r="Z172" s="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83"/>
      <c r="W173" s="83"/>
      <c r="X173" s="2"/>
      <c r="Y173" s="2"/>
      <c r="Z173" s="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83"/>
      <c r="W174" s="83"/>
      <c r="X174" s="2"/>
      <c r="Y174" s="2"/>
      <c r="Z174" s="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83"/>
      <c r="W175" s="83"/>
      <c r="X175" s="2"/>
      <c r="Y175" s="2"/>
      <c r="Z175" s="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83"/>
      <c r="W176" s="83"/>
      <c r="X176" s="2"/>
      <c r="Y176" s="2"/>
      <c r="Z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83"/>
      <c r="W177" s="83"/>
      <c r="X177" s="2"/>
      <c r="Y177" s="2"/>
      <c r="Z177" s="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83"/>
      <c r="W178" s="83"/>
      <c r="X178" s="2"/>
      <c r="Y178" s="2"/>
      <c r="Z178" s="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83"/>
      <c r="W179" s="83"/>
      <c r="X179" s="2"/>
      <c r="Y179" s="2"/>
      <c r="Z179" s="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83"/>
      <c r="W180" s="83"/>
      <c r="X180" s="2"/>
      <c r="Y180" s="2"/>
      <c r="Z180" s="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83"/>
      <c r="W181" s="83"/>
      <c r="X181" s="2"/>
      <c r="Y181" s="2"/>
      <c r="Z181" s="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83"/>
      <c r="W182" s="83"/>
      <c r="X182" s="2"/>
      <c r="Y182" s="2"/>
      <c r="Z182" s="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83"/>
      <c r="W183" s="83"/>
      <c r="X183" s="2"/>
      <c r="Y183" s="2"/>
      <c r="Z183" s="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83"/>
      <c r="W184" s="83"/>
      <c r="X184" s="2"/>
      <c r="Y184" s="2"/>
      <c r="Z184" s="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83"/>
      <c r="W185" s="83"/>
      <c r="X185" s="2"/>
      <c r="Y185" s="2"/>
      <c r="Z185" s="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83"/>
      <c r="W186" s="83"/>
      <c r="X186" s="2"/>
      <c r="Y186" s="2"/>
      <c r="Z186" s="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83"/>
      <c r="W187" s="83"/>
      <c r="X187" s="2"/>
      <c r="Y187" s="2"/>
      <c r="Z187" s="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83"/>
      <c r="W188" s="83"/>
      <c r="X188" s="2"/>
      <c r="Y188" s="2"/>
      <c r="Z188" s="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83"/>
      <c r="W189" s="83"/>
      <c r="X189" s="2"/>
      <c r="Y189" s="2"/>
      <c r="Z189" s="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83"/>
      <c r="W190" s="83"/>
      <c r="X190" s="2"/>
      <c r="Y190" s="2"/>
      <c r="Z190" s="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83"/>
      <c r="W191" s="83"/>
      <c r="X191" s="2"/>
      <c r="Y191" s="2"/>
      <c r="Z191" s="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83"/>
      <c r="W192" s="83"/>
      <c r="X192" s="2"/>
      <c r="Y192" s="2"/>
      <c r="Z192" s="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83"/>
      <c r="W193" s="83"/>
      <c r="X193" s="2"/>
      <c r="Y193" s="2"/>
      <c r="Z193" s="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83"/>
      <c r="W194" s="83"/>
      <c r="X194" s="2"/>
      <c r="Y194" s="2"/>
      <c r="Z194" s="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83"/>
      <c r="W195" s="83"/>
      <c r="X195" s="2"/>
      <c r="Y195" s="2"/>
      <c r="Z195" s="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83"/>
      <c r="W196" s="83"/>
      <c r="X196" s="2"/>
      <c r="Y196" s="2"/>
      <c r="Z196" s="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83"/>
      <c r="W197" s="83"/>
      <c r="X197" s="2"/>
      <c r="Y197" s="2"/>
      <c r="Z197" s="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83"/>
      <c r="W198" s="83"/>
      <c r="X198" s="2"/>
      <c r="Y198" s="2"/>
      <c r="Z198" s="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83"/>
      <c r="W199" s="83"/>
      <c r="X199" s="2"/>
      <c r="Y199" s="2"/>
      <c r="Z199" s="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83"/>
      <c r="W200" s="83"/>
      <c r="X200" s="2"/>
      <c r="Y200" s="2"/>
      <c r="Z200" s="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83"/>
      <c r="W201" s="83"/>
      <c r="X201" s="2"/>
      <c r="Y201" s="2"/>
      <c r="Z201" s="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83"/>
      <c r="W202" s="83"/>
      <c r="X202" s="2"/>
      <c r="Y202" s="2"/>
      <c r="Z202" s="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83"/>
      <c r="W203" s="83"/>
      <c r="X203" s="2"/>
      <c r="Y203" s="2"/>
      <c r="Z203" s="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83"/>
      <c r="W204" s="83"/>
      <c r="X204" s="2"/>
      <c r="Y204" s="2"/>
      <c r="Z204" s="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83"/>
      <c r="W205" s="83"/>
      <c r="X205" s="2"/>
      <c r="Y205" s="2"/>
      <c r="Z205" s="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83"/>
      <c r="W206" s="83"/>
      <c r="X206" s="2"/>
      <c r="Y206" s="2"/>
      <c r="Z206" s="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83"/>
      <c r="W207" s="83"/>
      <c r="X207" s="2"/>
      <c r="Y207" s="2"/>
      <c r="Z207" s="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83"/>
      <c r="W208" s="83"/>
      <c r="X208" s="2"/>
      <c r="Y208" s="2"/>
      <c r="Z208" s="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83"/>
      <c r="W209" s="83"/>
      <c r="X209" s="2"/>
      <c r="Y209" s="2"/>
      <c r="Z209" s="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83"/>
      <c r="W210" s="83"/>
      <c r="X210" s="2"/>
      <c r="Y210" s="2"/>
      <c r="Z210" s="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83"/>
      <c r="W211" s="83"/>
      <c r="X211" s="2"/>
      <c r="Y211" s="2"/>
      <c r="Z211" s="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83"/>
      <c r="W212" s="83"/>
      <c r="X212" s="2"/>
      <c r="Y212" s="2"/>
      <c r="Z212" s="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83"/>
      <c r="W213" s="83"/>
      <c r="X213" s="2"/>
      <c r="Y213" s="2"/>
      <c r="Z213" s="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83"/>
      <c r="W214" s="83"/>
      <c r="X214" s="2"/>
      <c r="Y214" s="2"/>
      <c r="Z214" s="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83"/>
      <c r="W215" s="83"/>
      <c r="X215" s="2"/>
      <c r="Y215" s="2"/>
      <c r="Z215" s="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83"/>
      <c r="W216" s="83"/>
      <c r="X216" s="2"/>
      <c r="Y216" s="2"/>
      <c r="Z216" s="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83"/>
      <c r="W217" s="83"/>
      <c r="X217" s="2"/>
      <c r="Y217" s="2"/>
      <c r="Z217" s="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83"/>
      <c r="W218" s="83"/>
      <c r="X218" s="2"/>
      <c r="Y218" s="2"/>
      <c r="Z218" s="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83"/>
      <c r="W219" s="83"/>
      <c r="X219" s="2"/>
      <c r="Y219" s="2"/>
      <c r="Z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83"/>
      <c r="W220" s="83"/>
      <c r="X220" s="2"/>
      <c r="Y220" s="2"/>
      <c r="Z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83"/>
      <c r="W221" s="83"/>
      <c r="X221" s="2"/>
      <c r="Y221" s="2"/>
      <c r="Z221" s="2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83"/>
      <c r="W222" s="83"/>
      <c r="X222" s="2"/>
      <c r="Y222" s="2"/>
      <c r="Z222" s="2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83"/>
      <c r="W223" s="83"/>
      <c r="X223" s="2"/>
      <c r="Y223" s="2"/>
      <c r="Z223" s="2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83"/>
      <c r="W224" s="83"/>
      <c r="X224" s="2"/>
      <c r="Y224" s="2"/>
      <c r="Z224" s="2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83"/>
      <c r="W225" s="83"/>
      <c r="X225" s="2"/>
      <c r="Y225" s="2"/>
      <c r="Z225" s="2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83"/>
      <c r="W226" s="83"/>
      <c r="X226" s="2"/>
      <c r="Y226" s="2"/>
      <c r="Z226" s="2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83"/>
      <c r="W227" s="83"/>
      <c r="X227" s="2"/>
      <c r="Y227" s="2"/>
      <c r="Z227" s="2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83"/>
      <c r="W228" s="83"/>
      <c r="X228" s="2"/>
      <c r="Y228" s="2"/>
      <c r="Z228" s="2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83"/>
      <c r="W229" s="83"/>
      <c r="X229" s="2"/>
      <c r="Y229" s="2"/>
      <c r="Z229" s="2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83"/>
      <c r="W230" s="83"/>
      <c r="X230" s="2"/>
      <c r="Y230" s="2"/>
      <c r="Z230" s="2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83"/>
      <c r="W231" s="83"/>
      <c r="X231" s="2"/>
      <c r="Y231" s="2"/>
      <c r="Z231" s="2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83"/>
      <c r="W232" s="83"/>
      <c r="X232" s="2"/>
      <c r="Y232" s="2"/>
      <c r="Z232" s="2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83"/>
      <c r="W233" s="83"/>
      <c r="X233" s="2"/>
      <c r="Y233" s="2"/>
      <c r="Z233" s="2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83"/>
      <c r="W234" s="83"/>
      <c r="X234" s="2"/>
      <c r="Y234" s="2"/>
      <c r="Z234" s="2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83"/>
      <c r="W235" s="83"/>
      <c r="X235" s="2"/>
      <c r="Y235" s="2"/>
      <c r="Z235" s="2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83"/>
      <c r="W236" s="83"/>
      <c r="X236" s="2"/>
      <c r="Y236" s="2"/>
      <c r="Z236" s="2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83"/>
      <c r="W237" s="83"/>
      <c r="X237" s="2"/>
      <c r="Y237" s="2"/>
      <c r="Z237" s="2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83"/>
      <c r="W238" s="83"/>
      <c r="X238" s="2"/>
      <c r="Y238" s="2"/>
      <c r="Z238" s="2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83"/>
      <c r="W239" s="83"/>
      <c r="X239" s="2"/>
      <c r="Y239" s="2"/>
      <c r="Z239" s="2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83"/>
      <c r="W240" s="83"/>
      <c r="X240" s="2"/>
      <c r="Y240" s="2"/>
      <c r="Z240" s="2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83"/>
      <c r="W241" s="83"/>
      <c r="X241" s="2"/>
      <c r="Y241" s="2"/>
      <c r="Z241" s="2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83"/>
      <c r="W242" s="83"/>
      <c r="X242" s="2"/>
      <c r="Y242" s="2"/>
      <c r="Z242" s="2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83"/>
      <c r="W243" s="83"/>
      <c r="X243" s="2"/>
      <c r="Y243" s="2"/>
      <c r="Z243" s="2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83"/>
      <c r="W244" s="83"/>
      <c r="X244" s="2"/>
      <c r="Y244" s="2"/>
      <c r="Z244" s="2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83"/>
      <c r="W245" s="83"/>
      <c r="X245" s="2"/>
      <c r="Y245" s="2"/>
      <c r="Z245" s="2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83"/>
      <c r="W246" s="83"/>
      <c r="X246" s="2"/>
      <c r="Y246" s="2"/>
      <c r="Z246" s="2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83"/>
      <c r="W247" s="83"/>
      <c r="X247" s="2"/>
      <c r="Y247" s="2"/>
      <c r="Z247" s="2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83"/>
      <c r="W248" s="83"/>
      <c r="X248" s="2"/>
      <c r="Y248" s="2"/>
      <c r="Z248" s="2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83"/>
      <c r="W249" s="83"/>
      <c r="X249" s="2"/>
      <c r="Y249" s="2"/>
      <c r="Z249" s="2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83"/>
      <c r="W250" s="83"/>
      <c r="X250" s="2"/>
      <c r="Y250" s="2"/>
      <c r="Z250" s="2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83"/>
      <c r="W251" s="83"/>
      <c r="X251" s="2"/>
      <c r="Y251" s="2"/>
      <c r="Z251" s="2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83"/>
      <c r="W252" s="83"/>
      <c r="X252" s="2"/>
      <c r="Y252" s="2"/>
      <c r="Z252" s="2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83"/>
      <c r="W253" s="83"/>
      <c r="X253" s="2"/>
      <c r="Y253" s="2"/>
      <c r="Z253" s="2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83"/>
      <c r="W254" s="83"/>
      <c r="X254" s="2"/>
      <c r="Y254" s="2"/>
      <c r="Z254" s="2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83"/>
      <c r="W255" s="83"/>
      <c r="X255" s="2"/>
      <c r="Y255" s="2"/>
      <c r="Z255" s="2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83"/>
      <c r="W256" s="83"/>
      <c r="X256" s="2"/>
      <c r="Y256" s="2"/>
      <c r="Z256" s="2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83"/>
      <c r="W257" s="83"/>
      <c r="X257" s="2"/>
      <c r="Y257" s="2"/>
      <c r="Z257" s="2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83"/>
      <c r="W258" s="83"/>
      <c r="X258" s="2"/>
      <c r="Y258" s="2"/>
      <c r="Z258" s="2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83"/>
      <c r="W259" s="83"/>
      <c r="X259" s="2"/>
      <c r="Y259" s="2"/>
      <c r="Z259" s="2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83"/>
      <c r="W260" s="83"/>
      <c r="X260" s="2"/>
      <c r="Y260" s="2"/>
      <c r="Z260" s="2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83"/>
      <c r="W261" s="83"/>
      <c r="X261" s="2"/>
      <c r="Y261" s="2"/>
      <c r="Z261" s="2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83"/>
      <c r="W262" s="83"/>
      <c r="X262" s="2"/>
      <c r="Y262" s="2"/>
      <c r="Z262" s="2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83"/>
      <c r="W263" s="83"/>
      <c r="X263" s="2"/>
      <c r="Y263" s="2"/>
      <c r="Z263" s="2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83"/>
      <c r="W264" s="83"/>
      <c r="X264" s="2"/>
      <c r="Y264" s="2"/>
      <c r="Z264" s="2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83"/>
      <c r="W265" s="83"/>
      <c r="X265" s="2"/>
      <c r="Y265" s="2"/>
      <c r="Z265" s="2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83"/>
      <c r="W266" s="83"/>
      <c r="X266" s="2"/>
      <c r="Y266" s="2"/>
      <c r="Z266" s="2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83"/>
      <c r="W267" s="83"/>
      <c r="X267" s="2"/>
      <c r="Y267" s="2"/>
      <c r="Z267" s="2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83"/>
      <c r="W268" s="83"/>
      <c r="X268" s="2"/>
      <c r="Y268" s="2"/>
      <c r="Z268" s="2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83"/>
      <c r="W269" s="83"/>
      <c r="X269" s="2"/>
      <c r="Y269" s="2"/>
      <c r="Z269" s="2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83"/>
      <c r="W270" s="83"/>
      <c r="X270" s="2"/>
      <c r="Y270" s="2"/>
      <c r="Z270" s="2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83"/>
      <c r="W271" s="83"/>
      <c r="X271" s="2"/>
      <c r="Y271" s="2"/>
      <c r="Z271" s="2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83"/>
      <c r="W272" s="83"/>
      <c r="X272" s="2"/>
      <c r="Y272" s="2"/>
      <c r="Z272" s="2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83"/>
      <c r="W273" s="83"/>
      <c r="X273" s="2"/>
      <c r="Y273" s="2"/>
      <c r="Z273" s="2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83"/>
      <c r="W274" s="83"/>
      <c r="X274" s="2"/>
      <c r="Y274" s="2"/>
      <c r="Z274" s="2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83"/>
      <c r="W275" s="83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 count="8">
    <mergeCell ref="A1:U1"/>
    <mergeCell ref="A2:D2"/>
    <mergeCell ref="E2:G2"/>
    <mergeCell ref="H2:K2"/>
    <mergeCell ref="L2:M2"/>
    <mergeCell ref="N2:R2"/>
    <mergeCell ref="T2:U2"/>
    <mergeCell ref="V2:W2"/>
  </mergeCells>
  <conditionalFormatting sqref="I4:I107">
    <cfRule type="cellIs" dxfId="2" priority="1" operator="equal">
      <formula>"BET"</formula>
    </cfRule>
  </conditionalFormatting>
  <conditionalFormatting sqref="I4:I107">
    <cfRule type="cellIs" dxfId="3" priority="2" operator="equal">
      <formula>"PASS"</formula>
    </cfRule>
  </conditionalFormatting>
  <conditionalFormatting sqref="M4:M107">
    <cfRule type="expression" dxfId="3" priority="3">
      <formula>ISNUMBER(SEARCH("NO BET",M4))</formula>
    </cfRule>
  </conditionalFormatting>
  <conditionalFormatting sqref="M4:M107">
    <cfRule type="expression" dxfId="2" priority="4">
      <formula>ISNUMBER(SEARCH("PLACE",M4))</formula>
    </cfRule>
  </conditionalFormatting>
  <conditionalFormatting sqref="M4:M107">
    <cfRule type="expression" dxfId="4" priority="5">
      <formula>ISNUMBER(SEARCH("WAIT",M4))</formula>
    </cfRule>
  </conditionalFormatting>
  <conditionalFormatting sqref="M4:M107">
    <cfRule type="expression" dxfId="5" priority="6">
      <formula>ISNUMBER(SEARCH("SKIP",M4))</formula>
    </cfRule>
  </conditionalFormatting>
  <conditionalFormatting sqref="S4:S107">
    <cfRule type="expression" dxfId="4" priority="7">
      <formula>ISNUMBER(SEARCH("⚠",S4))</formula>
    </cfRule>
  </conditionalFormatting>
  <conditionalFormatting sqref="S4:S107">
    <cfRule type="expression" dxfId="1" priority="8">
      <formula>ISNUMBER(SEARCH("✓",S4))</formula>
    </cfRule>
  </conditionalFormatting>
  <dataValidations>
    <dataValidation type="list" allowBlank="1" sqref="L4:L75 N4:N75">
      <formula1>"Y,N"</formula1>
    </dataValidation>
    <dataValidation type="list" allowBlank="1" sqref="O4:O75">
      <formula1>"H,D,A"</formula1>
    </dataValidation>
    <dataValidation type="list" allowBlank="1" sqref="R4:R107">
      <formula1>"H,D,A,Void"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3" width="28.14"/>
    <col customWidth="1" min="4" max="6" width="8.71"/>
  </cols>
  <sheetData>
    <row r="1" ht="17.25" customHeight="1">
      <c r="A1" s="113" t="s">
        <v>447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8" t="s">
        <v>448</v>
      </c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14" t="s">
        <v>449</v>
      </c>
      <c r="B3" s="115">
        <v>1000.0</v>
      </c>
      <c r="C3" s="116" t="s">
        <v>450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75" customHeight="1">
      <c r="A4" s="114" t="s">
        <v>451</v>
      </c>
      <c r="B4" s="117">
        <f>MIN(0.55,MAX(0.15,IF($B$49&lt;&gt;"",$B$49,$B$46+$B$48*IFERROR($B$47,0))))</f>
        <v>0.35</v>
      </c>
      <c r="C4" s="118" t="s">
        <v>452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14" t="s">
        <v>453</v>
      </c>
      <c r="B5" s="119">
        <v>0.25</v>
      </c>
      <c r="C5" s="116" t="s">
        <v>454</v>
      </c>
      <c r="D5" s="52" t="s">
        <v>455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14" t="s">
        <v>456</v>
      </c>
      <c r="B6" s="119">
        <v>0.03</v>
      </c>
      <c r="C6" s="116" t="s">
        <v>457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14" t="s">
        <v>458</v>
      </c>
      <c r="B7" s="120">
        <v>0.025</v>
      </c>
      <c r="C7" s="116" t="s">
        <v>459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75" customHeight="1">
      <c r="A8" s="114" t="s">
        <v>460</v>
      </c>
      <c r="B8" s="120">
        <v>0.025</v>
      </c>
      <c r="C8" s="116" t="s">
        <v>461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14" t="s">
        <v>462</v>
      </c>
      <c r="B9" s="115">
        <v>2.0</v>
      </c>
      <c r="C9" s="116" t="s">
        <v>463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8" t="s">
        <v>464</v>
      </c>
      <c r="B10" s="121">
        <f>B3+SUM(Bets!AR2:AR1000)</f>
        <v>969.4</v>
      </c>
      <c r="C10" s="116" t="s">
        <v>465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/>
      <c r="B11" s="1"/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8" t="s">
        <v>466</v>
      </c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22" t="s">
        <v>467</v>
      </c>
      <c r="B13" s="123">
        <v>21.0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22" t="s">
        <v>468</v>
      </c>
      <c r="B14" s="123">
        <v>50.0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14" t="s">
        <v>469</v>
      </c>
      <c r="B15" s="124">
        <f>1+B13/B14</f>
        <v>1.42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14" t="s">
        <v>470</v>
      </c>
      <c r="B16" s="125">
        <f>1/B15</f>
        <v>0.7042253521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/>
      <c r="B17" s="1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6.25" customHeight="1">
      <c r="A18" s="6" t="s">
        <v>471</v>
      </c>
      <c r="B18" s="1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0.0" customHeight="1">
      <c r="A19" s="116" t="s">
        <v>472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0" customHeight="1">
      <c r="A20" s="116" t="s">
        <v>473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0.0" customHeight="1">
      <c r="A21" s="116" t="s">
        <v>474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0.0" customHeight="1">
      <c r="A22" s="116" t="s">
        <v>475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0.0" customHeight="1">
      <c r="A23" s="116" t="s">
        <v>476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116"/>
      <c r="B24" s="1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6" t="s">
        <v>477</v>
      </c>
      <c r="B25" s="1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0.0" customHeight="1">
      <c r="A26" s="116" t="s">
        <v>478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0.0" customHeight="1">
      <c r="A27" s="116" t="s">
        <v>479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0.0" customHeight="1">
      <c r="A28" s="116" t="s">
        <v>480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0.0" customHeight="1">
      <c r="A29" s="116" t="s">
        <v>481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116"/>
      <c r="B30" s="1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6.25" customHeight="1">
      <c r="A31" s="6" t="s">
        <v>482</v>
      </c>
      <c r="B31" s="1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0.0" customHeight="1">
      <c r="A32" s="116" t="s">
        <v>483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0.0" customHeight="1">
      <c r="A33" s="116" t="s">
        <v>484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116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6" t="s">
        <v>485</v>
      </c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0.0" customHeight="1">
      <c r="A36" s="116" t="s">
        <v>486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116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9.0" customHeight="1">
      <c r="A38" s="6" t="s">
        <v>487</v>
      </c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0.0" customHeight="1">
      <c r="A39" s="116" t="s">
        <v>488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0.0" customHeight="1">
      <c r="A40" s="116" t="s">
        <v>489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116"/>
      <c r="B41" s="1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6" t="s">
        <v>490</v>
      </c>
      <c r="B42" s="1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0.0" customHeight="1">
      <c r="A43" s="116" t="s">
        <v>491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126" t="s">
        <v>492</v>
      </c>
      <c r="B45" s="1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44" t="s">
        <v>493</v>
      </c>
      <c r="B46" s="127">
        <v>0.35</v>
      </c>
      <c r="C46" s="128" t="s">
        <v>494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44" t="s">
        <v>495</v>
      </c>
      <c r="B47" s="129">
        <f>IF(COUNT(Matchday!U4:U1000)&lt;5,0,AVERAGE(Matchday!U4:U1000))</f>
        <v>0</v>
      </c>
      <c r="C47" s="128" t="s">
        <v>496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44" t="s">
        <v>497</v>
      </c>
      <c r="B48" s="127">
        <v>0.5</v>
      </c>
      <c r="C48" s="128" t="s">
        <v>498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44" t="s">
        <v>499</v>
      </c>
      <c r="B49" s="127"/>
      <c r="C49" s="128" t="s">
        <v>500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44" t="s">
        <v>501</v>
      </c>
      <c r="B50" s="130">
        <f>B3+MAX(0,IFERROR(MAX(Bets!AS2:AS1000),0))</f>
        <v>1024.4</v>
      </c>
      <c r="C50" s="128" t="s">
        <v>502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44" t="s">
        <v>503</v>
      </c>
      <c r="B51" s="129">
        <f>IF(B50=0,0,MAX(0,(B50-B10)/B50))</f>
        <v>0.05368996486</v>
      </c>
      <c r="C51" s="128" t="s">
        <v>504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44" t="s">
        <v>505</v>
      </c>
      <c r="B52" s="131">
        <v>0.15</v>
      </c>
      <c r="C52" s="132" t="s">
        <v>506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44" t="s">
        <v>507</v>
      </c>
      <c r="B53" s="133" t="b">
        <f>B51&gt;=B52</f>
        <v>0</v>
      </c>
      <c r="C53" s="128" t="s">
        <v>508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44" t="s">
        <v>509</v>
      </c>
      <c r="B54" s="134"/>
      <c r="C54" s="132" t="s">
        <v>510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44" t="s">
        <v>511</v>
      </c>
      <c r="B55" s="133" t="b">
        <f>OR(AND(B53=TRUE(),$B$54&lt;&gt;"Y"),B81=TRUE)</f>
        <v>0</v>
      </c>
      <c r="C55" s="132" t="s">
        <v>512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44" t="s">
        <v>513</v>
      </c>
      <c r="B56" s="134" t="s">
        <v>514</v>
      </c>
      <c r="C56" s="128" t="s">
        <v>515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0" customHeight="1">
      <c r="A57" s="44" t="s">
        <v>516</v>
      </c>
      <c r="B57" s="135">
        <v>46212.365103958335</v>
      </c>
      <c r="C57" s="128" t="s">
        <v>517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0" customHeight="1">
      <c r="A58" s="44" t="s">
        <v>518</v>
      </c>
      <c r="B58" s="135">
        <v>46212.36513528935</v>
      </c>
      <c r="C58" s="128" t="s">
        <v>519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44" t="s">
        <v>520</v>
      </c>
      <c r="B59" s="136" t="s">
        <v>165</v>
      </c>
      <c r="C59" s="128" t="s">
        <v>521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0" customHeight="1">
      <c r="A60" s="44" t="s">
        <v>522</v>
      </c>
      <c r="B60" s="137">
        <v>96.0</v>
      </c>
      <c r="C60" s="128" t="s">
        <v>523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0" customHeight="1">
      <c r="A61" s="44" t="s">
        <v>524</v>
      </c>
      <c r="B61" s="136" t="s">
        <v>170</v>
      </c>
      <c r="C61" s="128" t="s">
        <v>525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0" customHeight="1">
      <c r="A62" s="44" t="s">
        <v>526</v>
      </c>
      <c r="B62" s="136"/>
      <c r="C62" s="128" t="s">
        <v>527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0" customHeight="1">
      <c r="A63" s="44" t="s">
        <v>528</v>
      </c>
      <c r="B63" s="136" t="s">
        <v>529</v>
      </c>
      <c r="C63" s="132" t="s">
        <v>530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2.25" customHeight="1">
      <c r="A64" s="128" t="s">
        <v>531</v>
      </c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53.25" customHeight="1">
      <c r="A65" s="138" t="s">
        <v>532</v>
      </c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8" t="s">
        <v>533</v>
      </c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 t="s">
        <v>534</v>
      </c>
      <c r="B67" s="55" t="s">
        <v>184</v>
      </c>
      <c r="C67" s="56" t="s">
        <v>535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 t="s">
        <v>536</v>
      </c>
      <c r="B68" s="54">
        <v>236.0</v>
      </c>
      <c r="C68" s="56" t="s">
        <v>537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 t="s">
        <v>538</v>
      </c>
      <c r="B69" s="54">
        <v>48.0</v>
      </c>
      <c r="C69" s="56" t="s">
        <v>539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 t="s">
        <v>540</v>
      </c>
      <c r="B70" s="54">
        <v>23.0</v>
      </c>
      <c r="C70" s="56" t="s">
        <v>541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 t="s">
        <v>542</v>
      </c>
      <c r="B71" s="54">
        <v>2.0</v>
      </c>
      <c r="C71" s="56" t="s">
        <v>543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 t="s">
        <v>544</v>
      </c>
      <c r="B72" s="54">
        <v>0.9852074536583656</v>
      </c>
      <c r="C72" s="56" t="s">
        <v>545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 t="s">
        <v>546</v>
      </c>
      <c r="B73" s="54">
        <v>0.01574096801913316</v>
      </c>
      <c r="C73" s="56" t="s">
        <v>547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 t="s">
        <v>548</v>
      </c>
      <c r="B74" s="54">
        <v>0.8692201897713608</v>
      </c>
      <c r="C74" s="56" t="s">
        <v>549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 t="s">
        <v>550</v>
      </c>
      <c r="B75" s="54">
        <v>0.038568490147334766</v>
      </c>
      <c r="C75" s="56" t="s">
        <v>551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 t="s">
        <v>552</v>
      </c>
      <c r="B76" s="55" t="s">
        <v>553</v>
      </c>
      <c r="C76" s="56" t="s">
        <v>554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 t="s">
        <v>555</v>
      </c>
      <c r="B77" s="54">
        <v>4839.0</v>
      </c>
      <c r="C77" s="56" t="s">
        <v>556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 t="s">
        <v>557</v>
      </c>
      <c r="B78" s="139">
        <v>46212.36472886574</v>
      </c>
      <c r="C78" s="56" t="s">
        <v>558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 t="s">
        <v>559</v>
      </c>
      <c r="B79" s="139">
        <v>46212.36512274305</v>
      </c>
      <c r="C79" s="56" t="s">
        <v>560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55" t="s">
        <v>561</v>
      </c>
      <c r="B81" s="55" t="b">
        <v>0</v>
      </c>
      <c r="C81" s="140" t="s">
        <v>562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55" t="s">
        <v>563</v>
      </c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55" t="s">
        <v>564</v>
      </c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55" t="s">
        <v>565</v>
      </c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55" t="s">
        <v>566</v>
      </c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55" t="s">
        <v>567</v>
      </c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55" t="s">
        <v>568</v>
      </c>
      <c r="B87" s="1">
        <v>0.3</v>
      </c>
      <c r="C87" s="55" t="s">
        <v>569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55" t="s">
        <v>570</v>
      </c>
      <c r="B88" s="1">
        <v>2.5</v>
      </c>
      <c r="C88" s="55" t="s">
        <v>571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"/>
      <c r="B273" s="1"/>
      <c r="C273" s="1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"/>
      <c r="B274" s="1"/>
      <c r="C274" s="1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"/>
      <c r="B275" s="1"/>
      <c r="C275" s="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"/>
      <c r="B276" s="1"/>
      <c r="C276" s="1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"/>
      <c r="B277" s="1"/>
      <c r="C277" s="1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"/>
      <c r="B278" s="1"/>
      <c r="C278" s="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"/>
      <c r="B279" s="1"/>
      <c r="C279" s="1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"/>
      <c r="B280" s="1"/>
      <c r="C280" s="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"/>
      <c r="B281" s="1"/>
      <c r="C281" s="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15">
    <mergeCell ref="A28:C28"/>
    <mergeCell ref="A29:C29"/>
    <mergeCell ref="A32:C32"/>
    <mergeCell ref="A33:C33"/>
    <mergeCell ref="A36:C36"/>
    <mergeCell ref="A39:C39"/>
    <mergeCell ref="A40:C40"/>
    <mergeCell ref="A43:C43"/>
    <mergeCell ref="A19:C19"/>
    <mergeCell ref="A20:C20"/>
    <mergeCell ref="A21:C21"/>
    <mergeCell ref="A22:C22"/>
    <mergeCell ref="A23:C23"/>
    <mergeCell ref="A26:C26"/>
    <mergeCell ref="A27:C27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2.0"/>
    <col customWidth="1" min="3" max="3" width="10.0"/>
    <col customWidth="1" min="4" max="4" width="12.0"/>
    <col customWidth="1" min="5" max="5" width="10.0"/>
    <col customWidth="1" min="6" max="7" width="14.0"/>
    <col customWidth="1" min="8" max="8" width="12.0"/>
  </cols>
  <sheetData>
    <row r="1" ht="15.0" customHeight="1">
      <c r="A1" s="28" t="s">
        <v>572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9" t="s">
        <v>573</v>
      </c>
      <c r="B3" s="29" t="s">
        <v>574</v>
      </c>
      <c r="C3" s="29" t="s">
        <v>575</v>
      </c>
      <c r="D3" s="29" t="s">
        <v>576</v>
      </c>
      <c r="E3" s="29" t="s">
        <v>575</v>
      </c>
      <c r="F3" s="29" t="s">
        <v>577</v>
      </c>
      <c r="G3" s="29" t="s">
        <v>578</v>
      </c>
      <c r="H3" s="29" t="s">
        <v>579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3" t="s">
        <v>68</v>
      </c>
      <c r="B4" s="141">
        <v>0.241</v>
      </c>
      <c r="C4" s="35">
        <f t="shared" ref="C4:C15" si="1">1/B4</f>
        <v>4.149377593</v>
      </c>
      <c r="D4" s="141">
        <v>0.161</v>
      </c>
      <c r="E4" s="35">
        <f t="shared" ref="E4:E8" si="2">1/D4</f>
        <v>6.211180124</v>
      </c>
      <c r="F4" s="141">
        <f t="shared" ref="F4:F8" si="3">B4-D4</f>
        <v>0.08</v>
      </c>
      <c r="G4" s="142"/>
      <c r="H4" s="141" t="str">
        <f t="shared" ref="H4:H15" si="4">IF(G4="","",1/G4)</f>
        <v/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3" t="s">
        <v>80</v>
      </c>
      <c r="B5" s="141">
        <v>0.183</v>
      </c>
      <c r="C5" s="35">
        <f t="shared" si="1"/>
        <v>5.464480874</v>
      </c>
      <c r="D5" s="141">
        <v>0.104</v>
      </c>
      <c r="E5" s="35">
        <f t="shared" si="2"/>
        <v>9.615384615</v>
      </c>
      <c r="F5" s="141">
        <f t="shared" si="3"/>
        <v>0.079</v>
      </c>
      <c r="G5" s="142"/>
      <c r="H5" s="141" t="str">
        <f t="shared" si="4"/>
        <v/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33" t="s">
        <v>76</v>
      </c>
      <c r="B6" s="141">
        <v>0.093</v>
      </c>
      <c r="C6" s="35">
        <f t="shared" si="1"/>
        <v>10.75268817</v>
      </c>
      <c r="D6" s="141">
        <v>0.13</v>
      </c>
      <c r="E6" s="35">
        <f t="shared" si="2"/>
        <v>7.692307692</v>
      </c>
      <c r="F6" s="141">
        <f t="shared" si="3"/>
        <v>-0.037</v>
      </c>
      <c r="G6" s="142"/>
      <c r="H6" s="141" t="str">
        <f t="shared" si="4"/>
        <v/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3" t="s">
        <v>86</v>
      </c>
      <c r="B7" s="141">
        <v>0.07</v>
      </c>
      <c r="C7" s="35">
        <f t="shared" si="1"/>
        <v>14.28571429</v>
      </c>
      <c r="D7" s="141">
        <v>0.112</v>
      </c>
      <c r="E7" s="35">
        <f t="shared" si="2"/>
        <v>8.928571429</v>
      </c>
      <c r="F7" s="141">
        <f t="shared" si="3"/>
        <v>-0.042</v>
      </c>
      <c r="G7" s="142"/>
      <c r="H7" s="141" t="str">
        <f t="shared" si="4"/>
        <v/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33" t="s">
        <v>54</v>
      </c>
      <c r="B8" s="141">
        <v>0.052</v>
      </c>
      <c r="C8" s="35">
        <f t="shared" si="1"/>
        <v>19.23076923</v>
      </c>
      <c r="D8" s="141">
        <v>0.066</v>
      </c>
      <c r="E8" s="35">
        <f t="shared" si="2"/>
        <v>15.15151515</v>
      </c>
      <c r="F8" s="141">
        <f t="shared" si="3"/>
        <v>-0.014</v>
      </c>
      <c r="G8" s="142"/>
      <c r="H8" s="141" t="str">
        <f t="shared" si="4"/>
        <v/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33" t="s">
        <v>91</v>
      </c>
      <c r="B9" s="141">
        <v>0.046</v>
      </c>
      <c r="C9" s="35">
        <f t="shared" si="1"/>
        <v>21.73913043</v>
      </c>
      <c r="D9" s="141" t="s">
        <v>580</v>
      </c>
      <c r="E9" s="35"/>
      <c r="F9" s="141"/>
      <c r="G9" s="142"/>
      <c r="H9" s="141" t="str">
        <f t="shared" si="4"/>
        <v/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33" t="s">
        <v>84</v>
      </c>
      <c r="B10" s="141">
        <v>0.045</v>
      </c>
      <c r="C10" s="35">
        <f t="shared" si="1"/>
        <v>22.22222222</v>
      </c>
      <c r="D10" s="141">
        <v>0.07</v>
      </c>
      <c r="E10" s="35">
        <f t="shared" ref="E10:E12" si="5">1/D10</f>
        <v>14.28571429</v>
      </c>
      <c r="F10" s="141">
        <f t="shared" ref="F10:F12" si="6">B10-D10</f>
        <v>-0.025</v>
      </c>
      <c r="G10" s="142"/>
      <c r="H10" s="141" t="str">
        <f t="shared" si="4"/>
        <v/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33" t="s">
        <v>60</v>
      </c>
      <c r="B11" s="141">
        <v>0.034</v>
      </c>
      <c r="C11" s="35">
        <f t="shared" si="1"/>
        <v>29.41176471</v>
      </c>
      <c r="D11" s="141">
        <v>0.051</v>
      </c>
      <c r="E11" s="35">
        <f t="shared" si="5"/>
        <v>19.60784314</v>
      </c>
      <c r="F11" s="141">
        <f t="shared" si="6"/>
        <v>-0.017</v>
      </c>
      <c r="G11" s="142"/>
      <c r="H11" s="141" t="str">
        <f t="shared" si="4"/>
        <v/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33" t="s">
        <v>62</v>
      </c>
      <c r="B12" s="141">
        <v>0.033</v>
      </c>
      <c r="C12" s="35">
        <f t="shared" si="1"/>
        <v>30.3030303</v>
      </c>
      <c r="D12" s="141">
        <v>0.036</v>
      </c>
      <c r="E12" s="35">
        <f t="shared" si="5"/>
        <v>27.77777778</v>
      </c>
      <c r="F12" s="141">
        <f t="shared" si="6"/>
        <v>-0.003</v>
      </c>
      <c r="G12" s="142"/>
      <c r="H12" s="141" t="str">
        <f t="shared" si="4"/>
        <v/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33" t="s">
        <v>65</v>
      </c>
      <c r="B13" s="141">
        <v>0.025</v>
      </c>
      <c r="C13" s="35">
        <f t="shared" si="1"/>
        <v>40</v>
      </c>
      <c r="D13" s="141" t="s">
        <v>580</v>
      </c>
      <c r="E13" s="35"/>
      <c r="F13" s="141"/>
      <c r="G13" s="142"/>
      <c r="H13" s="141" t="str">
        <f t="shared" si="4"/>
        <v/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33" t="s">
        <v>79</v>
      </c>
      <c r="B14" s="141">
        <v>0.018</v>
      </c>
      <c r="C14" s="35">
        <f t="shared" si="1"/>
        <v>55.55555556</v>
      </c>
      <c r="D14" s="141" t="s">
        <v>580</v>
      </c>
      <c r="E14" s="35"/>
      <c r="F14" s="141"/>
      <c r="G14" s="142"/>
      <c r="H14" s="141" t="str">
        <f t="shared" si="4"/>
        <v/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33" t="s">
        <v>53</v>
      </c>
      <c r="B15" s="141">
        <v>0.016</v>
      </c>
      <c r="C15" s="35">
        <f t="shared" si="1"/>
        <v>62.5</v>
      </c>
      <c r="D15" s="141" t="s">
        <v>580</v>
      </c>
      <c r="E15" s="35"/>
      <c r="F15" s="141"/>
      <c r="G15" s="142"/>
      <c r="H15" s="141" t="str">
        <f t="shared" si="4"/>
        <v/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/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16" t="s">
        <v>581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/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43" t="s">
        <v>582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mergeCells count="3">
    <mergeCell ref="A1:H1"/>
    <mergeCell ref="A17:H18"/>
    <mergeCell ref="A20:H20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4" width="11.0"/>
    <col customWidth="1" min="5" max="5" width="18.0"/>
    <col customWidth="1" min="6" max="8" width="11.0"/>
    <col customWidth="1" min="9" max="10" width="8.71"/>
  </cols>
  <sheetData>
    <row r="1" ht="15.75" customHeight="1">
      <c r="A1" s="82" t="s">
        <v>583</v>
      </c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8" t="s">
        <v>584</v>
      </c>
      <c r="I2" s="2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38" t="s">
        <v>585</v>
      </c>
      <c r="I3" s="2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8" t="s">
        <v>586</v>
      </c>
      <c r="I4" s="2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8" t="s">
        <v>587</v>
      </c>
      <c r="I5" s="2"/>
      <c r="J5" s="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1"/>
      <c r="C6" s="1"/>
      <c r="D6" s="1"/>
      <c r="E6" s="1"/>
      <c r="F6" s="1"/>
      <c r="G6" s="1"/>
      <c r="H6" s="1"/>
      <c r="I6" s="2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29" t="s">
        <v>134</v>
      </c>
      <c r="B7" s="29" t="s">
        <v>588</v>
      </c>
      <c r="C7" s="29" t="s">
        <v>589</v>
      </c>
      <c r="D7" s="29" t="s">
        <v>590</v>
      </c>
      <c r="E7" s="29" t="s">
        <v>591</v>
      </c>
      <c r="F7" s="29" t="s">
        <v>592</v>
      </c>
      <c r="G7" s="29" t="s">
        <v>593</v>
      </c>
      <c r="H7" s="29" t="s">
        <v>594</v>
      </c>
      <c r="I7" s="2"/>
      <c r="J7" s="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44">
        <f>Bets!A2</f>
        <v>1</v>
      </c>
      <c r="B8" s="145"/>
      <c r="C8" s="145"/>
      <c r="D8" s="145"/>
      <c r="E8" s="146" t="str">
        <f>IF(Bets!AN2="Y","PLACED — frozen","")</f>
        <v>PLACED — frozen</v>
      </c>
      <c r="F8" s="147">
        <f>IF(Bets!AN2="Y",Bets!I2,IF(B8="",Bets!I2,B8))</f>
        <v>0.7008</v>
      </c>
      <c r="G8" s="147">
        <f>IF(Bets!AN2="Y",Bets!J2,IF(C8="",Bets!J2,C8))</f>
        <v>0.2117</v>
      </c>
      <c r="H8" s="147">
        <f>IF(Bets!AN2="Y",Bets!K2,IF(D8="",Bets!K2,D8))</f>
        <v>0.0876</v>
      </c>
      <c r="I8" s="2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44">
        <f>Bets!A3</f>
        <v>2</v>
      </c>
      <c r="B9" s="145"/>
      <c r="C9" s="145"/>
      <c r="D9" s="145"/>
      <c r="E9" s="146" t="str">
        <f>IF(Bets!AN3="Y","PLACED — frozen","")</f>
        <v>PLACED — frozen</v>
      </c>
      <c r="F9" s="147">
        <f>IF(Bets!AN3="Y",Bets!I3,IF(B9="",Bets!I3,B9))</f>
        <v>0.4437091842</v>
      </c>
      <c r="G9" s="147">
        <f>IF(Bets!AN3="Y",Bets!J3,IF(C9="",Bets!J3,C9))</f>
        <v>0.2906709316</v>
      </c>
      <c r="H9" s="147">
        <f>IF(Bets!AN3="Y",Bets!K3,IF(D9="",Bets!K3,D9))</f>
        <v>0.2656198843</v>
      </c>
      <c r="I9" s="2"/>
      <c r="J9" s="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44">
        <f>Bets!A4</f>
        <v>3</v>
      </c>
      <c r="B10" s="145"/>
      <c r="C10" s="145"/>
      <c r="D10" s="145"/>
      <c r="E10" s="146" t="str">
        <f>IF(Bets!AN4="Y","PLACED — frozen","")</f>
        <v>PLACED — frozen</v>
      </c>
      <c r="F10" s="147">
        <f>IF(Bets!AN4="Y",Bets!I4,IF(B10="",Bets!I4,B10))</f>
        <v>0.6975066163</v>
      </c>
      <c r="G10" s="147">
        <f>IF(Bets!AN4="Y",Bets!J4,IF(C10="",Bets!J4,C10))</f>
        <v>0.2132834047</v>
      </c>
      <c r="H10" s="147">
        <f>IF(Bets!AN4="Y",Bets!K4,IF(D10="",Bets!K4,D10))</f>
        <v>0.08920997903</v>
      </c>
      <c r="I10" s="2"/>
      <c r="J10" s="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44">
        <f>Bets!A5</f>
        <v>4</v>
      </c>
      <c r="B11" s="145"/>
      <c r="C11" s="145"/>
      <c r="D11" s="145"/>
      <c r="E11" s="146" t="str">
        <f>IF(Bets!AN5="Y","PLACED — frozen","")</f>
        <v>PLACED — frozen</v>
      </c>
      <c r="F11" s="147">
        <f>IF(Bets!AN5="Y",Bets!I5,IF(B11="",Bets!I5,B11))</f>
        <v>0.4854873211</v>
      </c>
      <c r="G11" s="147">
        <f>IF(Bets!AN5="Y",Bets!J5,IF(C11="",Bets!J5,C11))</f>
        <v>0.2800986984</v>
      </c>
      <c r="H11" s="147">
        <f>IF(Bets!AN5="Y",Bets!K5,IF(D11="",Bets!K5,D11))</f>
        <v>0.2344139804</v>
      </c>
      <c r="I11" s="2"/>
      <c r="J11" s="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44">
        <f>Bets!A6</f>
        <v>5</v>
      </c>
      <c r="B12" s="145"/>
      <c r="C12" s="145"/>
      <c r="D12" s="145"/>
      <c r="E12" s="146" t="str">
        <f>IF(Bets!AN6="Y","PLACED — frozen","")</f>
        <v>PLACED — frozen</v>
      </c>
      <c r="F12" s="147">
        <f>IF(Bets!AN6="Y",Bets!I6,IF(B12="",Bets!I6,B12))</f>
        <v>0.07585286983</v>
      </c>
      <c r="G12" s="147">
        <f>IF(Bets!AN6="Y",Bets!J6,IF(C12="",Bets!J6,C12))</f>
        <v>0.1978944302</v>
      </c>
      <c r="H12" s="147">
        <f>IF(Bets!AN6="Y",Bets!K6,IF(D12="",Bets!K6,D12))</f>
        <v>0.7262527</v>
      </c>
      <c r="I12" s="2"/>
      <c r="J12" s="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44">
        <f>Bets!A7</f>
        <v>6</v>
      </c>
      <c r="B13" s="145"/>
      <c r="C13" s="145"/>
      <c r="D13" s="145"/>
      <c r="E13" s="146" t="str">
        <f>IF(Bets!AN7="Y","PLACED — frozen","")</f>
        <v>PLACED — frozen</v>
      </c>
      <c r="F13" s="147">
        <f>IF(Bets!AN7="Y",Bets!I7,IF(B13="",Bets!I7,B13))</f>
        <v>0.4512466757</v>
      </c>
      <c r="G13" s="147">
        <f>IF(Bets!AN7="Y",Bets!J7,IF(C13="",Bets!J7,C13))</f>
        <v>0.2913635929</v>
      </c>
      <c r="H13" s="147">
        <f>IF(Bets!AN7="Y",Bets!K7,IF(D13="",Bets!K7,D13))</f>
        <v>0.2573897314</v>
      </c>
      <c r="I13" s="2"/>
      <c r="J13" s="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44">
        <f>Bets!A8</f>
        <v>7</v>
      </c>
      <c r="B14" s="145"/>
      <c r="C14" s="145"/>
      <c r="D14" s="145"/>
      <c r="E14" s="146" t="str">
        <f>IF(Bets!AN8="Y","PLACED — frozen","")</f>
        <v/>
      </c>
      <c r="F14" s="147">
        <f>IF(Bets!AN8="Y",Bets!I8,IF(B14="",Bets!I8,B14))</f>
        <v>0.211121565</v>
      </c>
      <c r="G14" s="147">
        <f>IF(Bets!AN8="Y",Bets!J8,IF(C14="",Bets!J8,C14))</f>
        <v>0.2688989238</v>
      </c>
      <c r="H14" s="147">
        <f>IF(Bets!AN8="Y",Bets!K8,IF(D14="",Bets!K8,D14))</f>
        <v>0.5199795112</v>
      </c>
      <c r="I14" s="2"/>
      <c r="J14" s="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44">
        <f>Bets!A9</f>
        <v>8</v>
      </c>
      <c r="B15" s="145"/>
      <c r="C15" s="145"/>
      <c r="D15" s="145"/>
      <c r="E15" s="146" t="str">
        <f>IF(Bets!AN9="Y","PLACED — frozen","")</f>
        <v>PLACED — frozen</v>
      </c>
      <c r="F15" s="147">
        <f>IF(Bets!AN9="Y",Bets!I9,IF(B15="",Bets!I9,B15))</f>
        <v>0.3613932988</v>
      </c>
      <c r="G15" s="147">
        <f>IF(Bets!AN9="Y",Bets!J9,IF(C15="",Bets!J9,C15))</f>
        <v>0.3063987188</v>
      </c>
      <c r="H15" s="147">
        <f>IF(Bets!AN9="Y",Bets!K9,IF(D15="",Bets!K9,D15))</f>
        <v>0.3322079824</v>
      </c>
      <c r="I15" s="2"/>
      <c r="J15" s="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44">
        <f>Bets!A10</f>
        <v>9</v>
      </c>
      <c r="B16" s="145"/>
      <c r="C16" s="145"/>
      <c r="D16" s="145"/>
      <c r="E16" s="146" t="str">
        <f>IF(Bets!AN10="Y","PLACED — frozen","")</f>
        <v>PLACED — frozen</v>
      </c>
      <c r="F16" s="147">
        <f>IF(Bets!AN10="Y",Bets!I10,IF(B16="",Bets!I10,B16))</f>
        <v>0.7387370549</v>
      </c>
      <c r="G16" s="147">
        <f>IF(Bets!AN10="Y",Bets!J10,IF(C16="",Bets!J10,C16))</f>
        <v>0.1796393707</v>
      </c>
      <c r="H16" s="147">
        <f>IF(Bets!AN10="Y",Bets!K10,IF(D16="",Bets!K10,D16))</f>
        <v>0.08162357444</v>
      </c>
      <c r="I16" s="2"/>
      <c r="J16" s="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44">
        <f>Bets!A11</f>
        <v>10</v>
      </c>
      <c r="B17" s="145"/>
      <c r="C17" s="145"/>
      <c r="D17" s="145"/>
      <c r="E17" s="146" t="str">
        <f>IF(Bets!AN11="Y","PLACED — frozen","")</f>
        <v>PLACED — frozen</v>
      </c>
      <c r="F17" s="147">
        <f>IF(Bets!AN11="Y",Bets!I11,IF(B17="",Bets!I11,B17))</f>
        <v>0.432126829</v>
      </c>
      <c r="G17" s="147">
        <f>IF(Bets!AN11="Y",Bets!J11,IF(C17="",Bets!J11,C17))</f>
        <v>0.2887854722</v>
      </c>
      <c r="H17" s="147">
        <f>IF(Bets!AN11="Y",Bets!K11,IF(D17="",Bets!K11,D17))</f>
        <v>0.2790876987</v>
      </c>
      <c r="I17" s="2"/>
      <c r="J17" s="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44">
        <f>Bets!A12</f>
        <v>11</v>
      </c>
      <c r="B18" s="145"/>
      <c r="C18" s="145"/>
      <c r="D18" s="145"/>
      <c r="E18" s="146" t="str">
        <f>IF(Bets!AN12="Y","PLACED — frozen","")</f>
        <v/>
      </c>
      <c r="F18" s="147">
        <f>IF(Bets!AN12="Y",Bets!I12,IF(B18="",Bets!I12,B18))</f>
        <v>0.2320528836</v>
      </c>
      <c r="G18" s="147">
        <f>IF(Bets!AN12="Y",Bets!J12,IF(C18="",Bets!J12,C18))</f>
        <v>0.2888432625</v>
      </c>
      <c r="H18" s="147">
        <f>IF(Bets!AN12="Y",Bets!K12,IF(D18="",Bets!K12,D18))</f>
        <v>0.4791038539</v>
      </c>
      <c r="I18" s="2"/>
      <c r="J18" s="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44">
        <f>Bets!A13</f>
        <v>12</v>
      </c>
      <c r="B19" s="145"/>
      <c r="C19" s="145"/>
      <c r="D19" s="145"/>
      <c r="E19" s="146" t="str">
        <f>IF(Bets!AN13="Y","PLACED — frozen","")</f>
        <v/>
      </c>
      <c r="F19" s="147">
        <f>IF(Bets!AN13="Y",Bets!I13,IF(B19="",Bets!I13,B19))</f>
        <v>0.4025195734</v>
      </c>
      <c r="G19" s="147">
        <f>IF(Bets!AN13="Y",Bets!J13,IF(C19="",Bets!J13,C19))</f>
        <v>0.2931607472</v>
      </c>
      <c r="H19" s="147">
        <f>IF(Bets!AN13="Y",Bets!K13,IF(D19="",Bets!K13,D19))</f>
        <v>0.3043196794</v>
      </c>
      <c r="I19" s="2"/>
      <c r="J19" s="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44">
        <f>Bets!A14</f>
        <v>13</v>
      </c>
      <c r="B20" s="145"/>
      <c r="C20" s="145"/>
      <c r="D20" s="145"/>
      <c r="E20" s="146" t="str">
        <f>IF(Bets!AN14="Y","PLACED — frozen","")</f>
        <v/>
      </c>
      <c r="F20" s="147">
        <f>IF(Bets!AN14="Y",Bets!I14,IF(B20="",Bets!I14,B20))</f>
        <v>0.859193145</v>
      </c>
      <c r="G20" s="147">
        <f>IF(Bets!AN14="Y",Bets!J14,IF(C20="",Bets!J14,C20))</f>
        <v>0.1007691308</v>
      </c>
      <c r="H20" s="147">
        <f>IF(Bets!AN14="Y",Bets!K14,IF(D20="",Bets!K14,D20))</f>
        <v>0.04003772422</v>
      </c>
      <c r="I20" s="2"/>
      <c r="J20" s="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144">
        <f>Bets!A15</f>
        <v>14</v>
      </c>
      <c r="B21" s="145"/>
      <c r="C21" s="145"/>
      <c r="D21" s="145"/>
      <c r="E21" s="146" t="str">
        <f>IF(Bets!AN15="Y","PLACED — frozen","")</f>
        <v/>
      </c>
      <c r="F21" s="147">
        <f>IF(Bets!AN15="Y",Bets!I15,IF(B21="",Bets!I15,B21))</f>
        <v>0.5211870938</v>
      </c>
      <c r="G21" s="147">
        <f>IF(Bets!AN15="Y",Bets!J15,IF(C21="",Bets!J15,C21))</f>
        <v>0.2820118099</v>
      </c>
      <c r="H21" s="147">
        <f>IF(Bets!AN15="Y",Bets!K15,IF(D21="",Bets!K15,D21))</f>
        <v>0.1968010964</v>
      </c>
      <c r="I21" s="2"/>
      <c r="J21" s="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144">
        <f>Bets!A16</f>
        <v>15</v>
      </c>
      <c r="B22" s="145"/>
      <c r="C22" s="145"/>
      <c r="D22" s="145"/>
      <c r="E22" s="146" t="str">
        <f>IF(Bets!AN16="Y","PLACED — frozen","")</f>
        <v/>
      </c>
      <c r="F22" s="147">
        <f>IF(Bets!AN16="Y",Bets!I16,IF(B22="",Bets!I16,B22))</f>
        <v>0.1691468617</v>
      </c>
      <c r="G22" s="147">
        <f>IF(Bets!AN16="Y",Bets!J16,IF(C22="",Bets!J16,C22))</f>
        <v>0.2607174336</v>
      </c>
      <c r="H22" s="147">
        <f>IF(Bets!AN16="Y",Bets!K16,IF(D22="",Bets!K16,D22))</f>
        <v>0.5701357048</v>
      </c>
      <c r="I22" s="2"/>
      <c r="J22" s="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144">
        <f>Bets!A17</f>
        <v>16</v>
      </c>
      <c r="B23" s="145"/>
      <c r="C23" s="145"/>
      <c r="D23" s="145"/>
      <c r="E23" s="146" t="str">
        <f>IF(Bets!AN17="Y","PLACED — frozen","")</f>
        <v/>
      </c>
      <c r="F23" s="147">
        <f>IF(Bets!AN17="Y",Bets!I17,IF(B23="",Bets!I17,B23))</f>
        <v>0.53164062</v>
      </c>
      <c r="G23" s="147">
        <f>IF(Bets!AN17="Y",Bets!J17,IF(C23="",Bets!J17,C23))</f>
        <v>0.2808644874</v>
      </c>
      <c r="H23" s="147">
        <f>IF(Bets!AN17="Y",Bets!K17,IF(D23="",Bets!K17,D23))</f>
        <v>0.1874948926</v>
      </c>
      <c r="I23" s="2"/>
      <c r="J23" s="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144">
        <f>Bets!A18</f>
        <v>17</v>
      </c>
      <c r="B24" s="145"/>
      <c r="C24" s="145"/>
      <c r="D24" s="145"/>
      <c r="E24" s="146" t="str">
        <f>IF(Bets!AN18="Y","PLACED — frozen","")</f>
        <v/>
      </c>
      <c r="F24" s="147">
        <f>IF(Bets!AN18="Y",Bets!I18,IF(B24="",Bets!I18,B24))</f>
        <v>0.7543140748</v>
      </c>
      <c r="G24" s="147">
        <f>IF(Bets!AN18="Y",Bets!J18,IF(C24="",Bets!J18,C24))</f>
        <v>0.16377887</v>
      </c>
      <c r="H24" s="147">
        <f>IF(Bets!AN18="Y",Bets!K18,IF(D24="",Bets!K18,D24))</f>
        <v>0.08190705518</v>
      </c>
      <c r="I24" s="2"/>
      <c r="J24" s="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144">
        <f>Bets!A19</f>
        <v>18</v>
      </c>
      <c r="B25" s="145"/>
      <c r="C25" s="145"/>
      <c r="D25" s="145"/>
      <c r="E25" s="146" t="str">
        <f>IF(Bets!AN19="Y","PLACED — frozen","")</f>
        <v/>
      </c>
      <c r="F25" s="147">
        <f>IF(Bets!AN19="Y",Bets!I19,IF(B25="",Bets!I19,B25))</f>
        <v>0.1160684602</v>
      </c>
      <c r="G25" s="147">
        <f>IF(Bets!AN19="Y",Bets!J19,IF(C25="",Bets!J19,C25))</f>
        <v>0.2631017654</v>
      </c>
      <c r="H25" s="147">
        <f>IF(Bets!AN19="Y",Bets!K19,IF(D25="",Bets!K19,D25))</f>
        <v>0.6208297744</v>
      </c>
      <c r="I25" s="2"/>
      <c r="J25" s="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144">
        <f>Bets!A20</f>
        <v>19</v>
      </c>
      <c r="B26" s="145"/>
      <c r="C26" s="145"/>
      <c r="D26" s="145"/>
      <c r="E26" s="146" t="str">
        <f>IF(Bets!AN20="Y","PLACED — frozen","")</f>
        <v/>
      </c>
      <c r="F26" s="147">
        <f>IF(Bets!AN20="Y",Bets!I20,IF(B26="",Bets!I20,B26))</f>
        <v>0.7668655184</v>
      </c>
      <c r="G26" s="147">
        <f>IF(Bets!AN20="Y",Bets!J20,IF(C26="",Bets!J20,C26))</f>
        <v>0.1639684427</v>
      </c>
      <c r="H26" s="147">
        <f>IF(Bets!AN20="Y",Bets!K20,IF(D26="",Bets!K20,D26))</f>
        <v>0.06916603895</v>
      </c>
      <c r="I26" s="2"/>
      <c r="J26" s="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144">
        <f>Bets!A21</f>
        <v>20</v>
      </c>
      <c r="B27" s="145"/>
      <c r="C27" s="145"/>
      <c r="D27" s="145"/>
      <c r="E27" s="146" t="str">
        <f>IF(Bets!AN21="Y","PLACED — frozen","")</f>
        <v/>
      </c>
      <c r="F27" s="147">
        <f>IF(Bets!AN21="Y",Bets!I21,IF(B27="",Bets!I21,B27))</f>
        <v>0.4561119192</v>
      </c>
      <c r="G27" s="147">
        <f>IF(Bets!AN21="Y",Bets!J21,IF(C27="",Bets!J21,C27))</f>
        <v>0.302881806</v>
      </c>
      <c r="H27" s="147">
        <f>IF(Bets!AN21="Y",Bets!K21,IF(D27="",Bets!K21,D27))</f>
        <v>0.2410062748</v>
      </c>
      <c r="I27" s="2"/>
      <c r="J27" s="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144">
        <f>Bets!A22</f>
        <v>21</v>
      </c>
      <c r="B28" s="145"/>
      <c r="C28" s="145"/>
      <c r="D28" s="145"/>
      <c r="E28" s="146" t="str">
        <f>IF(Bets!AN22="Y","PLACED — frozen","")</f>
        <v/>
      </c>
      <c r="F28" s="147">
        <f>IF(Bets!AN22="Y",Bets!I22,IF(B28="",Bets!I22,B28))</f>
        <v>0.6168094646</v>
      </c>
      <c r="G28" s="147">
        <f>IF(Bets!AN22="Y",Bets!J22,IF(C28="",Bets!J22,C28))</f>
        <v>0.248271312</v>
      </c>
      <c r="H28" s="147">
        <f>IF(Bets!AN22="Y",Bets!K22,IF(D28="",Bets!K22,D28))</f>
        <v>0.1349192234</v>
      </c>
      <c r="I28" s="2"/>
      <c r="J28" s="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144">
        <f>Bets!A23</f>
        <v>22</v>
      </c>
      <c r="B29" s="145"/>
      <c r="C29" s="145"/>
      <c r="D29" s="145"/>
      <c r="E29" s="146" t="str">
        <f>IF(Bets!AN23="Y","PLACED — frozen","")</f>
        <v/>
      </c>
      <c r="F29" s="147">
        <f>IF(Bets!AN23="Y",Bets!I23,IF(B29="",Bets!I23,B29))</f>
        <v>0.4391313012</v>
      </c>
      <c r="G29" s="147">
        <f>IF(Bets!AN23="Y",Bets!J23,IF(C29="",Bets!J23,C29))</f>
        <v>0.2956172175</v>
      </c>
      <c r="H29" s="147">
        <f>IF(Bets!AN23="Y",Bets!K23,IF(D29="",Bets!K23,D29))</f>
        <v>0.2652514813</v>
      </c>
      <c r="I29" s="2"/>
      <c r="J29" s="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144">
        <f>Bets!A24</f>
        <v>23</v>
      </c>
      <c r="B30" s="145"/>
      <c r="C30" s="145"/>
      <c r="D30" s="145"/>
      <c r="E30" s="146" t="str">
        <f>IF(Bets!AN24="Y","PLACED — frozen","")</f>
        <v/>
      </c>
      <c r="F30" s="147">
        <f>IF(Bets!AN24="Y",Bets!I24,IF(B30="",Bets!I24,B30))</f>
        <v>0.270729</v>
      </c>
      <c r="G30" s="147">
        <f>IF(Bets!AN24="Y",Bets!J24,IF(C30="",Bets!J24,C30))</f>
        <v>0.2844140047</v>
      </c>
      <c r="H30" s="147">
        <f>IF(Bets!AN24="Y",Bets!K24,IF(D30="",Bets!K24,D30))</f>
        <v>0.4448569953</v>
      </c>
      <c r="I30" s="2"/>
      <c r="J30" s="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144">
        <f>Bets!A25</f>
        <v>24</v>
      </c>
      <c r="B31" s="145"/>
      <c r="C31" s="145"/>
      <c r="D31" s="145"/>
      <c r="E31" s="146" t="str">
        <f>IF(Bets!AN25="Y","PLACED — frozen","")</f>
        <v/>
      </c>
      <c r="F31" s="147">
        <f>IF(Bets!AN25="Y",Bets!I25,IF(B31="",Bets!I25,B31))</f>
        <v>0.1331769729</v>
      </c>
      <c r="G31" s="147">
        <f>IF(Bets!AN25="Y",Bets!J25,IF(C31="",Bets!J25,C31))</f>
        <v>0.237808521</v>
      </c>
      <c r="H31" s="147">
        <f>IF(Bets!AN25="Y",Bets!K25,IF(D31="",Bets!K25,D31))</f>
        <v>0.6290145061</v>
      </c>
      <c r="I31" s="2"/>
      <c r="J31" s="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144">
        <f>Bets!A26</f>
        <v>25</v>
      </c>
      <c r="B32" s="145"/>
      <c r="C32" s="145"/>
      <c r="D32" s="145"/>
      <c r="E32" s="146" t="str">
        <f>IF(Bets!AN26="Y","PLACED — frozen","")</f>
        <v/>
      </c>
      <c r="F32" s="147">
        <f>IF(Bets!AN26="Y",Bets!I26,IF(B32="",Bets!I26,B32))</f>
        <v>0.4951251818</v>
      </c>
      <c r="G32" s="147">
        <f>IF(Bets!AN26="Y",Bets!J26,IF(C32="",Bets!J26,C32))</f>
        <v>0.3022736783</v>
      </c>
      <c r="H32" s="147">
        <f>IF(Bets!AN26="Y",Bets!K26,IF(D32="",Bets!K26,D32))</f>
        <v>0.20260114</v>
      </c>
      <c r="I32" s="2"/>
      <c r="J32" s="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144">
        <f>Bets!A27</f>
        <v>26</v>
      </c>
      <c r="B33" s="145"/>
      <c r="C33" s="145"/>
      <c r="D33" s="145"/>
      <c r="E33" s="146" t="str">
        <f>IF(Bets!AN27="Y","PLACED — frozen","")</f>
        <v/>
      </c>
      <c r="F33" s="147">
        <f>IF(Bets!AN27="Y",Bets!I27,IF(B33="",Bets!I27,B33))</f>
        <v>0.6767992975</v>
      </c>
      <c r="G33" s="147">
        <f>IF(Bets!AN27="Y",Bets!J27,IF(C33="",Bets!J27,C33))</f>
        <v>0.2180442789</v>
      </c>
      <c r="H33" s="147">
        <f>IF(Bets!AN27="Y",Bets!K27,IF(D33="",Bets!K27,D33))</f>
        <v>0.1051564236</v>
      </c>
      <c r="I33" s="2"/>
      <c r="J33" s="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144">
        <f>Bets!A28</f>
        <v>27</v>
      </c>
      <c r="B34" s="145"/>
      <c r="C34" s="145"/>
      <c r="D34" s="145"/>
      <c r="E34" s="146" t="str">
        <f>IF(Bets!AN28="Y","PLACED — frozen","")</f>
        <v/>
      </c>
      <c r="F34" s="147">
        <f>IF(Bets!AN28="Y",Bets!I28,IF(B34="",Bets!I28,B34))</f>
        <v>0.7638768718</v>
      </c>
      <c r="G34" s="147">
        <f>IF(Bets!AN28="Y",Bets!J28,IF(C34="",Bets!J28,C34))</f>
        <v>0.1860442191</v>
      </c>
      <c r="H34" s="147">
        <f>IF(Bets!AN28="Y",Bets!K28,IF(D34="",Bets!K28,D34))</f>
        <v>0.05007890915</v>
      </c>
      <c r="I34" s="2"/>
      <c r="J34" s="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144">
        <f>Bets!A29</f>
        <v>28</v>
      </c>
      <c r="B35" s="145"/>
      <c r="C35" s="145"/>
      <c r="D35" s="145"/>
      <c r="E35" s="146" t="str">
        <f>IF(Bets!AN29="Y","PLACED — frozen","")</f>
        <v/>
      </c>
      <c r="F35" s="147">
        <f>IF(Bets!AN29="Y",Bets!I29,IF(B35="",Bets!I29,B35))</f>
        <v>0.5898171798</v>
      </c>
      <c r="G35" s="147">
        <f>IF(Bets!AN29="Y",Bets!J29,IF(C35="",Bets!J29,C35))</f>
        <v>0.2624370418</v>
      </c>
      <c r="H35" s="147">
        <f>IF(Bets!AN29="Y",Bets!K29,IF(D35="",Bets!K29,D35))</f>
        <v>0.1477457784</v>
      </c>
      <c r="I35" s="2"/>
      <c r="J35" s="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144">
        <f>Bets!A30</f>
        <v>29</v>
      </c>
      <c r="B36" s="145"/>
      <c r="C36" s="145"/>
      <c r="D36" s="145"/>
      <c r="E36" s="146" t="str">
        <f>IF(Bets!AN30="Y","PLACED — frozen","")</f>
        <v/>
      </c>
      <c r="F36" s="147">
        <f>IF(Bets!AN30="Y",Bets!I30,IF(B36="",Bets!I30,B36))</f>
        <v>0.4768560716</v>
      </c>
      <c r="G36" s="147">
        <f>IF(Bets!AN30="Y",Bets!J30,IF(C36="",Bets!J30,C36))</f>
        <v>0.2823127684</v>
      </c>
      <c r="H36" s="147">
        <f>IF(Bets!AN30="Y",Bets!K30,IF(D36="",Bets!K30,D36))</f>
        <v>0.24083116</v>
      </c>
      <c r="I36" s="2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144">
        <f>Bets!A31</f>
        <v>30</v>
      </c>
      <c r="B37" s="145"/>
      <c r="C37" s="145"/>
      <c r="D37" s="145"/>
      <c r="E37" s="146" t="str">
        <f>IF(Bets!AN31="Y","PLACED — frozen","")</f>
        <v/>
      </c>
      <c r="F37" s="147">
        <f>IF(Bets!AN31="Y",Bets!I31,IF(B37="",Bets!I31,B37))</f>
        <v>0.1933546582</v>
      </c>
      <c r="G37" s="147">
        <f>IF(Bets!AN31="Y",Bets!J31,IF(C37="",Bets!J31,C37))</f>
        <v>0.2808656893</v>
      </c>
      <c r="H37" s="147">
        <f>IF(Bets!AN31="Y",Bets!K31,IF(D37="",Bets!K31,D37))</f>
        <v>0.5257796525</v>
      </c>
      <c r="I37" s="2"/>
      <c r="J37" s="1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144">
        <f>Bets!A32</f>
        <v>31</v>
      </c>
      <c r="B38" s="145"/>
      <c r="C38" s="145"/>
      <c r="D38" s="145"/>
      <c r="E38" s="146" t="str">
        <f>IF(Bets!AN32="Y","PLACED — frozen","")</f>
        <v/>
      </c>
      <c r="F38" s="147">
        <f>IF(Bets!AN32="Y",Bets!I32,IF(B38="",Bets!I32,B38))</f>
        <v>0.7448405958</v>
      </c>
      <c r="G38" s="147">
        <f>IF(Bets!AN32="Y",Bets!J32,IF(C38="",Bets!J32,C38))</f>
        <v>0.1755223921</v>
      </c>
      <c r="H38" s="147">
        <f>IF(Bets!AN32="Y",Bets!K32,IF(D38="",Bets!K32,D38))</f>
        <v>0.07963701214</v>
      </c>
      <c r="I38" s="2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144">
        <f>Bets!A33</f>
        <v>32</v>
      </c>
      <c r="B39" s="145"/>
      <c r="C39" s="145"/>
      <c r="D39" s="145"/>
      <c r="E39" s="146" t="str">
        <f>IF(Bets!AN33="Y","PLACED — frozen","")</f>
        <v/>
      </c>
      <c r="F39" s="147">
        <f>IF(Bets!AN33="Y",Bets!I33,IF(B39="",Bets!I33,B39))</f>
        <v>0.4498156775</v>
      </c>
      <c r="G39" s="147">
        <f>IF(Bets!AN33="Y",Bets!J33,IF(C39="",Bets!J33,C39))</f>
        <v>0.2919806822</v>
      </c>
      <c r="H39" s="147">
        <f>IF(Bets!AN33="Y",Bets!K33,IF(D39="",Bets!K33,D39))</f>
        <v>0.2582036403</v>
      </c>
      <c r="I39" s="2"/>
      <c r="J39" s="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144">
        <f>Bets!A34</f>
        <v>33</v>
      </c>
      <c r="B40" s="145"/>
      <c r="C40" s="145"/>
      <c r="D40" s="145"/>
      <c r="E40" s="146" t="str">
        <f>IF(Bets!AN34="Y","PLACED — frozen","")</f>
        <v/>
      </c>
      <c r="F40" s="147">
        <f>IF(Bets!AN34="Y",Bets!I34,IF(B40="",Bets!I34,B40))</f>
        <v>0.6838727871</v>
      </c>
      <c r="G40" s="147">
        <f>IF(Bets!AN34="Y",Bets!J34,IF(C40="",Bets!J34,C40))</f>
        <v>0.1969630026</v>
      </c>
      <c r="H40" s="147">
        <f>IF(Bets!AN34="Y",Bets!K34,IF(D40="",Bets!K34,D40))</f>
        <v>0.1191642103</v>
      </c>
      <c r="I40" s="2"/>
      <c r="J40" s="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144">
        <f>Bets!A35</f>
        <v>34</v>
      </c>
      <c r="B41" s="145"/>
      <c r="C41" s="145"/>
      <c r="D41" s="145"/>
      <c r="E41" s="146" t="str">
        <f>IF(Bets!AN35="Y","PLACED — frozen","")</f>
        <v/>
      </c>
      <c r="F41" s="147">
        <f>IF(Bets!AN35="Y",Bets!I35,IF(B41="",Bets!I35,B41))</f>
        <v>0.5643228782</v>
      </c>
      <c r="G41" s="147">
        <f>IF(Bets!AN35="Y",Bets!J35,IF(C41="",Bets!J35,C41))</f>
        <v>0.2683471519</v>
      </c>
      <c r="H41" s="147">
        <f>IF(Bets!AN35="Y",Bets!K35,IF(D41="",Bets!K35,D41))</f>
        <v>0.1673299698</v>
      </c>
      <c r="I41" s="2"/>
      <c r="J41" s="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144">
        <f>Bets!A36</f>
        <v>35</v>
      </c>
      <c r="B42" s="145"/>
      <c r="C42" s="145"/>
      <c r="D42" s="145"/>
      <c r="E42" s="146" t="str">
        <f>IF(Bets!AN36="Y","PLACED — frozen","")</f>
        <v/>
      </c>
      <c r="F42" s="147">
        <f>IF(Bets!AN36="Y",Bets!I36,IF(B42="",Bets!I36,B42))</f>
        <v>0.7337038406</v>
      </c>
      <c r="G42" s="147">
        <f>IF(Bets!AN36="Y",Bets!J36,IF(C42="",Bets!J36,C42))</f>
        <v>0.1865380644</v>
      </c>
      <c r="H42" s="147">
        <f>IF(Bets!AN36="Y",Bets!K36,IF(D42="",Bets!K36,D42))</f>
        <v>0.07975809504</v>
      </c>
      <c r="I42" s="2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144">
        <f>Bets!A37</f>
        <v>36</v>
      </c>
      <c r="B43" s="145"/>
      <c r="C43" s="145"/>
      <c r="D43" s="145"/>
      <c r="E43" s="146" t="str">
        <f>IF(Bets!AN37="Y","PLACED — frozen","")</f>
        <v/>
      </c>
      <c r="F43" s="147">
        <f>IF(Bets!AN37="Y",Bets!I37,IF(B43="",Bets!I37,B43))</f>
        <v>0.1539247587</v>
      </c>
      <c r="G43" s="147">
        <f>IF(Bets!AN37="Y",Bets!J37,IF(C43="",Bets!J37,C43))</f>
        <v>0.261108761</v>
      </c>
      <c r="H43" s="147">
        <f>IF(Bets!AN37="Y",Bets!K37,IF(D43="",Bets!K37,D43))</f>
        <v>0.5849664803</v>
      </c>
      <c r="I43" s="2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144">
        <f>Bets!A38</f>
        <v>37</v>
      </c>
      <c r="B44" s="145"/>
      <c r="C44" s="145"/>
      <c r="D44" s="145"/>
      <c r="E44" s="146" t="str">
        <f>IF(Bets!AN38="Y","PLACED — frozen","")</f>
        <v/>
      </c>
      <c r="F44" s="147">
        <f>IF(Bets!AN38="Y",Bets!I38,IF(B44="",Bets!I38,B44))</f>
        <v>0.8431885708</v>
      </c>
      <c r="G44" s="147">
        <f>IF(Bets!AN38="Y",Bets!J38,IF(C44="",Bets!J38,C44))</f>
        <v>0.1123189385</v>
      </c>
      <c r="H44" s="147">
        <f>IF(Bets!AN38="Y",Bets!K38,IF(D44="",Bets!K38,D44))</f>
        <v>0.04449249066</v>
      </c>
      <c r="I44" s="2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144">
        <f>Bets!A39</f>
        <v>38</v>
      </c>
      <c r="B45" s="145"/>
      <c r="C45" s="145"/>
      <c r="D45" s="145"/>
      <c r="E45" s="146" t="str">
        <f>IF(Bets!AN39="Y","PLACED — frozen","")</f>
        <v/>
      </c>
      <c r="F45" s="147">
        <f>IF(Bets!AN39="Y",Bets!I39,IF(B45="",Bets!I39,B45))</f>
        <v>0.4475119465</v>
      </c>
      <c r="G45" s="147">
        <f>IF(Bets!AN39="Y",Bets!J39,IF(C45="",Bets!J39,C45))</f>
        <v>0.2856365734</v>
      </c>
      <c r="H45" s="147">
        <f>IF(Bets!AN39="Y",Bets!K39,IF(D45="",Bets!K39,D45))</f>
        <v>0.2668514801</v>
      </c>
      <c r="I45" s="2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144">
        <f>Bets!A40</f>
        <v>39</v>
      </c>
      <c r="B46" s="145"/>
      <c r="C46" s="145"/>
      <c r="D46" s="145"/>
      <c r="E46" s="146" t="str">
        <f>IF(Bets!AN40="Y","PLACED — frozen","")</f>
        <v/>
      </c>
      <c r="F46" s="147">
        <f>IF(Bets!AN40="Y",Bets!I40,IF(B46="",Bets!I40,B46))</f>
        <v>0.6007009166</v>
      </c>
      <c r="G46" s="147">
        <f>IF(Bets!AN40="Y",Bets!J40,IF(C46="",Bets!J40,C46))</f>
        <v>0.2571917473</v>
      </c>
      <c r="H46" s="147">
        <f>IF(Bets!AN40="Y",Bets!K40,IF(D46="",Bets!K40,D46))</f>
        <v>0.1421073362</v>
      </c>
      <c r="I46" s="2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144">
        <f>Bets!A41</f>
        <v>40</v>
      </c>
      <c r="B47" s="145"/>
      <c r="C47" s="145"/>
      <c r="D47" s="145"/>
      <c r="E47" s="146" t="str">
        <f>IF(Bets!AN41="Y","PLACED — frozen","")</f>
        <v/>
      </c>
      <c r="F47" s="147">
        <f>IF(Bets!AN41="Y",Bets!I41,IF(B47="",Bets!I41,B47))</f>
        <v>0.2727234287</v>
      </c>
      <c r="G47" s="147">
        <f>IF(Bets!AN41="Y",Bets!J41,IF(C47="",Bets!J41,C47))</f>
        <v>0.2930152283</v>
      </c>
      <c r="H47" s="147">
        <f>IF(Bets!AN41="Y",Bets!K41,IF(D47="",Bets!K41,D47))</f>
        <v>0.4342613431</v>
      </c>
      <c r="I47" s="2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144">
        <f>Bets!A42</f>
        <v>41</v>
      </c>
      <c r="B48" s="145"/>
      <c r="C48" s="145"/>
      <c r="D48" s="145"/>
      <c r="E48" s="146" t="str">
        <f>IF(Bets!AN42="Y","PLACED — frozen","")</f>
        <v/>
      </c>
      <c r="F48" s="147">
        <f>IF(Bets!AN42="Y",Bets!I42,IF(B48="",Bets!I42,B48))</f>
        <v>0.7481621809</v>
      </c>
      <c r="G48" s="147">
        <f>IF(Bets!AN42="Y",Bets!J42,IF(C48="",Bets!J42,C48))</f>
        <v>0.1776836905</v>
      </c>
      <c r="H48" s="147">
        <f>IF(Bets!AN42="Y",Bets!K42,IF(D48="",Bets!K42,D48))</f>
        <v>0.07415412866</v>
      </c>
      <c r="I48" s="2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144">
        <f>Bets!A43</f>
        <v>42</v>
      </c>
      <c r="B49" s="145"/>
      <c r="C49" s="145"/>
      <c r="D49" s="145"/>
      <c r="E49" s="146" t="str">
        <f>IF(Bets!AN43="Y","PLACED — frozen","")</f>
        <v/>
      </c>
      <c r="F49" s="147">
        <f>IF(Bets!AN43="Y",Bets!I43,IF(B49="",Bets!I43,B49))</f>
        <v>0.738893507</v>
      </c>
      <c r="G49" s="147">
        <f>IF(Bets!AN43="Y",Bets!J43,IF(C49="",Bets!J43,C49))</f>
        <v>0.1718089338</v>
      </c>
      <c r="H49" s="147">
        <f>IF(Bets!AN43="Y",Bets!K43,IF(D49="",Bets!K43,D49))</f>
        <v>0.0892975592</v>
      </c>
      <c r="I49" s="2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144">
        <f>Bets!A44</f>
        <v>43</v>
      </c>
      <c r="B50" s="145"/>
      <c r="C50" s="145"/>
      <c r="D50" s="145"/>
      <c r="E50" s="146" t="str">
        <f>IF(Bets!AN44="Y","PLACED — frozen","")</f>
        <v/>
      </c>
      <c r="F50" s="147">
        <f>IF(Bets!AN44="Y",Bets!I44,IF(B50="",Bets!I44,B50))</f>
        <v>0.4954115332</v>
      </c>
      <c r="G50" s="147">
        <f>IF(Bets!AN44="Y",Bets!J44,IF(C50="",Bets!J44,C50))</f>
        <v>0.2741229643</v>
      </c>
      <c r="H50" s="147">
        <f>IF(Bets!AN44="Y",Bets!K44,IF(D50="",Bets!K44,D50))</f>
        <v>0.2304655025</v>
      </c>
      <c r="I50" s="2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144">
        <f>Bets!A45</f>
        <v>44</v>
      </c>
      <c r="B51" s="145"/>
      <c r="C51" s="145"/>
      <c r="D51" s="145"/>
      <c r="E51" s="146" t="str">
        <f>IF(Bets!AN45="Y","PLACED — frozen","")</f>
        <v/>
      </c>
      <c r="F51" s="147">
        <f>IF(Bets!AN45="Y",Bets!I45,IF(B51="",Bets!I45,B51))</f>
        <v>0.2719501657</v>
      </c>
      <c r="G51" s="147">
        <f>IF(Bets!AN45="Y",Bets!J45,IF(C51="",Bets!J45,C51))</f>
        <v>0.2802704189</v>
      </c>
      <c r="H51" s="147">
        <f>IF(Bets!AN45="Y",Bets!K45,IF(D51="",Bets!K45,D51))</f>
        <v>0.4477794154</v>
      </c>
      <c r="I51" s="2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144">
        <f>Bets!A46</f>
        <v>45</v>
      </c>
      <c r="B52" s="145"/>
      <c r="C52" s="145"/>
      <c r="D52" s="145"/>
      <c r="E52" s="146" t="str">
        <f>IF(Bets!AN46="Y","PLACED — frozen","")</f>
        <v/>
      </c>
      <c r="F52" s="147">
        <f>IF(Bets!AN46="Y",Bets!I46,IF(B52="",Bets!I46,B52))</f>
        <v>0.5894516327</v>
      </c>
      <c r="G52" s="147">
        <f>IF(Bets!AN46="Y",Bets!J46,IF(C52="",Bets!J46,C52))</f>
        <v>0.2509920914</v>
      </c>
      <c r="H52" s="147">
        <f>IF(Bets!AN46="Y",Bets!K46,IF(D52="",Bets!K46,D52))</f>
        <v>0.1595562759</v>
      </c>
      <c r="I52" s="2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144">
        <f>Bets!A47</f>
        <v>46</v>
      </c>
      <c r="B53" s="145"/>
      <c r="C53" s="145"/>
      <c r="D53" s="145"/>
      <c r="E53" s="146" t="str">
        <f>IF(Bets!AN47="Y","PLACED — frozen","")</f>
        <v/>
      </c>
      <c r="F53" s="147">
        <f>IF(Bets!AN47="Y",Bets!I47,IF(B53="",Bets!I47,B53))</f>
        <v>0.7253157414</v>
      </c>
      <c r="G53" s="147">
        <f>IF(Bets!AN47="Y",Bets!J47,IF(C53="",Bets!J47,C53))</f>
        <v>0.1900302052</v>
      </c>
      <c r="H53" s="147">
        <f>IF(Bets!AN47="Y",Bets!K47,IF(D53="",Bets!K47,D53))</f>
        <v>0.08465405334</v>
      </c>
      <c r="I53" s="2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144">
        <f>Bets!A48</f>
        <v>47</v>
      </c>
      <c r="B54" s="145"/>
      <c r="C54" s="145"/>
      <c r="D54" s="145"/>
      <c r="E54" s="146" t="str">
        <f>IF(Bets!AN48="Y","PLACED — frozen","")</f>
        <v/>
      </c>
      <c r="F54" s="147">
        <f>IF(Bets!AN48="Y",Bets!I48,IF(B54="",Bets!I48,B54))</f>
        <v>0.2053852599</v>
      </c>
      <c r="G54" s="147">
        <f>IF(Bets!AN48="Y",Bets!J48,IF(C54="",Bets!J48,C54))</f>
        <v>0.2631854116</v>
      </c>
      <c r="H54" s="147">
        <f>IF(Bets!AN48="Y",Bets!K48,IF(D54="",Bets!K48,D54))</f>
        <v>0.5314293285</v>
      </c>
      <c r="I54" s="2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144">
        <f>Bets!A49</f>
        <v>48</v>
      </c>
      <c r="B55" s="145"/>
      <c r="C55" s="145"/>
      <c r="D55" s="145"/>
      <c r="E55" s="146" t="str">
        <f>IF(Bets!AN49="Y","PLACED — frozen","")</f>
        <v/>
      </c>
      <c r="F55" s="147">
        <f>IF(Bets!AN49="Y",Bets!I49,IF(B55="",Bets!I49,B55))</f>
        <v>0.6621211869</v>
      </c>
      <c r="G55" s="147">
        <f>IF(Bets!AN49="Y",Bets!J49,IF(C55="",Bets!J49,C55))</f>
        <v>0.2285003644</v>
      </c>
      <c r="H55" s="147">
        <f>IF(Bets!AN49="Y",Bets!K49,IF(D55="",Bets!K49,D55))</f>
        <v>0.1093784487</v>
      </c>
      <c r="I55" s="2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144">
        <f>Bets!A50</f>
        <v>49</v>
      </c>
      <c r="B56" s="145"/>
      <c r="C56" s="145"/>
      <c r="D56" s="145"/>
      <c r="E56" s="146" t="str">
        <f>IF(Bets!AN50="Y","PLACED — frozen","")</f>
        <v/>
      </c>
      <c r="F56" s="147">
        <f>IF(Bets!AN50="Y",Bets!I50,IF(B56="",Bets!I50,B56))</f>
        <v>0.4224776044</v>
      </c>
      <c r="G56" s="147">
        <f>IF(Bets!AN50="Y",Bets!J50,IF(C56="",Bets!J50,C56))</f>
        <v>0.2898476121</v>
      </c>
      <c r="H56" s="147">
        <f>IF(Bets!AN50="Y",Bets!K50,IF(D56="",Bets!K50,D56))</f>
        <v>0.2876747834</v>
      </c>
      <c r="I56" s="2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0" customHeight="1">
      <c r="A57" s="144">
        <f>Bets!A51</f>
        <v>50</v>
      </c>
      <c r="B57" s="145"/>
      <c r="C57" s="145"/>
      <c r="D57" s="145"/>
      <c r="E57" s="146" t="str">
        <f>IF(Bets!AN51="Y","PLACED — frozen","")</f>
        <v/>
      </c>
      <c r="F57" s="147">
        <f>IF(Bets!AN51="Y",Bets!I51,IF(B57="",Bets!I51,B57))</f>
        <v>0.4256169792</v>
      </c>
      <c r="G57" s="147">
        <f>IF(Bets!AN51="Y",Bets!J51,IF(C57="",Bets!J51,C57))</f>
        <v>0.300676514</v>
      </c>
      <c r="H57" s="147">
        <f>IF(Bets!AN51="Y",Bets!K51,IF(D57="",Bets!K51,D57))</f>
        <v>0.2737065069</v>
      </c>
      <c r="I57" s="2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0" customHeight="1">
      <c r="A58" s="144">
        <f>Bets!A52</f>
        <v>51</v>
      </c>
      <c r="B58" s="145"/>
      <c r="C58" s="145"/>
      <c r="D58" s="145"/>
      <c r="E58" s="146" t="str">
        <f>IF(Bets!AN52="Y","PLACED — frozen","")</f>
        <v>PLACED — frozen</v>
      </c>
      <c r="F58" s="147">
        <f>IF(Bets!AN52="Y",Bets!I52,IF(B58="",Bets!I52,B58))</f>
        <v>0.2386472455</v>
      </c>
      <c r="G58" s="147">
        <f>IF(Bets!AN52="Y",Bets!J52,IF(C58="",Bets!J52,C58))</f>
        <v>0.2681262022</v>
      </c>
      <c r="H58" s="147">
        <f>IF(Bets!AN52="Y",Bets!K52,IF(D58="",Bets!K52,D58))</f>
        <v>0.4932265523</v>
      </c>
      <c r="I58" s="2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144">
        <f>Bets!A53</f>
        <v>52</v>
      </c>
      <c r="B59" s="145"/>
      <c r="C59" s="145"/>
      <c r="D59" s="145"/>
      <c r="E59" s="146" t="str">
        <f>IF(Bets!AN53="Y","PLACED — frozen","")</f>
        <v/>
      </c>
      <c r="F59" s="147">
        <f>IF(Bets!AN53="Y",Bets!I53,IF(B59="",Bets!I53,B59))</f>
        <v>0.6702135781</v>
      </c>
      <c r="G59" s="147">
        <f>IF(Bets!AN53="Y",Bets!J53,IF(C59="",Bets!J53,C59))</f>
        <v>0.223050657</v>
      </c>
      <c r="H59" s="147">
        <f>IF(Bets!AN53="Y",Bets!K53,IF(D59="",Bets!K53,D59))</f>
        <v>0.1067357649</v>
      </c>
      <c r="I59" s="2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0" customHeight="1">
      <c r="A60" s="144">
        <f>Bets!A54</f>
        <v>53</v>
      </c>
      <c r="B60" s="145"/>
      <c r="C60" s="145"/>
      <c r="D60" s="145"/>
      <c r="E60" s="146" t="str">
        <f>IF(Bets!AN54="Y","PLACED — frozen","")</f>
        <v/>
      </c>
      <c r="F60" s="147">
        <f>IF(Bets!AN54="Y",Bets!I54,IF(B60="",Bets!I54,B60))</f>
        <v>0.1239163427</v>
      </c>
      <c r="G60" s="147">
        <f>IF(Bets!AN54="Y",Bets!J54,IF(C60="",Bets!J54,C60))</f>
        <v>0.2349211502</v>
      </c>
      <c r="H60" s="147">
        <f>IF(Bets!AN54="Y",Bets!K54,IF(D60="",Bets!K54,D60))</f>
        <v>0.6411625072</v>
      </c>
      <c r="I60" s="2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0" customHeight="1">
      <c r="A61" s="144">
        <f>Bets!A55</f>
        <v>54</v>
      </c>
      <c r="B61" s="145"/>
      <c r="C61" s="145"/>
      <c r="D61" s="145"/>
      <c r="E61" s="146" t="str">
        <f>IF(Bets!AN55="Y","PLACED — frozen","")</f>
        <v/>
      </c>
      <c r="F61" s="147">
        <f>IF(Bets!AN55="Y",Bets!I55,IF(B61="",Bets!I55,B61))</f>
        <v>0.1945045331</v>
      </c>
      <c r="G61" s="147">
        <f>IF(Bets!AN55="Y",Bets!J55,IF(C61="",Bets!J55,C61))</f>
        <v>0.3030136608</v>
      </c>
      <c r="H61" s="147">
        <f>IF(Bets!AN55="Y",Bets!K55,IF(D61="",Bets!K55,D61))</f>
        <v>0.5024818061</v>
      </c>
      <c r="I61" s="2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0" customHeight="1">
      <c r="A62" s="144">
        <f>Bets!A56</f>
        <v>55</v>
      </c>
      <c r="B62" s="145"/>
      <c r="C62" s="145"/>
      <c r="D62" s="145"/>
      <c r="E62" s="146" t="str">
        <f>IF(Bets!AN56="Y","PLACED — frozen","")</f>
        <v/>
      </c>
      <c r="F62" s="147">
        <f>IF(Bets!AN56="Y",Bets!I56,IF(B62="",Bets!I56,B62))</f>
        <v>0.3457587388</v>
      </c>
      <c r="G62" s="147">
        <f>IF(Bets!AN56="Y",Bets!J56,IF(C62="",Bets!J56,C62))</f>
        <v>0.297089762</v>
      </c>
      <c r="H62" s="147">
        <f>IF(Bets!AN56="Y",Bets!K56,IF(D62="",Bets!K56,D62))</f>
        <v>0.3571514992</v>
      </c>
      <c r="I62" s="2"/>
      <c r="J62" s="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0" customHeight="1">
      <c r="A63" s="144">
        <f>Bets!A57</f>
        <v>56</v>
      </c>
      <c r="B63" s="145"/>
      <c r="C63" s="145"/>
      <c r="D63" s="145"/>
      <c r="E63" s="146" t="str">
        <f>IF(Bets!AN57="Y","PLACED — frozen","")</f>
        <v/>
      </c>
      <c r="F63" s="147">
        <f>IF(Bets!AN57="Y",Bets!I57,IF(B63="",Bets!I57,B63))</f>
        <v>0.1286191211</v>
      </c>
      <c r="G63" s="147">
        <f>IF(Bets!AN57="Y",Bets!J57,IF(C63="",Bets!J57,C63))</f>
        <v>0.2388337427</v>
      </c>
      <c r="H63" s="147">
        <f>IF(Bets!AN57="Y",Bets!K57,IF(D63="",Bets!K57,D63))</f>
        <v>0.6325471363</v>
      </c>
      <c r="I63" s="2"/>
      <c r="J63" s="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0" customHeight="1">
      <c r="A64" s="144">
        <f>Bets!A58</f>
        <v>57</v>
      </c>
      <c r="B64" s="145"/>
      <c r="C64" s="145"/>
      <c r="D64" s="145"/>
      <c r="E64" s="146" t="str">
        <f>IF(Bets!AN58="Y","PLACED — frozen","")</f>
        <v/>
      </c>
      <c r="F64" s="147">
        <f>IF(Bets!AN58="Y",Bets!I58,IF(B64="",Bets!I58,B64))</f>
        <v>0.5531851057</v>
      </c>
      <c r="G64" s="147">
        <f>IF(Bets!AN58="Y",Bets!J58,IF(C64="",Bets!J58,C64))</f>
        <v>0.2627537869</v>
      </c>
      <c r="H64" s="147">
        <f>IF(Bets!AN58="Y",Bets!K58,IF(D64="",Bets!K58,D64))</f>
        <v>0.1840611073</v>
      </c>
      <c r="I64" s="2"/>
      <c r="J64" s="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0" customHeight="1">
      <c r="A65" s="144">
        <f>Bets!A59</f>
        <v>58</v>
      </c>
      <c r="B65" s="145"/>
      <c r="C65" s="145"/>
      <c r="D65" s="145"/>
      <c r="E65" s="146" t="str">
        <f>IF(Bets!AN59="Y","PLACED — frozen","")</f>
        <v/>
      </c>
      <c r="F65" s="147">
        <f>IF(Bets!AN59="Y",Bets!I59,IF(B65="",Bets!I59,B65))</f>
        <v>0.1023347033</v>
      </c>
      <c r="G65" s="147">
        <f>IF(Bets!AN59="Y",Bets!J59,IF(C65="",Bets!J59,C65))</f>
        <v>0.2126327042</v>
      </c>
      <c r="H65" s="147">
        <f>IF(Bets!AN59="Y",Bets!K59,IF(D65="",Bets!K59,D65))</f>
        <v>0.6850325925</v>
      </c>
      <c r="I65" s="2"/>
      <c r="J65" s="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0" customHeight="1">
      <c r="A66" s="144">
        <f>Bets!A60</f>
        <v>59</v>
      </c>
      <c r="B66" s="145"/>
      <c r="C66" s="145"/>
      <c r="D66" s="145"/>
      <c r="E66" s="146" t="str">
        <f>IF(Bets!AN60="Y","PLACED — frozen","")</f>
        <v/>
      </c>
      <c r="F66" s="147">
        <f>IF(Bets!AN60="Y",Bets!I60,IF(B66="",Bets!I60,B66))</f>
        <v>0.483700478</v>
      </c>
      <c r="G66" s="147">
        <f>IF(Bets!AN60="Y",Bets!J60,IF(C66="",Bets!J60,C66))</f>
        <v>0.2619296325</v>
      </c>
      <c r="H66" s="147">
        <f>IF(Bets!AN60="Y",Bets!K60,IF(D66="",Bets!K60,D66))</f>
        <v>0.2543698895</v>
      </c>
      <c r="I66" s="2"/>
      <c r="J66" s="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0" customHeight="1">
      <c r="A67" s="144">
        <f>Bets!A61</f>
        <v>60</v>
      </c>
      <c r="B67" s="145"/>
      <c r="C67" s="145"/>
      <c r="D67" s="145"/>
      <c r="E67" s="146" t="str">
        <f>IF(Bets!AN61="Y","PLACED — frozen","")</f>
        <v/>
      </c>
      <c r="F67" s="147">
        <f>IF(Bets!AN61="Y",Bets!I61,IF(B67="",Bets!I61,B67))</f>
        <v>0.3612585134</v>
      </c>
      <c r="G67" s="147">
        <f>IF(Bets!AN61="Y",Bets!J61,IF(C67="",Bets!J61,C67))</f>
        <v>0.3113782763</v>
      </c>
      <c r="H67" s="147">
        <f>IF(Bets!AN61="Y",Bets!K61,IF(D67="",Bets!K61,D67))</f>
        <v>0.3273632103</v>
      </c>
      <c r="I67" s="2"/>
      <c r="J67" s="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0" customHeight="1">
      <c r="A68" s="144">
        <f>Bets!A62</f>
        <v>61</v>
      </c>
      <c r="B68" s="145"/>
      <c r="C68" s="145"/>
      <c r="D68" s="145"/>
      <c r="E68" s="146" t="str">
        <f>IF(Bets!AN62="Y","PLACED — frozen","")</f>
        <v/>
      </c>
      <c r="F68" s="147">
        <f>IF(Bets!AN62="Y",Bets!I62,IF(B68="",Bets!I62,B68))</f>
        <v>0.2996623499</v>
      </c>
      <c r="G68" s="147">
        <f>IF(Bets!AN62="Y",Bets!J62,IF(C68="",Bets!J62,C68))</f>
        <v>0.2449035403</v>
      </c>
      <c r="H68" s="147">
        <f>IF(Bets!AN62="Y",Bets!K62,IF(D68="",Bets!K62,D68))</f>
        <v>0.4554341098</v>
      </c>
      <c r="I68" s="2"/>
      <c r="J68" s="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0" customHeight="1">
      <c r="A69" s="144">
        <f>Bets!A63</f>
        <v>62</v>
      </c>
      <c r="B69" s="145"/>
      <c r="C69" s="145"/>
      <c r="D69" s="145"/>
      <c r="E69" s="146" t="str">
        <f>IF(Bets!AN63="Y","PLACED — frozen","")</f>
        <v/>
      </c>
      <c r="F69" s="147">
        <f>IF(Bets!AN63="Y",Bets!I63,IF(B69="",Bets!I63,B69))</f>
        <v>0.5508660796</v>
      </c>
      <c r="G69" s="147">
        <f>IF(Bets!AN63="Y",Bets!J63,IF(C69="",Bets!J63,C69))</f>
        <v>0.2772821977</v>
      </c>
      <c r="H69" s="147">
        <f>IF(Bets!AN63="Y",Bets!K63,IF(D69="",Bets!K63,D69))</f>
        <v>0.1718517227</v>
      </c>
      <c r="I69" s="2"/>
      <c r="J69" s="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0" customHeight="1">
      <c r="A70" s="144">
        <f>Bets!A64</f>
        <v>63</v>
      </c>
      <c r="B70" s="145"/>
      <c r="C70" s="145"/>
      <c r="D70" s="145"/>
      <c r="E70" s="146" t="str">
        <f>IF(Bets!AN64="Y","PLACED — frozen","")</f>
        <v/>
      </c>
      <c r="F70" s="147">
        <f>IF(Bets!AN64="Y",Bets!I64,IF(B70="",Bets!I64,B70))</f>
        <v>0.05640784231</v>
      </c>
      <c r="G70" s="147">
        <f>IF(Bets!AN64="Y",Bets!J64,IF(C70="",Bets!J64,C70))</f>
        <v>0.1923644644</v>
      </c>
      <c r="H70" s="147">
        <f>IF(Bets!AN64="Y",Bets!K64,IF(D70="",Bets!K64,D70))</f>
        <v>0.7512276933</v>
      </c>
      <c r="I70" s="2"/>
      <c r="J70" s="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0" customHeight="1">
      <c r="A71" s="144">
        <f>Bets!A65</f>
        <v>64</v>
      </c>
      <c r="B71" s="145"/>
      <c r="C71" s="145"/>
      <c r="D71" s="145"/>
      <c r="E71" s="146" t="str">
        <f>IF(Bets!AN65="Y","PLACED — frozen","")</f>
        <v/>
      </c>
      <c r="F71" s="147">
        <f>IF(Bets!AN65="Y",Bets!I65,IF(B71="",Bets!I65,B71))</f>
        <v>0.3162284534</v>
      </c>
      <c r="G71" s="147">
        <f>IF(Bets!AN65="Y",Bets!J65,IF(C71="",Bets!J65,C71))</f>
        <v>0.3221996408</v>
      </c>
      <c r="H71" s="147">
        <f>IF(Bets!AN65="Y",Bets!K65,IF(D71="",Bets!K65,D71))</f>
        <v>0.3615719059</v>
      </c>
      <c r="I71" s="2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0" customHeight="1">
      <c r="A72" s="144">
        <f>Bets!A66</f>
        <v>65</v>
      </c>
      <c r="B72" s="145"/>
      <c r="C72" s="145"/>
      <c r="D72" s="145"/>
      <c r="E72" s="146" t="str">
        <f>IF(Bets!AN66="Y","PLACED — frozen","")</f>
        <v/>
      </c>
      <c r="F72" s="147">
        <f>IF(Bets!AN66="Y",Bets!I66,IF(B72="",Bets!I66,B72))</f>
        <v>0.2895640835</v>
      </c>
      <c r="G72" s="147">
        <f>IF(Bets!AN66="Y",Bets!J66,IF(C72="",Bets!J66,C72))</f>
        <v>0.3101989533</v>
      </c>
      <c r="H72" s="147">
        <f>IF(Bets!AN66="Y",Bets!K66,IF(D72="",Bets!K66,D72))</f>
        <v>0.4002369632</v>
      </c>
      <c r="I72" s="2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0" customHeight="1">
      <c r="A73" s="144">
        <f>Bets!A67</f>
        <v>66</v>
      </c>
      <c r="B73" s="145"/>
      <c r="C73" s="145"/>
      <c r="D73" s="145"/>
      <c r="E73" s="146" t="str">
        <f>IF(Bets!AN67="Y","PLACED — frozen","")</f>
        <v/>
      </c>
      <c r="F73" s="147">
        <f>IF(Bets!AN67="Y",Bets!I67,IF(B73="",Bets!I67,B73))</f>
        <v>0.1343885037</v>
      </c>
      <c r="G73" s="147">
        <f>IF(Bets!AN67="Y",Bets!J67,IF(C73="",Bets!J67,C73))</f>
        <v>0.2381272637</v>
      </c>
      <c r="H73" s="147">
        <f>IF(Bets!AN67="Y",Bets!K67,IF(D73="",Bets!K67,D73))</f>
        <v>0.6274842326</v>
      </c>
      <c r="I73" s="2"/>
      <c r="J73" s="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0" customHeight="1">
      <c r="A74" s="144">
        <f>Bets!A68</f>
        <v>67</v>
      </c>
      <c r="B74" s="145"/>
      <c r="C74" s="145"/>
      <c r="D74" s="145"/>
      <c r="E74" s="146" t="str">
        <f>IF(Bets!AN68="Y","PLACED — frozen","")</f>
        <v/>
      </c>
      <c r="F74" s="147">
        <f>IF(Bets!AN68="Y",Bets!I68,IF(B74="",Bets!I68,B74))</f>
        <v>0.09705115049</v>
      </c>
      <c r="G74" s="147">
        <f>IF(Bets!AN68="Y",Bets!J68,IF(C74="",Bets!J68,C74))</f>
        <v>0.1952810144</v>
      </c>
      <c r="H74" s="147">
        <f>IF(Bets!AN68="Y",Bets!K68,IF(D74="",Bets!K68,D74))</f>
        <v>0.7076678351</v>
      </c>
      <c r="I74" s="2"/>
      <c r="J74" s="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0" customHeight="1">
      <c r="A75" s="144">
        <f>Bets!A69</f>
        <v>68</v>
      </c>
      <c r="B75" s="145"/>
      <c r="C75" s="145"/>
      <c r="D75" s="145"/>
      <c r="E75" s="146" t="str">
        <f>IF(Bets!AN69="Y","PLACED — frozen","")</f>
        <v/>
      </c>
      <c r="F75" s="147">
        <f>IF(Bets!AN69="Y",Bets!I69,IF(B75="",Bets!I69,B75))</f>
        <v>0.6504392219</v>
      </c>
      <c r="G75" s="147">
        <f>IF(Bets!AN69="Y",Bets!J69,IF(C75="",Bets!J69,C75))</f>
        <v>0.2315934799</v>
      </c>
      <c r="H75" s="147">
        <f>IF(Bets!AN69="Y",Bets!K69,IF(D75="",Bets!K69,D75))</f>
        <v>0.1179672983</v>
      </c>
      <c r="I75" s="2"/>
      <c r="J75" s="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0" customHeight="1">
      <c r="A76" s="144">
        <f>Bets!A70</f>
        <v>69</v>
      </c>
      <c r="B76" s="145"/>
      <c r="C76" s="145"/>
      <c r="D76" s="145"/>
      <c r="E76" s="146" t="str">
        <f>IF(Bets!AN70="Y","PLACED — frozen","")</f>
        <v>PLACED — frozen</v>
      </c>
      <c r="F76" s="147">
        <f>IF(Bets!AN70="Y",Bets!I70,IF(B76="",Bets!I70,B76))</f>
        <v>0.4257386488</v>
      </c>
      <c r="G76" s="147">
        <f>IF(Bets!AN70="Y",Bets!J70,IF(C76="",Bets!J70,C76))</f>
        <v>0.2873370811</v>
      </c>
      <c r="H76" s="147">
        <f>IF(Bets!AN70="Y",Bets!K70,IF(D76="",Bets!K70,D76))</f>
        <v>0.28692427</v>
      </c>
      <c r="I76" s="2"/>
      <c r="J76" s="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0" customHeight="1">
      <c r="A77" s="144">
        <f>Bets!A71</f>
        <v>70</v>
      </c>
      <c r="B77" s="145"/>
      <c r="C77" s="145"/>
      <c r="D77" s="145"/>
      <c r="E77" s="146" t="str">
        <f>IF(Bets!AN71="Y","PLACED — frozen","")</f>
        <v>PLACED — frozen</v>
      </c>
      <c r="F77" s="147">
        <f>IF(Bets!AN71="Y",Bets!I71,IF(B77="",Bets!I71,B77))</f>
        <v>0.29751128</v>
      </c>
      <c r="G77" s="147">
        <f>IF(Bets!AN71="Y",Bets!J71,IF(C77="",Bets!J71,C77))</f>
        <v>0.324851107</v>
      </c>
      <c r="H77" s="147">
        <f>IF(Bets!AN71="Y",Bets!K71,IF(D77="",Bets!K71,D77))</f>
        <v>0.377637613</v>
      </c>
      <c r="I77" s="2"/>
      <c r="J77" s="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0" customHeight="1">
      <c r="A78" s="144">
        <f>Bets!A72</f>
        <v>71</v>
      </c>
      <c r="B78" s="145"/>
      <c r="C78" s="145"/>
      <c r="D78" s="145"/>
      <c r="E78" s="146" t="str">
        <f>IF(Bets!AN72="Y","PLACED — frozen","")</f>
        <v/>
      </c>
      <c r="F78" s="147">
        <f>IF(Bets!AN72="Y",Bets!I72,IF(B78="",Bets!I72,B78))</f>
        <v>0.2865579533</v>
      </c>
      <c r="G78" s="147">
        <f>IF(Bets!AN72="Y",Bets!J72,IF(C78="",Bets!J72,C78))</f>
        <v>0.3113939683</v>
      </c>
      <c r="H78" s="147">
        <f>IF(Bets!AN72="Y",Bets!K72,IF(D78="",Bets!K72,D78))</f>
        <v>0.4020480784</v>
      </c>
      <c r="I78" s="2"/>
      <c r="J78" s="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0" customHeight="1">
      <c r="A79" s="144">
        <f>Bets!A73</f>
        <v>72</v>
      </c>
      <c r="B79" s="145"/>
      <c r="C79" s="145"/>
      <c r="D79" s="145"/>
      <c r="E79" s="146" t="str">
        <f>IF(Bets!AN73="Y","PLACED — frozen","")</f>
        <v/>
      </c>
      <c r="F79" s="147">
        <f>IF(Bets!AN73="Y",Bets!I73,IF(B79="",Bets!I73,B79))</f>
        <v>0.02677477354</v>
      </c>
      <c r="G79" s="147">
        <f>IF(Bets!AN73="Y",Bets!J73,IF(C79="",Bets!J73,C79))</f>
        <v>0.1047987461</v>
      </c>
      <c r="H79" s="147">
        <f>IF(Bets!AN73="Y",Bets!K73,IF(D79="",Bets!K73,D79))</f>
        <v>0.8684264804</v>
      </c>
      <c r="I79" s="2"/>
      <c r="J79" s="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2"/>
      <c r="J80" s="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2"/>
      <c r="J81" s="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2"/>
      <c r="J82" s="1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2"/>
      <c r="J83" s="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2"/>
      <c r="J84" s="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2"/>
      <c r="J85" s="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2"/>
      <c r="J86" s="1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2"/>
      <c r="J87" s="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2"/>
      <c r="J88" s="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2"/>
      <c r="J89" s="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2"/>
      <c r="J90" s="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2"/>
      <c r="J91" s="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2"/>
      <c r="J92" s="1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2"/>
      <c r="J93" s="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2"/>
      <c r="J94" s="1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2"/>
      <c r="J95" s="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2"/>
      <c r="J96" s="1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2"/>
      <c r="J97" s="1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2"/>
      <c r="J98" s="1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2"/>
      <c r="J99" s="1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mergeCells count="5">
    <mergeCell ref="A1:H1"/>
    <mergeCell ref="A2:H2"/>
    <mergeCell ref="A3:H3"/>
    <mergeCell ref="A4:H4"/>
    <mergeCell ref="A5:H5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6.0"/>
    <col customWidth="1" min="3" max="5" width="11.0"/>
    <col customWidth="1" min="6" max="6" width="14.0"/>
    <col customWidth="1" min="7" max="7" width="11.0"/>
    <col customWidth="1" min="8" max="11" width="9.0"/>
    <col customWidth="1" min="12" max="12" width="12.0"/>
    <col customWidth="1" min="13" max="13" width="10.0"/>
    <col customWidth="1" min="14" max="14" width="9.0"/>
    <col customWidth="1" min="15" max="15" width="16.71"/>
    <col customWidth="1" min="16" max="16" width="12.0"/>
    <col customWidth="1" min="17" max="18" width="11.0"/>
  </cols>
  <sheetData>
    <row r="1">
      <c r="A1" s="148" t="s">
        <v>595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149" t="s">
        <v>596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150" t="s">
        <v>573</v>
      </c>
      <c r="B3" s="150" t="s">
        <v>135</v>
      </c>
      <c r="C3" s="150" t="s">
        <v>597</v>
      </c>
      <c r="D3" s="150" t="s">
        <v>598</v>
      </c>
      <c r="E3" s="150" t="s">
        <v>599</v>
      </c>
      <c r="F3" s="150" t="s">
        <v>600</v>
      </c>
      <c r="G3" s="150" t="s">
        <v>601</v>
      </c>
      <c r="H3" s="150" t="s">
        <v>602</v>
      </c>
      <c r="I3" s="150" t="s">
        <v>603</v>
      </c>
      <c r="J3" s="150" t="s">
        <v>604</v>
      </c>
      <c r="K3" s="150" t="s">
        <v>605</v>
      </c>
      <c r="L3" s="150" t="s">
        <v>606</v>
      </c>
      <c r="M3" s="150" t="s">
        <v>579</v>
      </c>
      <c r="N3" s="150" t="s">
        <v>228</v>
      </c>
      <c r="O3" s="150" t="s">
        <v>43</v>
      </c>
      <c r="P3" s="150" t="s">
        <v>607</v>
      </c>
      <c r="Q3" s="150" t="s">
        <v>608</v>
      </c>
      <c r="R3" s="150" t="s">
        <v>609</v>
      </c>
    </row>
    <row r="4">
      <c r="A4" s="151" t="s">
        <v>68</v>
      </c>
      <c r="B4" s="14" t="s">
        <v>111</v>
      </c>
      <c r="C4" s="12">
        <v>0.31212</v>
      </c>
      <c r="D4" s="12">
        <v>0.30528</v>
      </c>
      <c r="E4" s="12">
        <v>0.31908</v>
      </c>
      <c r="F4" s="12">
        <v>0.013799999999999979</v>
      </c>
      <c r="G4" s="12">
        <v>1.0</v>
      </c>
      <c r="H4" s="12">
        <v>1.0</v>
      </c>
      <c r="I4" s="12">
        <v>1.0</v>
      </c>
      <c r="J4" s="12">
        <v>0.8416399999999999</v>
      </c>
      <c r="K4" s="12">
        <v>0.526</v>
      </c>
      <c r="L4" s="2"/>
      <c r="M4" s="11" t="str">
        <f t="shared" ref="M4:M51" si="1">IF(L4="","",1/L4)</f>
        <v/>
      </c>
      <c r="N4" s="11" t="str">
        <f t="shared" ref="N4:N51" si="2">IF(OR(L4="",C4=""),"",C4*L4-1)</f>
        <v/>
      </c>
      <c r="O4" s="11" t="str">
        <f>IF(Method!$B$55=TRUE(),"🛑 PAUSED",IF(N4="","",IF(N4&lt;Method!$B$7,"PASS","BET")))</f>
        <v/>
      </c>
      <c r="P4" s="12">
        <v>1.0</v>
      </c>
      <c r="Q4" s="12">
        <v>0.0</v>
      </c>
      <c r="R4" s="12">
        <v>0.20964</v>
      </c>
    </row>
    <row r="5">
      <c r="A5" s="14" t="s">
        <v>80</v>
      </c>
      <c r="B5" s="14" t="s">
        <v>311</v>
      </c>
      <c r="C5" s="12">
        <v>0.30204000000000003</v>
      </c>
      <c r="D5" s="12">
        <v>0.29668</v>
      </c>
      <c r="E5" s="12">
        <v>0.30508</v>
      </c>
      <c r="F5" s="12">
        <v>0.008400000000000019</v>
      </c>
      <c r="G5" s="12">
        <v>1.0</v>
      </c>
      <c r="H5" s="12">
        <v>1.0</v>
      </c>
      <c r="I5" s="12">
        <v>1.0</v>
      </c>
      <c r="J5" s="12">
        <v>0.8365600000000001</v>
      </c>
      <c r="K5" s="12">
        <v>0.55776</v>
      </c>
      <c r="L5" s="2"/>
      <c r="M5" s="11" t="str">
        <f t="shared" si="1"/>
        <v/>
      </c>
      <c r="N5" s="11" t="str">
        <f t="shared" si="2"/>
        <v/>
      </c>
      <c r="O5" s="11" t="str">
        <f>IF(Method!$B$55=TRUE(),"🛑 PAUSED",IF(N5="","",IF(N5&lt;Method!$B$7,"PASS","BET")))</f>
        <v/>
      </c>
      <c r="P5" s="12">
        <v>1.0</v>
      </c>
      <c r="Q5" s="12">
        <v>0.0</v>
      </c>
      <c r="R5" s="12">
        <v>0.16596000000000002</v>
      </c>
    </row>
    <row r="6">
      <c r="A6" s="14" t="s">
        <v>76</v>
      </c>
      <c r="B6" s="14" t="s">
        <v>308</v>
      </c>
      <c r="C6" s="12">
        <v>0.15092</v>
      </c>
      <c r="D6" s="12">
        <v>0.14676</v>
      </c>
      <c r="E6" s="12">
        <v>0.15528</v>
      </c>
      <c r="F6" s="12">
        <v>0.00852</v>
      </c>
      <c r="G6" s="12">
        <v>1.0</v>
      </c>
      <c r="H6" s="12">
        <v>1.0</v>
      </c>
      <c r="I6" s="12">
        <v>1.0</v>
      </c>
      <c r="J6" s="12">
        <v>0.572</v>
      </c>
      <c r="K6" s="12">
        <v>0.29588000000000003</v>
      </c>
      <c r="L6" s="2"/>
      <c r="M6" s="11" t="str">
        <f t="shared" si="1"/>
        <v/>
      </c>
      <c r="N6" s="11" t="str">
        <f t="shared" si="2"/>
        <v/>
      </c>
      <c r="O6" s="11" t="str">
        <f>IF(Method!$B$55=TRUE(),"🛑 PAUSED",IF(N6="","",IF(N6&lt;Method!$B$7,"PASS","BET")))</f>
        <v/>
      </c>
      <c r="P6" s="12">
        <v>1.0</v>
      </c>
      <c r="Q6" s="12">
        <v>0.0</v>
      </c>
      <c r="R6" s="12">
        <v>0.15432</v>
      </c>
    </row>
    <row r="7">
      <c r="A7" s="14" t="s">
        <v>86</v>
      </c>
      <c r="B7" s="14" t="s">
        <v>318</v>
      </c>
      <c r="C7" s="12">
        <v>0.123</v>
      </c>
      <c r="D7" s="12">
        <v>0.11760000000000001</v>
      </c>
      <c r="E7" s="12">
        <v>0.12704000000000001</v>
      </c>
      <c r="F7" s="12">
        <v>0.009440000000000004</v>
      </c>
      <c r="G7" s="12">
        <v>1.0</v>
      </c>
      <c r="H7" s="12">
        <v>1.0</v>
      </c>
      <c r="I7" s="12">
        <v>1.0</v>
      </c>
      <c r="J7" s="12">
        <v>0.5939599999999999</v>
      </c>
      <c r="K7" s="12">
        <v>0.26467999999999997</v>
      </c>
      <c r="L7" s="2"/>
      <c r="M7" s="11" t="str">
        <f t="shared" si="1"/>
        <v/>
      </c>
      <c r="N7" s="11" t="str">
        <f t="shared" si="2"/>
        <v/>
      </c>
      <c r="O7" s="11" t="str">
        <f>IF(Method!$B$55=TRUE(),"🛑 PAUSED",IF(N7="","",IF(N7&lt;Method!$B$7,"PASS","BET")))</f>
        <v/>
      </c>
      <c r="P7" s="12">
        <v>1.0</v>
      </c>
      <c r="Q7" s="12">
        <v>0.0</v>
      </c>
      <c r="R7" s="12">
        <v>0.16712</v>
      </c>
    </row>
    <row r="8">
      <c r="A8" s="14" t="s">
        <v>55</v>
      </c>
      <c r="B8" s="14" t="s">
        <v>274</v>
      </c>
      <c r="C8" s="12">
        <v>0.04688</v>
      </c>
      <c r="D8" s="12">
        <v>0.04444</v>
      </c>
      <c r="E8" s="12">
        <v>0.049800000000000004</v>
      </c>
      <c r="F8" s="12">
        <v>0.005360000000000004</v>
      </c>
      <c r="G8" s="12">
        <v>1.0</v>
      </c>
      <c r="H8" s="12">
        <v>1.0</v>
      </c>
      <c r="I8" s="12">
        <v>1.0</v>
      </c>
      <c r="J8" s="12">
        <v>0.42800000000000005</v>
      </c>
      <c r="K8" s="12">
        <v>0.12568000000000001</v>
      </c>
      <c r="L8" s="2"/>
      <c r="M8" s="11" t="str">
        <f t="shared" si="1"/>
        <v/>
      </c>
      <c r="N8" s="11" t="str">
        <f t="shared" si="2"/>
        <v/>
      </c>
      <c r="O8" s="11" t="str">
        <f>IF(Method!$B$55=TRUE(),"🛑 PAUSED",IF(N8="","",IF(N8&lt;Method!$B$7,"PASS","BET")))</f>
        <v/>
      </c>
      <c r="P8" s="12">
        <v>0.0</v>
      </c>
      <c r="Q8" s="12">
        <v>1.0</v>
      </c>
      <c r="R8" s="12">
        <v>0.13472</v>
      </c>
    </row>
    <row r="9">
      <c r="A9" s="14" t="s">
        <v>79</v>
      </c>
      <c r="B9" s="14" t="s">
        <v>308</v>
      </c>
      <c r="C9" s="12">
        <v>0.03516</v>
      </c>
      <c r="D9" s="12">
        <v>0.03156</v>
      </c>
      <c r="E9" s="12">
        <v>0.03872</v>
      </c>
      <c r="F9" s="12">
        <v>0.00716</v>
      </c>
      <c r="G9" s="12">
        <v>1.0</v>
      </c>
      <c r="H9" s="12">
        <v>1.0</v>
      </c>
      <c r="I9" s="12">
        <v>1.0</v>
      </c>
      <c r="J9" s="12">
        <v>0.40604000000000007</v>
      </c>
      <c r="K9" s="12">
        <v>0.11348</v>
      </c>
      <c r="L9" s="2"/>
      <c r="M9" s="11" t="str">
        <f t="shared" si="1"/>
        <v/>
      </c>
      <c r="N9" s="11" t="str">
        <f t="shared" si="2"/>
        <v/>
      </c>
      <c r="O9" s="11" t="str">
        <f>IF(Method!$B$55=TRUE(),"🛑 PAUSED",IF(N9="","",IF(N9&lt;Method!$B$7,"PASS","BET")))</f>
        <v/>
      </c>
      <c r="P9" s="12">
        <v>0.0</v>
      </c>
      <c r="Q9" s="12">
        <v>1.0</v>
      </c>
      <c r="R9" s="12">
        <v>0.10091999999999998</v>
      </c>
    </row>
    <row r="10">
      <c r="A10" s="14" t="s">
        <v>70</v>
      </c>
      <c r="B10" s="14" t="s">
        <v>301</v>
      </c>
      <c r="C10" s="12">
        <v>0.015039999999999998</v>
      </c>
      <c r="D10" s="12">
        <v>0.01368</v>
      </c>
      <c r="E10" s="12">
        <v>0.01656</v>
      </c>
      <c r="F10" s="12">
        <v>0.002879999999999999</v>
      </c>
      <c r="G10" s="12">
        <v>1.0</v>
      </c>
      <c r="H10" s="12">
        <v>1.0</v>
      </c>
      <c r="I10" s="12">
        <v>1.0</v>
      </c>
      <c r="J10" s="12">
        <v>0.15836</v>
      </c>
      <c r="K10" s="12">
        <v>0.05244</v>
      </c>
      <c r="L10" s="2"/>
      <c r="M10" s="11" t="str">
        <f t="shared" si="1"/>
        <v/>
      </c>
      <c r="N10" s="11" t="str">
        <f t="shared" si="2"/>
        <v/>
      </c>
      <c r="O10" s="11" t="str">
        <f>IF(Method!$B$55=TRUE(),"🛑 PAUSED",IF(N10="","",IF(N10&lt;Method!$B$7,"PASS","BET")))</f>
        <v/>
      </c>
      <c r="P10" s="12">
        <v>1.0</v>
      </c>
      <c r="Q10" s="12">
        <v>0.0</v>
      </c>
      <c r="R10" s="12">
        <v>0.0374</v>
      </c>
    </row>
    <row r="11">
      <c r="A11" s="14" t="s">
        <v>53</v>
      </c>
      <c r="B11" s="14" t="s">
        <v>263</v>
      </c>
      <c r="C11" s="12">
        <v>0.01484</v>
      </c>
      <c r="D11" s="12">
        <v>0.0128</v>
      </c>
      <c r="E11" s="12">
        <v>0.0166</v>
      </c>
      <c r="F11" s="12">
        <v>0.0037999999999999996</v>
      </c>
      <c r="G11" s="12">
        <v>1.0</v>
      </c>
      <c r="H11" s="12">
        <v>1.0</v>
      </c>
      <c r="I11" s="12">
        <v>1.0</v>
      </c>
      <c r="J11" s="12">
        <v>0.16344</v>
      </c>
      <c r="K11" s="12">
        <v>0.06408</v>
      </c>
      <c r="L11" s="2"/>
      <c r="M11" s="11" t="str">
        <f t="shared" si="1"/>
        <v/>
      </c>
      <c r="N11" s="11" t="str">
        <f t="shared" si="2"/>
        <v/>
      </c>
      <c r="O11" s="11" t="str">
        <f>IF(Method!$B$55=TRUE(),"🛑 PAUSED",IF(N11="","",IF(N11&lt;Method!$B$7,"PASS","BET")))</f>
        <v/>
      </c>
      <c r="P11" s="12">
        <v>1.0</v>
      </c>
      <c r="Q11" s="12">
        <v>0.0</v>
      </c>
      <c r="R11" s="12">
        <v>0.029919999999999995</v>
      </c>
    </row>
    <row r="12">
      <c r="A12" s="14" t="s">
        <v>81</v>
      </c>
      <c r="B12" s="14" t="s">
        <v>311</v>
      </c>
      <c r="C12" s="12">
        <v>0.0</v>
      </c>
      <c r="D12" s="12">
        <v>0.0</v>
      </c>
      <c r="E12" s="12">
        <v>0.0</v>
      </c>
      <c r="F12" s="12">
        <v>0.0</v>
      </c>
      <c r="G12" s="12">
        <v>1.0</v>
      </c>
      <c r="H12" s="12">
        <v>0.0</v>
      </c>
      <c r="I12" s="12">
        <v>0.0</v>
      </c>
      <c r="J12" s="12">
        <v>0.0</v>
      </c>
      <c r="K12" s="12">
        <v>0.0</v>
      </c>
      <c r="L12" s="2"/>
      <c r="M12" s="11" t="str">
        <f t="shared" si="1"/>
        <v/>
      </c>
      <c r="N12" s="11" t="str">
        <f t="shared" si="2"/>
        <v/>
      </c>
      <c r="O12" s="11" t="str">
        <f>IF(Method!$B$55=TRUE(),"🛑 PAUSED",IF(N12="","",IF(N12&lt;Method!$B$7,"PASS","BET")))</f>
        <v/>
      </c>
      <c r="P12" s="12">
        <v>0.0</v>
      </c>
      <c r="Q12" s="12">
        <v>0.0</v>
      </c>
      <c r="R12" s="12">
        <v>0.0</v>
      </c>
    </row>
    <row r="13">
      <c r="A13" s="14" t="s">
        <v>58</v>
      </c>
      <c r="B13" s="14" t="s">
        <v>113</v>
      </c>
      <c r="C13" s="12">
        <v>0.0</v>
      </c>
      <c r="D13" s="12">
        <v>0.0</v>
      </c>
      <c r="E13" s="12">
        <v>0.0</v>
      </c>
      <c r="F13" s="12">
        <v>0.0</v>
      </c>
      <c r="G13" s="12">
        <v>1.0</v>
      </c>
      <c r="H13" s="12">
        <v>0.0</v>
      </c>
      <c r="I13" s="12">
        <v>0.0</v>
      </c>
      <c r="J13" s="12">
        <v>0.0</v>
      </c>
      <c r="K13" s="12">
        <v>0.0</v>
      </c>
      <c r="L13" s="2"/>
      <c r="M13" s="11" t="str">
        <f t="shared" si="1"/>
        <v/>
      </c>
      <c r="N13" s="11" t="str">
        <f t="shared" si="2"/>
        <v/>
      </c>
      <c r="O13" s="11" t="str">
        <f>IF(Method!$B$55=TRUE(),"🛑 PAUSED",IF(N13="","",IF(N13&lt;Method!$B$7,"PASS","BET")))</f>
        <v/>
      </c>
      <c r="P13" s="12">
        <v>0.0</v>
      </c>
      <c r="Q13" s="12">
        <v>1.0</v>
      </c>
      <c r="R13" s="12">
        <v>0.0</v>
      </c>
    </row>
    <row r="14">
      <c r="A14" s="14" t="s">
        <v>82</v>
      </c>
      <c r="B14" s="14" t="s">
        <v>311</v>
      </c>
      <c r="C14" s="12">
        <v>0.0</v>
      </c>
      <c r="D14" s="12">
        <v>0.0</v>
      </c>
      <c r="E14" s="12">
        <v>0.0</v>
      </c>
      <c r="F14" s="12">
        <v>0.0</v>
      </c>
      <c r="G14" s="12">
        <v>1.0</v>
      </c>
      <c r="H14" s="12">
        <v>0.0</v>
      </c>
      <c r="I14" s="12">
        <v>0.0</v>
      </c>
      <c r="J14" s="12">
        <v>0.0</v>
      </c>
      <c r="K14" s="12">
        <v>0.0</v>
      </c>
      <c r="L14" s="2"/>
      <c r="M14" s="11" t="str">
        <f t="shared" si="1"/>
        <v/>
      </c>
      <c r="N14" s="11" t="str">
        <f t="shared" si="2"/>
        <v/>
      </c>
      <c r="O14" s="11" t="str">
        <f>IF(Method!$B$55=TRUE(),"🛑 PAUSED",IF(N14="","",IF(N14&lt;Method!$B$7,"PASS","BET")))</f>
        <v/>
      </c>
      <c r="P14" s="12">
        <v>0.0</v>
      </c>
      <c r="Q14" s="12">
        <v>1.0</v>
      </c>
      <c r="R14" s="12">
        <v>0.0</v>
      </c>
    </row>
    <row r="15">
      <c r="A15" s="14" t="s">
        <v>49</v>
      </c>
      <c r="B15" s="14" t="s">
        <v>263</v>
      </c>
      <c r="C15" s="12">
        <v>0.0</v>
      </c>
      <c r="D15" s="12">
        <v>0.0</v>
      </c>
      <c r="E15" s="12">
        <v>0.0</v>
      </c>
      <c r="F15" s="12">
        <v>0.0</v>
      </c>
      <c r="G15" s="12">
        <v>1.0</v>
      </c>
      <c r="H15" s="12">
        <v>0.0</v>
      </c>
      <c r="I15" s="12">
        <v>0.0</v>
      </c>
      <c r="J15" s="12">
        <v>0.0</v>
      </c>
      <c r="K15" s="12">
        <v>0.0</v>
      </c>
      <c r="L15" s="2"/>
      <c r="M15" s="11" t="str">
        <f t="shared" si="1"/>
        <v/>
      </c>
      <c r="N15" s="11" t="str">
        <f t="shared" si="2"/>
        <v/>
      </c>
      <c r="O15" s="11" t="str">
        <f>IF(Method!$B$55=TRUE(),"🛑 PAUSED",IF(N15="","",IF(N15&lt;Method!$B$7,"PASS","BET")))</f>
        <v/>
      </c>
      <c r="P15" s="12">
        <v>0.0</v>
      </c>
      <c r="Q15" s="12">
        <v>0.0</v>
      </c>
      <c r="R15" s="12">
        <v>0.0</v>
      </c>
    </row>
    <row r="16">
      <c r="A16" s="14" t="s">
        <v>54</v>
      </c>
      <c r="B16" s="14" t="s">
        <v>274</v>
      </c>
      <c r="C16" s="12">
        <v>0.0</v>
      </c>
      <c r="D16" s="12">
        <v>0.0</v>
      </c>
      <c r="E16" s="12">
        <v>0.0</v>
      </c>
      <c r="F16" s="12">
        <v>0.0</v>
      </c>
      <c r="G16" s="12">
        <v>1.0</v>
      </c>
      <c r="H16" s="12">
        <v>1.0</v>
      </c>
      <c r="I16" s="12">
        <v>0.0</v>
      </c>
      <c r="J16" s="12">
        <v>0.0</v>
      </c>
      <c r="K16" s="12">
        <v>0.0</v>
      </c>
      <c r="L16" s="2"/>
      <c r="M16" s="11" t="str">
        <f t="shared" si="1"/>
        <v/>
      </c>
      <c r="N16" s="11" t="str">
        <f t="shared" si="2"/>
        <v/>
      </c>
      <c r="O16" s="11" t="str">
        <f>IF(Method!$B$55=TRUE(),"🛑 PAUSED",IF(N16="","",IF(N16&lt;Method!$B$7,"PASS","BET")))</f>
        <v/>
      </c>
      <c r="P16" s="12">
        <v>1.0</v>
      </c>
      <c r="Q16" s="12">
        <v>0.0</v>
      </c>
      <c r="R16" s="12">
        <v>0.0</v>
      </c>
    </row>
    <row r="17">
      <c r="A17" s="14" t="s">
        <v>48</v>
      </c>
      <c r="B17" s="14" t="s">
        <v>263</v>
      </c>
      <c r="C17" s="12">
        <v>0.0</v>
      </c>
      <c r="D17" s="12">
        <v>0.0</v>
      </c>
      <c r="E17" s="12">
        <v>0.0</v>
      </c>
      <c r="F17" s="12">
        <v>0.0</v>
      </c>
      <c r="G17" s="12">
        <v>1.0</v>
      </c>
      <c r="H17" s="12">
        <v>1.0</v>
      </c>
      <c r="I17" s="12">
        <v>0.0</v>
      </c>
      <c r="J17" s="12">
        <v>0.0</v>
      </c>
      <c r="K17" s="12">
        <v>0.0</v>
      </c>
      <c r="L17" s="2"/>
      <c r="M17" s="11" t="str">
        <f t="shared" si="1"/>
        <v/>
      </c>
      <c r="N17" s="11" t="str">
        <f t="shared" si="2"/>
        <v/>
      </c>
      <c r="O17" s="11" t="str">
        <f>IF(Method!$B$55=TRUE(),"🛑 PAUSED",IF(N17="","",IF(N17&lt;Method!$B$7,"PASS","BET")))</f>
        <v/>
      </c>
      <c r="P17" s="12">
        <v>0.0</v>
      </c>
      <c r="Q17" s="12">
        <v>1.0</v>
      </c>
      <c r="R17" s="12">
        <v>0.0</v>
      </c>
    </row>
    <row r="18">
      <c r="A18" s="14" t="s">
        <v>69</v>
      </c>
      <c r="B18" s="14" t="s">
        <v>111</v>
      </c>
      <c r="C18" s="12">
        <v>0.0</v>
      </c>
      <c r="D18" s="12">
        <v>0.0</v>
      </c>
      <c r="E18" s="12">
        <v>0.0</v>
      </c>
      <c r="F18" s="12">
        <v>0.0</v>
      </c>
      <c r="G18" s="12">
        <v>1.0</v>
      </c>
      <c r="H18" s="12">
        <v>0.0</v>
      </c>
      <c r="I18" s="12">
        <v>0.0</v>
      </c>
      <c r="J18" s="12">
        <v>0.0</v>
      </c>
      <c r="K18" s="12">
        <v>0.0</v>
      </c>
      <c r="L18" s="2"/>
      <c r="M18" s="11" t="str">
        <f t="shared" si="1"/>
        <v/>
      </c>
      <c r="N18" s="11" t="str">
        <f t="shared" si="2"/>
        <v/>
      </c>
      <c r="O18" s="11" t="str">
        <f>IF(Method!$B$55=TRUE(),"🛑 PAUSED",IF(N18="","",IF(N18&lt;Method!$B$7,"PASS","BET")))</f>
        <v/>
      </c>
      <c r="P18" s="12">
        <v>0.0</v>
      </c>
      <c r="Q18" s="12">
        <v>1.0</v>
      </c>
      <c r="R18" s="12">
        <v>0.0</v>
      </c>
    </row>
    <row r="19">
      <c r="A19" s="14" t="s">
        <v>91</v>
      </c>
      <c r="B19" s="14" t="s">
        <v>316</v>
      </c>
      <c r="C19" s="12">
        <v>0.0</v>
      </c>
      <c r="D19" s="12">
        <v>0.0</v>
      </c>
      <c r="E19" s="12">
        <v>0.0</v>
      </c>
      <c r="F19" s="12">
        <v>0.0</v>
      </c>
      <c r="G19" s="12">
        <v>1.0</v>
      </c>
      <c r="H19" s="12">
        <v>1.0</v>
      </c>
      <c r="I19" s="12">
        <v>0.0</v>
      </c>
      <c r="J19" s="12">
        <v>0.0</v>
      </c>
      <c r="K19" s="12">
        <v>0.0</v>
      </c>
      <c r="L19" s="2"/>
      <c r="M19" s="11" t="str">
        <f t="shared" si="1"/>
        <v/>
      </c>
      <c r="N19" s="11" t="str">
        <f t="shared" si="2"/>
        <v/>
      </c>
      <c r="O19" s="11" t="str">
        <f>IF(Method!$B$55=TRUE(),"🛑 PAUSED",IF(N19="","",IF(N19&lt;Method!$B$7,"PASS","BET")))</f>
        <v/>
      </c>
      <c r="P19" s="12">
        <v>1.0</v>
      </c>
      <c r="Q19" s="12">
        <v>0.0</v>
      </c>
      <c r="R19" s="12">
        <v>0.0</v>
      </c>
    </row>
    <row r="20">
      <c r="A20" s="14" t="s">
        <v>87</v>
      </c>
      <c r="B20" s="14" t="s">
        <v>318</v>
      </c>
      <c r="C20" s="12">
        <v>0.0</v>
      </c>
      <c r="D20" s="12">
        <v>0.0</v>
      </c>
      <c r="E20" s="12">
        <v>0.0</v>
      </c>
      <c r="F20" s="12">
        <v>0.0</v>
      </c>
      <c r="G20" s="12">
        <v>1.0</v>
      </c>
      <c r="H20" s="12">
        <v>0.0</v>
      </c>
      <c r="I20" s="12">
        <v>0.0</v>
      </c>
      <c r="J20" s="12">
        <v>0.0</v>
      </c>
      <c r="K20" s="12">
        <v>0.0</v>
      </c>
      <c r="L20" s="2"/>
      <c r="M20" s="11" t="str">
        <f t="shared" si="1"/>
        <v/>
      </c>
      <c r="N20" s="11" t="str">
        <f t="shared" si="2"/>
        <v/>
      </c>
      <c r="O20" s="11" t="str">
        <f>IF(Method!$B$55=TRUE(),"🛑 PAUSED",IF(N20="","",IF(N20&lt;Method!$B$7,"PASS","BET")))</f>
        <v/>
      </c>
      <c r="P20" s="12">
        <v>0.0</v>
      </c>
      <c r="Q20" s="12">
        <v>1.0</v>
      </c>
      <c r="R20" s="12">
        <v>0.0</v>
      </c>
    </row>
    <row r="21" ht="15.75" customHeight="1">
      <c r="A21" s="14" t="s">
        <v>61</v>
      </c>
      <c r="B21" s="14" t="s">
        <v>284</v>
      </c>
      <c r="C21" s="12">
        <v>0.0</v>
      </c>
      <c r="D21" s="12">
        <v>0.0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2"/>
      <c r="M21" s="11" t="str">
        <f t="shared" si="1"/>
        <v/>
      </c>
      <c r="N21" s="11" t="str">
        <f t="shared" si="2"/>
        <v/>
      </c>
      <c r="O21" s="11" t="str">
        <f>IF(Method!$B$55=TRUE(),"🛑 PAUSED",IF(N21="","",IF(N21&lt;Method!$B$7,"PASS","BET")))</f>
        <v/>
      </c>
      <c r="P21" s="12">
        <v>0.0</v>
      </c>
      <c r="Q21" s="12">
        <v>0.0</v>
      </c>
      <c r="R21" s="12">
        <v>0.0</v>
      </c>
    </row>
    <row r="22" ht="15.75" customHeight="1">
      <c r="A22" s="14" t="s">
        <v>47</v>
      </c>
      <c r="B22" s="14" t="s">
        <v>112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2"/>
      <c r="M22" s="11" t="str">
        <f t="shared" si="1"/>
        <v/>
      </c>
      <c r="N22" s="11" t="str">
        <f t="shared" si="2"/>
        <v/>
      </c>
      <c r="O22" s="11" t="str">
        <f>IF(Method!$B$55=TRUE(),"🛑 PAUSED",IF(N22="","",IF(N22&lt;Method!$B$7,"PASS","BET")))</f>
        <v/>
      </c>
      <c r="P22" s="12">
        <v>0.0</v>
      </c>
      <c r="Q22" s="12">
        <v>0.0</v>
      </c>
      <c r="R22" s="12">
        <v>0.0</v>
      </c>
    </row>
    <row r="23" ht="15.75" customHeight="1">
      <c r="A23" s="14" t="s">
        <v>85</v>
      </c>
      <c r="B23" s="14" t="s">
        <v>316</v>
      </c>
      <c r="C23" s="12">
        <v>0.0</v>
      </c>
      <c r="D23" s="12">
        <v>0.0</v>
      </c>
      <c r="E23" s="12">
        <v>0.0</v>
      </c>
      <c r="F23" s="12">
        <v>0.0</v>
      </c>
      <c r="G23" s="12">
        <v>1.0</v>
      </c>
      <c r="H23" s="12">
        <v>0.0</v>
      </c>
      <c r="I23" s="12">
        <v>0.0</v>
      </c>
      <c r="J23" s="12">
        <v>0.0</v>
      </c>
      <c r="K23" s="12">
        <v>0.0</v>
      </c>
      <c r="L23" s="2"/>
      <c r="M23" s="11" t="str">
        <f t="shared" si="1"/>
        <v/>
      </c>
      <c r="N23" s="11" t="str">
        <f t="shared" si="2"/>
        <v/>
      </c>
      <c r="O23" s="11" t="str">
        <f>IF(Method!$B$55=TRUE(),"🛑 PAUSED",IF(N23="","",IF(N23&lt;Method!$B$7,"PASS","BET")))</f>
        <v/>
      </c>
      <c r="P23" s="12">
        <v>0.0</v>
      </c>
      <c r="Q23" s="12">
        <v>0.0</v>
      </c>
      <c r="R23" s="12">
        <v>0.0</v>
      </c>
    </row>
    <row r="24" ht="15.75" customHeight="1">
      <c r="A24" s="14" t="s">
        <v>65</v>
      </c>
      <c r="B24" s="14" t="s">
        <v>284</v>
      </c>
      <c r="C24" s="12">
        <v>0.0</v>
      </c>
      <c r="D24" s="12">
        <v>0.0</v>
      </c>
      <c r="E24" s="12">
        <v>0.0</v>
      </c>
      <c r="F24" s="12">
        <v>0.0</v>
      </c>
      <c r="G24" s="12">
        <v>1.0</v>
      </c>
      <c r="H24" s="12">
        <v>0.0</v>
      </c>
      <c r="I24" s="12">
        <v>0.0</v>
      </c>
      <c r="J24" s="12">
        <v>0.0</v>
      </c>
      <c r="K24" s="12">
        <v>0.0</v>
      </c>
      <c r="L24" s="2"/>
      <c r="M24" s="11" t="str">
        <f t="shared" si="1"/>
        <v/>
      </c>
      <c r="N24" s="11" t="str">
        <f t="shared" si="2"/>
        <v/>
      </c>
      <c r="O24" s="11" t="str">
        <f>IF(Method!$B$55=TRUE(),"🛑 PAUSED",IF(N24="","",IF(N24&lt;Method!$B$7,"PASS","BET")))</f>
        <v/>
      </c>
      <c r="P24" s="12">
        <v>0.0</v>
      </c>
      <c r="Q24" s="12">
        <v>0.0</v>
      </c>
      <c r="R24" s="12">
        <v>0.0</v>
      </c>
    </row>
    <row r="25" ht="15.75" customHeight="1">
      <c r="A25" s="14" t="s">
        <v>71</v>
      </c>
      <c r="B25" s="14" t="s">
        <v>301</v>
      </c>
      <c r="C25" s="12">
        <v>0.0</v>
      </c>
      <c r="D25" s="12">
        <v>0.0</v>
      </c>
      <c r="E25" s="12">
        <v>0.0</v>
      </c>
      <c r="F25" s="12">
        <v>0.0</v>
      </c>
      <c r="G25" s="12">
        <v>1.0</v>
      </c>
      <c r="H25" s="12">
        <v>1.0</v>
      </c>
      <c r="I25" s="12">
        <v>0.0</v>
      </c>
      <c r="J25" s="12">
        <v>0.0</v>
      </c>
      <c r="K25" s="12">
        <v>0.0</v>
      </c>
      <c r="L25" s="2"/>
      <c r="M25" s="11" t="str">
        <f t="shared" si="1"/>
        <v/>
      </c>
      <c r="N25" s="11" t="str">
        <f t="shared" si="2"/>
        <v/>
      </c>
      <c r="O25" s="11" t="str">
        <f>IF(Method!$B$55=TRUE(),"🛑 PAUSED",IF(N25="","",IF(N25&lt;Method!$B$7,"PASS","BET")))</f>
        <v/>
      </c>
      <c r="P25" s="12">
        <v>0.0</v>
      </c>
      <c r="Q25" s="12">
        <v>1.0</v>
      </c>
      <c r="R25" s="12">
        <v>0.0</v>
      </c>
    </row>
    <row r="26" ht="15.75" customHeight="1">
      <c r="A26" s="14" t="s">
        <v>60</v>
      </c>
      <c r="B26" s="14" t="s">
        <v>284</v>
      </c>
      <c r="C26" s="12">
        <v>0.0</v>
      </c>
      <c r="D26" s="12">
        <v>0.0</v>
      </c>
      <c r="E26" s="12">
        <v>0.0</v>
      </c>
      <c r="F26" s="12">
        <v>0.0</v>
      </c>
      <c r="G26" s="12">
        <v>1.0</v>
      </c>
      <c r="H26" s="12">
        <v>0.0</v>
      </c>
      <c r="I26" s="12">
        <v>0.0</v>
      </c>
      <c r="J26" s="12">
        <v>0.0</v>
      </c>
      <c r="K26" s="12">
        <v>0.0</v>
      </c>
      <c r="L26" s="2"/>
      <c r="M26" s="11" t="str">
        <f t="shared" si="1"/>
        <v/>
      </c>
      <c r="N26" s="11" t="str">
        <f t="shared" si="2"/>
        <v/>
      </c>
      <c r="O26" s="11" t="str">
        <f>IF(Method!$B$55=TRUE(),"🛑 PAUSED",IF(N26="","",IF(N26&lt;Method!$B$7,"PASS","BET")))</f>
        <v/>
      </c>
      <c r="P26" s="12">
        <v>1.0</v>
      </c>
      <c r="Q26" s="12">
        <v>0.0</v>
      </c>
      <c r="R26" s="12">
        <v>0.0</v>
      </c>
    </row>
    <row r="27" ht="15.75" customHeight="1">
      <c r="A27" s="14" t="s">
        <v>88</v>
      </c>
      <c r="B27" s="14" t="s">
        <v>318</v>
      </c>
      <c r="C27" s="12">
        <v>0.0</v>
      </c>
      <c r="D27" s="12">
        <v>0.0</v>
      </c>
      <c r="E27" s="12">
        <v>0.0</v>
      </c>
      <c r="F27" s="12">
        <v>0.0</v>
      </c>
      <c r="G27" s="12">
        <v>1.0</v>
      </c>
      <c r="H27" s="12">
        <v>0.0</v>
      </c>
      <c r="I27" s="12">
        <v>0.0</v>
      </c>
      <c r="J27" s="12">
        <v>0.0</v>
      </c>
      <c r="K27" s="12">
        <v>0.0</v>
      </c>
      <c r="L27" s="2"/>
      <c r="M27" s="11" t="str">
        <f t="shared" si="1"/>
        <v/>
      </c>
      <c r="N27" s="11" t="str">
        <f t="shared" si="2"/>
        <v/>
      </c>
      <c r="O27" s="11" t="str">
        <f>IF(Method!$B$55=TRUE(),"🛑 PAUSED",IF(N27="","",IF(N27&lt;Method!$B$7,"PASS","BET")))</f>
        <v/>
      </c>
      <c r="P27" s="12">
        <v>0.0</v>
      </c>
      <c r="Q27" s="12">
        <v>0.0</v>
      </c>
      <c r="R27" s="12">
        <v>0.0</v>
      </c>
    </row>
    <row r="28" ht="15.75" customHeight="1">
      <c r="A28" s="14" t="s">
        <v>56</v>
      </c>
      <c r="B28" s="14" t="s">
        <v>274</v>
      </c>
      <c r="C28" s="12">
        <v>0.0</v>
      </c>
      <c r="D28" s="12">
        <v>0.0</v>
      </c>
      <c r="E28" s="12">
        <v>0.0</v>
      </c>
      <c r="F28" s="12">
        <v>0.0</v>
      </c>
      <c r="G28" s="12">
        <v>0.0</v>
      </c>
      <c r="H28" s="12">
        <v>0.0</v>
      </c>
      <c r="I28" s="12">
        <v>0.0</v>
      </c>
      <c r="J28" s="12">
        <v>0.0</v>
      </c>
      <c r="K28" s="12">
        <v>0.0</v>
      </c>
      <c r="L28" s="2"/>
      <c r="M28" s="11" t="str">
        <f t="shared" si="1"/>
        <v/>
      </c>
      <c r="N28" s="11" t="str">
        <f t="shared" si="2"/>
        <v/>
      </c>
      <c r="O28" s="11" t="str">
        <f>IF(Method!$B$55=TRUE(),"🛑 PAUSED",IF(N28="","",IF(N28&lt;Method!$B$7,"PASS","BET")))</f>
        <v/>
      </c>
      <c r="P28" s="12">
        <v>0.0</v>
      </c>
      <c r="Q28" s="12">
        <v>0.0</v>
      </c>
      <c r="R28" s="12">
        <v>0.0</v>
      </c>
    </row>
    <row r="29" ht="15.75" customHeight="1">
      <c r="A29" s="14" t="s">
        <v>74</v>
      </c>
      <c r="B29" s="14" t="s">
        <v>301</v>
      </c>
      <c r="C29" s="12">
        <v>0.0</v>
      </c>
      <c r="D29" s="12">
        <v>0.0</v>
      </c>
      <c r="E29" s="12">
        <v>0.0</v>
      </c>
      <c r="F29" s="12">
        <v>0.0</v>
      </c>
      <c r="G29" s="12">
        <v>0.0</v>
      </c>
      <c r="H29" s="12">
        <v>0.0</v>
      </c>
      <c r="I29" s="12">
        <v>0.0</v>
      </c>
      <c r="J29" s="12">
        <v>0.0</v>
      </c>
      <c r="K29" s="12">
        <v>0.0</v>
      </c>
      <c r="L29" s="2"/>
      <c r="M29" s="11" t="str">
        <f t="shared" si="1"/>
        <v/>
      </c>
      <c r="N29" s="11" t="str">
        <f t="shared" si="2"/>
        <v/>
      </c>
      <c r="O29" s="11" t="str">
        <f>IF(Method!$B$55=TRUE(),"🛑 PAUSED",IF(N29="","",IF(N29&lt;Method!$B$7,"PASS","BET")))</f>
        <v/>
      </c>
      <c r="P29" s="12">
        <v>0.0</v>
      </c>
      <c r="Q29" s="12">
        <v>0.0</v>
      </c>
      <c r="R29" s="12">
        <v>0.0</v>
      </c>
    </row>
    <row r="30" ht="15.75" customHeight="1">
      <c r="A30" s="14" t="s">
        <v>78</v>
      </c>
      <c r="B30" s="14" t="s">
        <v>308</v>
      </c>
      <c r="C30" s="12">
        <v>0.0</v>
      </c>
      <c r="D30" s="12">
        <v>0.0</v>
      </c>
      <c r="E30" s="12">
        <v>0.0</v>
      </c>
      <c r="F30" s="12">
        <v>0.0</v>
      </c>
      <c r="G30" s="12">
        <v>0.0</v>
      </c>
      <c r="H30" s="12">
        <v>0.0</v>
      </c>
      <c r="I30" s="12">
        <v>0.0</v>
      </c>
      <c r="J30" s="12">
        <v>0.0</v>
      </c>
      <c r="K30" s="12">
        <v>0.0</v>
      </c>
      <c r="L30" s="2"/>
      <c r="M30" s="11" t="str">
        <f t="shared" si="1"/>
        <v/>
      </c>
      <c r="N30" s="11" t="str">
        <f t="shared" si="2"/>
        <v/>
      </c>
      <c r="O30" s="11" t="str">
        <f>IF(Method!$B$55=TRUE(),"🛑 PAUSED",IF(N30="","",IF(N30&lt;Method!$B$7,"PASS","BET")))</f>
        <v/>
      </c>
      <c r="P30" s="12">
        <v>0.0</v>
      </c>
      <c r="Q30" s="12">
        <v>0.0</v>
      </c>
      <c r="R30" s="12">
        <v>0.0</v>
      </c>
    </row>
    <row r="31" ht="15.75" customHeight="1">
      <c r="A31" s="14" t="s">
        <v>64</v>
      </c>
      <c r="B31" s="14" t="s">
        <v>284</v>
      </c>
      <c r="C31" s="12">
        <v>0.0</v>
      </c>
      <c r="D31" s="12">
        <v>0.0</v>
      </c>
      <c r="E31" s="12">
        <v>0.0</v>
      </c>
      <c r="F31" s="12">
        <v>0.0</v>
      </c>
      <c r="G31" s="12">
        <v>1.0</v>
      </c>
      <c r="H31" s="12">
        <v>0.0</v>
      </c>
      <c r="I31" s="12">
        <v>0.0</v>
      </c>
      <c r="J31" s="12">
        <v>0.0</v>
      </c>
      <c r="K31" s="12">
        <v>0.0</v>
      </c>
      <c r="L31" s="2"/>
      <c r="M31" s="11" t="str">
        <f t="shared" si="1"/>
        <v/>
      </c>
      <c r="N31" s="11" t="str">
        <f t="shared" si="2"/>
        <v/>
      </c>
      <c r="O31" s="11" t="str">
        <f>IF(Method!$B$55=TRUE(),"🛑 PAUSED",IF(N31="","",IF(N31&lt;Method!$B$7,"PASS","BET")))</f>
        <v/>
      </c>
      <c r="P31" s="12">
        <v>0.0</v>
      </c>
      <c r="Q31" s="12">
        <v>1.0</v>
      </c>
      <c r="R31" s="12">
        <v>0.0</v>
      </c>
    </row>
    <row r="32" ht="15.75" customHeight="1">
      <c r="A32" s="14" t="s">
        <v>63</v>
      </c>
      <c r="B32" s="14" t="s">
        <v>288</v>
      </c>
      <c r="C32" s="12">
        <v>0.0</v>
      </c>
      <c r="D32" s="12">
        <v>0.0</v>
      </c>
      <c r="E32" s="12">
        <v>0.0</v>
      </c>
      <c r="F32" s="12">
        <v>0.0</v>
      </c>
      <c r="G32" s="12">
        <v>1.0</v>
      </c>
      <c r="H32" s="12">
        <v>0.0</v>
      </c>
      <c r="I32" s="12">
        <v>0.0</v>
      </c>
      <c r="J32" s="12">
        <v>0.0</v>
      </c>
      <c r="K32" s="12">
        <v>0.0</v>
      </c>
      <c r="L32" s="2"/>
      <c r="M32" s="11" t="str">
        <f t="shared" si="1"/>
        <v/>
      </c>
      <c r="N32" s="11" t="str">
        <f t="shared" si="2"/>
        <v/>
      </c>
      <c r="O32" s="11" t="str">
        <f>IF(Method!$B$55=TRUE(),"🛑 PAUSED",IF(N32="","",IF(N32&lt;Method!$B$7,"PASS","BET")))</f>
        <v/>
      </c>
      <c r="P32" s="12">
        <v>0.0</v>
      </c>
      <c r="Q32" s="12">
        <v>1.0</v>
      </c>
      <c r="R32" s="12">
        <v>0.0</v>
      </c>
    </row>
    <row r="33" ht="15.75" customHeight="1">
      <c r="A33" s="14" t="s">
        <v>83</v>
      </c>
      <c r="B33" s="14" t="s">
        <v>311</v>
      </c>
      <c r="C33" s="12">
        <v>0.0</v>
      </c>
      <c r="D33" s="12">
        <v>0.0</v>
      </c>
      <c r="E33" s="12">
        <v>0.0</v>
      </c>
      <c r="F33" s="12">
        <v>0.0</v>
      </c>
      <c r="G33" s="12">
        <v>0.0</v>
      </c>
      <c r="H33" s="12">
        <v>0.0</v>
      </c>
      <c r="I33" s="12">
        <v>0.0</v>
      </c>
      <c r="J33" s="12">
        <v>0.0</v>
      </c>
      <c r="K33" s="12">
        <v>0.0</v>
      </c>
      <c r="L33" s="2"/>
      <c r="M33" s="11" t="str">
        <f t="shared" si="1"/>
        <v/>
      </c>
      <c r="N33" s="11" t="str">
        <f t="shared" si="2"/>
        <v/>
      </c>
      <c r="O33" s="11" t="str">
        <f>IF(Method!$B$55=TRUE(),"🛑 PAUSED",IF(N33="","",IF(N33&lt;Method!$B$7,"PASS","BET")))</f>
        <v/>
      </c>
      <c r="P33" s="12">
        <v>0.0</v>
      </c>
      <c r="Q33" s="12">
        <v>0.0</v>
      </c>
      <c r="R33" s="12">
        <v>0.0</v>
      </c>
    </row>
    <row r="34" ht="15.75" customHeight="1">
      <c r="A34" s="14" t="s">
        <v>44</v>
      </c>
      <c r="B34" s="14" t="s">
        <v>112</v>
      </c>
      <c r="C34" s="12">
        <v>0.0</v>
      </c>
      <c r="D34" s="12">
        <v>0.0</v>
      </c>
      <c r="E34" s="12">
        <v>0.0</v>
      </c>
      <c r="F34" s="12">
        <v>0.0</v>
      </c>
      <c r="G34" s="12">
        <v>1.0</v>
      </c>
      <c r="H34" s="12">
        <v>1.0</v>
      </c>
      <c r="I34" s="12">
        <v>0.0</v>
      </c>
      <c r="J34" s="12">
        <v>0.0</v>
      </c>
      <c r="K34" s="12">
        <v>0.0</v>
      </c>
      <c r="L34" s="2"/>
      <c r="M34" s="11" t="str">
        <f t="shared" si="1"/>
        <v/>
      </c>
      <c r="N34" s="11" t="str">
        <f t="shared" si="2"/>
        <v/>
      </c>
      <c r="O34" s="11" t="str">
        <f>IF(Method!$B$55=TRUE(),"🛑 PAUSED",IF(N34="","",IF(N34&lt;Method!$B$7,"PASS","BET")))</f>
        <v/>
      </c>
      <c r="P34" s="12">
        <v>1.0</v>
      </c>
      <c r="Q34" s="12">
        <v>0.0</v>
      </c>
      <c r="R34" s="12">
        <v>0.0</v>
      </c>
    </row>
    <row r="35" ht="15.75" customHeight="1">
      <c r="A35" s="14" t="s">
        <v>62</v>
      </c>
      <c r="B35" s="14" t="s">
        <v>288</v>
      </c>
      <c r="C35" s="12">
        <v>0.0</v>
      </c>
      <c r="D35" s="12">
        <v>0.0</v>
      </c>
      <c r="E35" s="12">
        <v>0.0</v>
      </c>
      <c r="F35" s="12">
        <v>0.0</v>
      </c>
      <c r="G35" s="12">
        <v>1.0</v>
      </c>
      <c r="H35" s="12">
        <v>0.0</v>
      </c>
      <c r="I35" s="12">
        <v>0.0</v>
      </c>
      <c r="J35" s="12">
        <v>0.0</v>
      </c>
      <c r="K35" s="12">
        <v>0.0</v>
      </c>
      <c r="L35" s="2"/>
      <c r="M35" s="11" t="str">
        <f t="shared" si="1"/>
        <v/>
      </c>
      <c r="N35" s="11" t="str">
        <f t="shared" si="2"/>
        <v/>
      </c>
      <c r="O35" s="11" t="str">
        <f>IF(Method!$B$55=TRUE(),"🛑 PAUSED",IF(N35="","",IF(N35&lt;Method!$B$7,"PASS","BET")))</f>
        <v/>
      </c>
      <c r="P35" s="12">
        <v>1.0</v>
      </c>
      <c r="Q35" s="12">
        <v>0.0</v>
      </c>
      <c r="R35" s="12">
        <v>0.0</v>
      </c>
    </row>
    <row r="36" ht="15.75" customHeight="1">
      <c r="A36" s="14" t="s">
        <v>75</v>
      </c>
      <c r="B36" s="14" t="s">
        <v>301</v>
      </c>
      <c r="C36" s="12">
        <v>0.0</v>
      </c>
      <c r="D36" s="12">
        <v>0.0</v>
      </c>
      <c r="E36" s="12">
        <v>0.0</v>
      </c>
      <c r="F36" s="12">
        <v>0.0</v>
      </c>
      <c r="G36" s="12">
        <v>0.0</v>
      </c>
      <c r="H36" s="12">
        <v>0.0</v>
      </c>
      <c r="I36" s="12">
        <v>0.0</v>
      </c>
      <c r="J36" s="12">
        <v>0.0</v>
      </c>
      <c r="K36" s="12">
        <v>0.0</v>
      </c>
      <c r="L36" s="2"/>
      <c r="M36" s="11" t="str">
        <f t="shared" si="1"/>
        <v/>
      </c>
      <c r="N36" s="11" t="str">
        <f t="shared" si="2"/>
        <v/>
      </c>
      <c r="O36" s="11" t="str">
        <f>IF(Method!$B$55=TRUE(),"🛑 PAUSED",IF(N36="","",IF(N36&lt;Method!$B$7,"PASS","BET")))</f>
        <v/>
      </c>
      <c r="P36" s="12">
        <v>0.0</v>
      </c>
      <c r="Q36" s="12">
        <v>0.0</v>
      </c>
      <c r="R36" s="12">
        <v>0.0</v>
      </c>
    </row>
    <row r="37" ht="15.75" customHeight="1">
      <c r="A37" s="14" t="s">
        <v>89</v>
      </c>
      <c r="B37" s="14" t="s">
        <v>318</v>
      </c>
      <c r="C37" s="12">
        <v>0.0</v>
      </c>
      <c r="D37" s="12">
        <v>0.0</v>
      </c>
      <c r="E37" s="12">
        <v>0.0</v>
      </c>
      <c r="F37" s="12">
        <v>0.0</v>
      </c>
      <c r="G37" s="12">
        <v>0.0</v>
      </c>
      <c r="H37" s="12">
        <v>0.0</v>
      </c>
      <c r="I37" s="12">
        <v>0.0</v>
      </c>
      <c r="J37" s="12">
        <v>0.0</v>
      </c>
      <c r="K37" s="12">
        <v>0.0</v>
      </c>
      <c r="L37" s="2"/>
      <c r="M37" s="11" t="str">
        <f t="shared" si="1"/>
        <v/>
      </c>
      <c r="N37" s="11" t="str">
        <f t="shared" si="2"/>
        <v/>
      </c>
      <c r="O37" s="11" t="str">
        <f>IF(Method!$B$55=TRUE(),"🛑 PAUSED",IF(N37="","",IF(N37&lt;Method!$B$7,"PASS","BET")))</f>
        <v/>
      </c>
      <c r="P37" s="12">
        <v>0.0</v>
      </c>
      <c r="Q37" s="12">
        <v>0.0</v>
      </c>
      <c r="R37" s="12">
        <v>0.0</v>
      </c>
    </row>
    <row r="38" ht="15.75" customHeight="1">
      <c r="A38" s="14" t="s">
        <v>51</v>
      </c>
      <c r="B38" s="14" t="s">
        <v>113</v>
      </c>
      <c r="C38" s="12">
        <v>0.0</v>
      </c>
      <c r="D38" s="12">
        <v>0.0</v>
      </c>
      <c r="E38" s="12">
        <v>0.0</v>
      </c>
      <c r="F38" s="12">
        <v>0.0</v>
      </c>
      <c r="G38" s="12">
        <v>1.0</v>
      </c>
      <c r="H38" s="12">
        <v>1.0</v>
      </c>
      <c r="I38" s="12">
        <v>0.0</v>
      </c>
      <c r="J38" s="12">
        <v>0.0</v>
      </c>
      <c r="K38" s="12">
        <v>0.0</v>
      </c>
      <c r="L38" s="2"/>
      <c r="M38" s="11" t="str">
        <f t="shared" si="1"/>
        <v/>
      </c>
      <c r="N38" s="11" t="str">
        <f t="shared" si="2"/>
        <v/>
      </c>
      <c r="O38" s="11" t="str">
        <f>IF(Method!$B$55=TRUE(),"🛑 PAUSED",IF(N38="","",IF(N38&lt;Method!$B$7,"PASS","BET")))</f>
        <v/>
      </c>
      <c r="P38" s="12">
        <v>0.0</v>
      </c>
      <c r="Q38" s="12">
        <v>0.0</v>
      </c>
      <c r="R38" s="12">
        <v>0.0</v>
      </c>
    </row>
    <row r="39" ht="15.75" customHeight="1">
      <c r="A39" s="14" t="s">
        <v>84</v>
      </c>
      <c r="B39" s="14" t="s">
        <v>316</v>
      </c>
      <c r="C39" s="12">
        <v>0.0</v>
      </c>
      <c r="D39" s="12">
        <v>0.0</v>
      </c>
      <c r="E39" s="12">
        <v>0.0</v>
      </c>
      <c r="F39" s="12">
        <v>0.0</v>
      </c>
      <c r="G39" s="12">
        <v>1.0</v>
      </c>
      <c r="H39" s="12">
        <v>1.0</v>
      </c>
      <c r="I39" s="12">
        <v>0.0</v>
      </c>
      <c r="J39" s="12">
        <v>0.0</v>
      </c>
      <c r="K39" s="12">
        <v>0.0</v>
      </c>
      <c r="L39" s="2"/>
      <c r="M39" s="11" t="str">
        <f t="shared" si="1"/>
        <v/>
      </c>
      <c r="N39" s="11" t="str">
        <f t="shared" si="2"/>
        <v/>
      </c>
      <c r="O39" s="11" t="str">
        <f>IF(Method!$B$55=TRUE(),"🛑 PAUSED",IF(N39="","",IF(N39&lt;Method!$B$7,"PASS","BET")))</f>
        <v/>
      </c>
      <c r="P39" s="12">
        <v>0.0</v>
      </c>
      <c r="Q39" s="12">
        <v>1.0</v>
      </c>
      <c r="R39" s="12">
        <v>0.0</v>
      </c>
    </row>
    <row r="40" ht="15.75" customHeight="1">
      <c r="A40" s="14" t="s">
        <v>52</v>
      </c>
      <c r="B40" s="14" t="s">
        <v>263</v>
      </c>
      <c r="C40" s="12">
        <v>0.0</v>
      </c>
      <c r="D40" s="12">
        <v>0.0</v>
      </c>
      <c r="E40" s="12">
        <v>0.0</v>
      </c>
      <c r="F40" s="12">
        <v>0.0</v>
      </c>
      <c r="G40" s="12">
        <v>0.0</v>
      </c>
      <c r="H40" s="12">
        <v>0.0</v>
      </c>
      <c r="I40" s="12">
        <v>0.0</v>
      </c>
      <c r="J40" s="12">
        <v>0.0</v>
      </c>
      <c r="K40" s="12">
        <v>0.0</v>
      </c>
      <c r="L40" s="2"/>
      <c r="M40" s="11" t="str">
        <f t="shared" si="1"/>
        <v/>
      </c>
      <c r="N40" s="11" t="str">
        <f t="shared" si="2"/>
        <v/>
      </c>
      <c r="O40" s="11" t="str">
        <f>IF(Method!$B$55=TRUE(),"🛑 PAUSED",IF(N40="","",IF(N40&lt;Method!$B$7,"PASS","BET")))</f>
        <v/>
      </c>
      <c r="P40" s="12">
        <v>0.0</v>
      </c>
      <c r="Q40" s="12">
        <v>0.0</v>
      </c>
      <c r="R40" s="12">
        <v>0.0</v>
      </c>
    </row>
    <row r="41" ht="15.75" customHeight="1">
      <c r="A41" s="14" t="s">
        <v>72</v>
      </c>
      <c r="B41" s="14" t="s">
        <v>111</v>
      </c>
      <c r="C41" s="12">
        <v>0.0</v>
      </c>
      <c r="D41" s="12">
        <v>0.0</v>
      </c>
      <c r="E41" s="12">
        <v>0.0</v>
      </c>
      <c r="F41" s="12">
        <v>0.0</v>
      </c>
      <c r="G41" s="12">
        <v>0.0</v>
      </c>
      <c r="H41" s="12">
        <v>0.0</v>
      </c>
      <c r="I41" s="12">
        <v>0.0</v>
      </c>
      <c r="J41" s="12">
        <v>0.0</v>
      </c>
      <c r="K41" s="12">
        <v>0.0</v>
      </c>
      <c r="L41" s="2"/>
      <c r="M41" s="11" t="str">
        <f t="shared" si="1"/>
        <v/>
      </c>
      <c r="N41" s="11" t="str">
        <f t="shared" si="2"/>
        <v/>
      </c>
      <c r="O41" s="11" t="str">
        <f>IF(Method!$B$55=TRUE(),"🛑 PAUSED",IF(N41="","",IF(N41&lt;Method!$B$7,"PASS","BET")))</f>
        <v/>
      </c>
      <c r="P41" s="12">
        <v>0.0</v>
      </c>
      <c r="Q41" s="12">
        <v>0.0</v>
      </c>
      <c r="R41" s="12">
        <v>0.0</v>
      </c>
    </row>
    <row r="42" ht="15.75" customHeight="1">
      <c r="A42" s="14" t="s">
        <v>57</v>
      </c>
      <c r="B42" s="14" t="s">
        <v>274</v>
      </c>
      <c r="C42" s="12">
        <v>0.0</v>
      </c>
      <c r="D42" s="12">
        <v>0.0</v>
      </c>
      <c r="E42" s="12">
        <v>0.0</v>
      </c>
      <c r="F42" s="12">
        <v>0.0</v>
      </c>
      <c r="G42" s="12">
        <v>0.0</v>
      </c>
      <c r="H42" s="12">
        <v>0.0</v>
      </c>
      <c r="I42" s="12">
        <v>0.0</v>
      </c>
      <c r="J42" s="12">
        <v>0.0</v>
      </c>
      <c r="K42" s="12">
        <v>0.0</v>
      </c>
      <c r="L42" s="2"/>
      <c r="M42" s="11" t="str">
        <f t="shared" si="1"/>
        <v/>
      </c>
      <c r="N42" s="11" t="str">
        <f t="shared" si="2"/>
        <v/>
      </c>
      <c r="O42" s="11" t="str">
        <f>IF(Method!$B$55=TRUE(),"🛑 PAUSED",IF(N42="","",IF(N42&lt;Method!$B$7,"PASS","BET")))</f>
        <v/>
      </c>
      <c r="P42" s="12">
        <v>0.0</v>
      </c>
      <c r="Q42" s="12">
        <v>0.0</v>
      </c>
      <c r="R42" s="12">
        <v>0.0</v>
      </c>
    </row>
    <row r="43" ht="15.75" customHeight="1">
      <c r="A43" s="14" t="s">
        <v>77</v>
      </c>
      <c r="B43" s="14" t="s">
        <v>308</v>
      </c>
      <c r="C43" s="12">
        <v>0.0</v>
      </c>
      <c r="D43" s="12">
        <v>0.0</v>
      </c>
      <c r="E43" s="12">
        <v>0.0</v>
      </c>
      <c r="F43" s="12">
        <v>0.0</v>
      </c>
      <c r="G43" s="12">
        <v>1.0</v>
      </c>
      <c r="H43" s="12">
        <v>0.0</v>
      </c>
      <c r="I43" s="12">
        <v>0.0</v>
      </c>
      <c r="J43" s="12">
        <v>0.0</v>
      </c>
      <c r="K43" s="12">
        <v>0.0</v>
      </c>
      <c r="L43" s="2"/>
      <c r="M43" s="11" t="str">
        <f t="shared" si="1"/>
        <v/>
      </c>
      <c r="N43" s="11" t="str">
        <f t="shared" si="2"/>
        <v/>
      </c>
      <c r="O43" s="11" t="str">
        <f>IF(Method!$B$55=TRUE(),"🛑 PAUSED",IF(N43="","",IF(N43&lt;Method!$B$7,"PASS","BET")))</f>
        <v/>
      </c>
      <c r="P43" s="12">
        <v>0.0</v>
      </c>
      <c r="Q43" s="12">
        <v>0.0</v>
      </c>
      <c r="R43" s="12">
        <v>0.0</v>
      </c>
    </row>
    <row r="44" ht="15.75" customHeight="1">
      <c r="A44" s="14" t="s">
        <v>45</v>
      </c>
      <c r="B44" s="14" t="s">
        <v>112</v>
      </c>
      <c r="C44" s="12">
        <v>0.0</v>
      </c>
      <c r="D44" s="12">
        <v>0.0</v>
      </c>
      <c r="E44" s="12">
        <v>0.0</v>
      </c>
      <c r="F44" s="12">
        <v>0.0</v>
      </c>
      <c r="G44" s="12">
        <v>1.0</v>
      </c>
      <c r="H44" s="12">
        <v>0.0</v>
      </c>
      <c r="I44" s="12">
        <v>0.0</v>
      </c>
      <c r="J44" s="12">
        <v>0.0</v>
      </c>
      <c r="K44" s="12">
        <v>0.0</v>
      </c>
      <c r="L44" s="2"/>
      <c r="M44" s="11" t="str">
        <f t="shared" si="1"/>
        <v/>
      </c>
      <c r="N44" s="11" t="str">
        <f t="shared" si="2"/>
        <v/>
      </c>
      <c r="O44" s="11" t="str">
        <f>IF(Method!$B$55=TRUE(),"🛑 PAUSED",IF(N44="","",IF(N44&lt;Method!$B$7,"PASS","BET")))</f>
        <v/>
      </c>
      <c r="P44" s="12">
        <v>0.0</v>
      </c>
      <c r="Q44" s="12">
        <v>1.0</v>
      </c>
      <c r="R44" s="12">
        <v>0.0</v>
      </c>
    </row>
    <row r="45" ht="15.75" customHeight="1">
      <c r="A45" s="14" t="s">
        <v>46</v>
      </c>
      <c r="B45" s="14" t="s">
        <v>112</v>
      </c>
      <c r="C45" s="12">
        <v>0.0</v>
      </c>
      <c r="D45" s="12">
        <v>0.0</v>
      </c>
      <c r="E45" s="12">
        <v>0.0</v>
      </c>
      <c r="F45" s="12">
        <v>0.0</v>
      </c>
      <c r="G45" s="12">
        <v>0.0</v>
      </c>
      <c r="H45" s="12">
        <v>0.0</v>
      </c>
      <c r="I45" s="12">
        <v>0.0</v>
      </c>
      <c r="J45" s="12">
        <v>0.0</v>
      </c>
      <c r="K45" s="12">
        <v>0.0</v>
      </c>
      <c r="L45" s="2"/>
      <c r="M45" s="11" t="str">
        <f t="shared" si="1"/>
        <v/>
      </c>
      <c r="N45" s="11" t="str">
        <f t="shared" si="2"/>
        <v/>
      </c>
      <c r="O45" s="11" t="str">
        <f>IF(Method!$B$55=TRUE(),"🛑 PAUSED",IF(N45="","",IF(N45&lt;Method!$B$7,"PASS","BET")))</f>
        <v/>
      </c>
      <c r="P45" s="12">
        <v>0.0</v>
      </c>
      <c r="Q45" s="12">
        <v>0.0</v>
      </c>
      <c r="R45" s="12">
        <v>0.0</v>
      </c>
    </row>
    <row r="46" ht="15.75" customHeight="1">
      <c r="A46" s="14" t="s">
        <v>66</v>
      </c>
      <c r="B46" s="14" t="s">
        <v>288</v>
      </c>
      <c r="C46" s="12">
        <v>0.0</v>
      </c>
      <c r="D46" s="12">
        <v>0.0</v>
      </c>
      <c r="E46" s="12">
        <v>0.0</v>
      </c>
      <c r="F46" s="12">
        <v>0.0</v>
      </c>
      <c r="G46" s="12">
        <v>1.0</v>
      </c>
      <c r="H46" s="12">
        <v>0.0</v>
      </c>
      <c r="I46" s="12">
        <v>0.0</v>
      </c>
      <c r="J46" s="12">
        <v>0.0</v>
      </c>
      <c r="K46" s="12">
        <v>0.0</v>
      </c>
      <c r="L46" s="2"/>
      <c r="M46" s="11" t="str">
        <f t="shared" si="1"/>
        <v/>
      </c>
      <c r="N46" s="11" t="str">
        <f t="shared" si="2"/>
        <v/>
      </c>
      <c r="O46" s="11" t="str">
        <f>IF(Method!$B$55=TRUE(),"🛑 PAUSED",IF(N46="","",IF(N46&lt;Method!$B$7,"PASS","BET")))</f>
        <v/>
      </c>
      <c r="P46" s="12">
        <v>0.0</v>
      </c>
      <c r="Q46" s="12">
        <v>0.0</v>
      </c>
      <c r="R46" s="12">
        <v>0.0</v>
      </c>
    </row>
    <row r="47" ht="15.75" customHeight="1">
      <c r="A47" s="14" t="s">
        <v>67</v>
      </c>
      <c r="B47" s="14" t="s">
        <v>288</v>
      </c>
      <c r="C47" s="12">
        <v>0.0</v>
      </c>
      <c r="D47" s="12">
        <v>0.0</v>
      </c>
      <c r="E47" s="12">
        <v>0.0</v>
      </c>
      <c r="F47" s="12">
        <v>0.0</v>
      </c>
      <c r="G47" s="12">
        <v>0.0</v>
      </c>
      <c r="H47" s="12">
        <v>0.0</v>
      </c>
      <c r="I47" s="12">
        <v>0.0</v>
      </c>
      <c r="J47" s="12">
        <v>0.0</v>
      </c>
      <c r="K47" s="12">
        <v>0.0</v>
      </c>
      <c r="L47" s="2"/>
      <c r="M47" s="11" t="str">
        <f t="shared" si="1"/>
        <v/>
      </c>
      <c r="N47" s="11" t="str">
        <f t="shared" si="2"/>
        <v/>
      </c>
      <c r="O47" s="11" t="str">
        <f>IF(Method!$B$55=TRUE(),"🛑 PAUSED",IF(N47="","",IF(N47&lt;Method!$B$7,"PASS","BET")))</f>
        <v/>
      </c>
      <c r="P47" s="12">
        <v>0.0</v>
      </c>
      <c r="Q47" s="12">
        <v>0.0</v>
      </c>
      <c r="R47" s="12">
        <v>0.0</v>
      </c>
    </row>
    <row r="48" ht="15.75" customHeight="1">
      <c r="A48" s="14" t="s">
        <v>59</v>
      </c>
      <c r="B48" s="14" t="s">
        <v>113</v>
      </c>
      <c r="C48" s="12">
        <v>0.0</v>
      </c>
      <c r="D48" s="12">
        <v>0.0</v>
      </c>
      <c r="E48" s="12">
        <v>0.0</v>
      </c>
      <c r="F48" s="12">
        <v>0.0</v>
      </c>
      <c r="G48" s="12">
        <v>0.0</v>
      </c>
      <c r="H48" s="12">
        <v>0.0</v>
      </c>
      <c r="I48" s="12">
        <v>0.0</v>
      </c>
      <c r="J48" s="12">
        <v>0.0</v>
      </c>
      <c r="K48" s="12">
        <v>0.0</v>
      </c>
      <c r="L48" s="2"/>
      <c r="M48" s="11" t="str">
        <f t="shared" si="1"/>
        <v/>
      </c>
      <c r="N48" s="11" t="str">
        <f t="shared" si="2"/>
        <v/>
      </c>
      <c r="O48" s="11" t="str">
        <f>IF(Method!$B$55=TRUE(),"🛑 PAUSED",IF(N48="","",IF(N48&lt;Method!$B$7,"PASS","BET")))</f>
        <v/>
      </c>
      <c r="P48" s="12">
        <v>0.0</v>
      </c>
      <c r="Q48" s="12">
        <v>0.0</v>
      </c>
      <c r="R48" s="12">
        <v>0.0</v>
      </c>
    </row>
    <row r="49" ht="15.75" customHeight="1">
      <c r="A49" s="14" t="s">
        <v>50</v>
      </c>
      <c r="B49" s="14" t="s">
        <v>113</v>
      </c>
      <c r="C49" s="12">
        <v>0.0</v>
      </c>
      <c r="D49" s="12">
        <v>0.0</v>
      </c>
      <c r="E49" s="12">
        <v>0.0</v>
      </c>
      <c r="F49" s="12">
        <v>0.0</v>
      </c>
      <c r="G49" s="12">
        <v>1.0</v>
      </c>
      <c r="H49" s="12">
        <v>1.0</v>
      </c>
      <c r="I49" s="12">
        <v>0.0</v>
      </c>
      <c r="J49" s="12">
        <v>0.0</v>
      </c>
      <c r="K49" s="12">
        <v>0.0</v>
      </c>
      <c r="L49" s="2"/>
      <c r="M49" s="11" t="str">
        <f t="shared" si="1"/>
        <v/>
      </c>
      <c r="N49" s="11" t="str">
        <f t="shared" si="2"/>
        <v/>
      </c>
      <c r="O49" s="11" t="str">
        <f>IF(Method!$B$55=TRUE(),"🛑 PAUSED",IF(N49="","",IF(N49&lt;Method!$B$7,"PASS","BET")))</f>
        <v/>
      </c>
      <c r="P49" s="12">
        <v>1.0</v>
      </c>
      <c r="Q49" s="12">
        <v>0.0</v>
      </c>
      <c r="R49" s="12">
        <v>0.0</v>
      </c>
    </row>
    <row r="50" ht="15.75" customHeight="1">
      <c r="A50" s="14" t="s">
        <v>73</v>
      </c>
      <c r="B50" s="14" t="s">
        <v>111</v>
      </c>
      <c r="C50" s="12">
        <v>0.0</v>
      </c>
      <c r="D50" s="12">
        <v>0.0</v>
      </c>
      <c r="E50" s="12">
        <v>0.0</v>
      </c>
      <c r="F50" s="12">
        <v>0.0</v>
      </c>
      <c r="G50" s="12">
        <v>0.0</v>
      </c>
      <c r="H50" s="12">
        <v>0.0</v>
      </c>
      <c r="I50" s="12">
        <v>0.0</v>
      </c>
      <c r="J50" s="12">
        <v>0.0</v>
      </c>
      <c r="K50" s="12">
        <v>0.0</v>
      </c>
      <c r="L50" s="2"/>
      <c r="M50" s="11" t="str">
        <f t="shared" si="1"/>
        <v/>
      </c>
      <c r="N50" s="11" t="str">
        <f t="shared" si="2"/>
        <v/>
      </c>
      <c r="O50" s="11" t="str">
        <f>IF(Method!$B$55=TRUE(),"🛑 PAUSED",IF(N50="","",IF(N50&lt;Method!$B$7,"PASS","BET")))</f>
        <v/>
      </c>
      <c r="P50" s="12">
        <v>0.0</v>
      </c>
      <c r="Q50" s="12">
        <v>0.0</v>
      </c>
      <c r="R50" s="12">
        <v>0.0</v>
      </c>
    </row>
    <row r="51" ht="15.75" customHeight="1">
      <c r="A51" s="14" t="s">
        <v>90</v>
      </c>
      <c r="B51" s="14" t="s">
        <v>316</v>
      </c>
      <c r="C51" s="12">
        <v>0.0</v>
      </c>
      <c r="D51" s="12">
        <v>0.0</v>
      </c>
      <c r="E51" s="12">
        <v>0.0</v>
      </c>
      <c r="F51" s="12">
        <v>0.0</v>
      </c>
      <c r="G51" s="12">
        <v>0.0</v>
      </c>
      <c r="H51" s="12">
        <v>0.0</v>
      </c>
      <c r="I51" s="12">
        <v>0.0</v>
      </c>
      <c r="J51" s="12">
        <v>0.0</v>
      </c>
      <c r="K51" s="12">
        <v>0.0</v>
      </c>
      <c r="L51" s="2"/>
      <c r="M51" s="11" t="str">
        <f t="shared" si="1"/>
        <v/>
      </c>
      <c r="N51" s="11" t="str">
        <f t="shared" si="2"/>
        <v/>
      </c>
      <c r="O51" s="11" t="str">
        <f>IF(Method!$B$55=TRUE(),"🛑 PAUSED",IF(N51="","",IF(N51&lt;Method!$B$7,"PASS","BET")))</f>
        <v/>
      </c>
      <c r="P51" s="12">
        <v>0.0</v>
      </c>
      <c r="Q51" s="12">
        <v>0.0</v>
      </c>
      <c r="R51" s="12">
        <v>0.0</v>
      </c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3" width="16.0"/>
    <col customWidth="1" min="4" max="5" width="11.0"/>
    <col customWidth="1" min="6" max="6" width="9.0"/>
    <col customWidth="1" min="7" max="7" width="10.0"/>
    <col customWidth="1" min="8" max="8" width="18.0"/>
    <col customWidth="1" min="9" max="9" width="20.0"/>
  </cols>
  <sheetData>
    <row r="1">
      <c r="A1" s="148" t="s">
        <v>610</v>
      </c>
      <c r="B1" s="2"/>
      <c r="C1" s="2"/>
      <c r="D1" s="2"/>
      <c r="E1" s="2"/>
      <c r="F1" s="2"/>
      <c r="G1" s="2"/>
      <c r="H1" s="2"/>
      <c r="I1" s="2"/>
    </row>
    <row r="2">
      <c r="A2" s="149" t="s">
        <v>611</v>
      </c>
      <c r="B2" s="152">
        <v>46212.36607131944</v>
      </c>
      <c r="C2" s="2"/>
      <c r="D2" s="2"/>
      <c r="E2" s="2"/>
      <c r="F2" s="2"/>
      <c r="G2" s="2"/>
      <c r="H2" s="2"/>
      <c r="I2" s="2"/>
    </row>
    <row r="3">
      <c r="A3" s="150" t="s">
        <v>28</v>
      </c>
      <c r="B3" s="150" t="s">
        <v>30</v>
      </c>
      <c r="C3" s="150" t="s">
        <v>31</v>
      </c>
      <c r="D3" s="150" t="s">
        <v>612</v>
      </c>
      <c r="E3" s="150" t="s">
        <v>613</v>
      </c>
      <c r="F3" s="150" t="s">
        <v>614</v>
      </c>
      <c r="G3" s="150" t="s">
        <v>110</v>
      </c>
      <c r="H3" s="150" t="s">
        <v>615</v>
      </c>
      <c r="I3" s="150" t="s">
        <v>616</v>
      </c>
    </row>
    <row r="4">
      <c r="A4" s="151" t="s">
        <v>617</v>
      </c>
      <c r="B4" s="52"/>
      <c r="C4" s="52"/>
      <c r="D4" s="53"/>
      <c r="E4" s="53"/>
      <c r="F4" s="53"/>
      <c r="G4" s="52"/>
      <c r="H4" s="52"/>
      <c r="I4" s="152"/>
    </row>
    <row r="5">
      <c r="A5" s="2"/>
      <c r="B5" s="2"/>
      <c r="C5" s="2"/>
      <c r="D5" s="2"/>
      <c r="E5" s="2"/>
      <c r="F5" s="2"/>
      <c r="G5" s="2"/>
      <c r="H5" s="2"/>
      <c r="I5" s="153"/>
    </row>
    <row r="6">
      <c r="A6" s="2"/>
      <c r="B6" s="2"/>
      <c r="C6" s="2"/>
      <c r="D6" s="2"/>
      <c r="E6" s="2"/>
      <c r="F6" s="2"/>
      <c r="G6" s="2"/>
      <c r="H6" s="2"/>
      <c r="I6" s="2"/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2"/>
      <c r="B8" s="2"/>
      <c r="C8" s="2"/>
      <c r="D8" s="2"/>
      <c r="E8" s="2"/>
      <c r="F8" s="2"/>
      <c r="G8" s="2"/>
      <c r="H8" s="2"/>
      <c r="I8" s="2"/>
    </row>
    <row r="9">
      <c r="A9" s="2"/>
      <c r="B9" s="2"/>
      <c r="C9" s="2"/>
      <c r="D9" s="2"/>
      <c r="E9" s="2"/>
      <c r="F9" s="2"/>
      <c r="G9" s="2"/>
      <c r="H9" s="2"/>
      <c r="I9" s="2"/>
    </row>
    <row r="10">
      <c r="A10" s="2"/>
      <c r="B10" s="2"/>
      <c r="C10" s="2"/>
      <c r="D10" s="2"/>
      <c r="E10" s="2"/>
      <c r="F10" s="2"/>
      <c r="G10" s="2"/>
      <c r="H10" s="2"/>
      <c r="I10" s="2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  <row r="17">
      <c r="A17" s="2"/>
      <c r="B17" s="2"/>
      <c r="C17" s="2"/>
      <c r="D17" s="2"/>
      <c r="E17" s="2"/>
      <c r="F17" s="2"/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printOptions/>
  <pageMargins bottom="1.0" footer="0.0" header="0.0" left="0.75" right="0.75" top="1.0"/>
  <pageSetup orientation="landscape"/>
  <drawing r:id="rId1"/>
</worksheet>
</file>